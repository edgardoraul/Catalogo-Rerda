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Web\Catalogo-Rerda\Catalogo-Rerda\"/>
    </mc:Choice>
  </mc:AlternateContent>
  <workbookProtection workbookAlgorithmName="SHA-512" workbookHashValue="lIjVe1zDONn5t4U1hgZqEL6TcNetaEbYAEnPP4LmvVCXUzgIrsZpHEeUUmZLnL2MDBzEH59f6jAgPHq7g/FPew==" workbookSaltValue="/TXvkCf/4xeC92lLRQvgJQ==" workbookSpinCount="100000" lockStructure="1"/>
  <bookViews>
    <workbookView xWindow="0" yWindow="0" windowWidth="15480" windowHeight="8235"/>
  </bookViews>
  <sheets>
    <sheet name="CATALOGO" sheetId="2" r:id="rId1"/>
    <sheet name="LINCE" sheetId="4" r:id="rId2"/>
  </sheets>
  <definedNames>
    <definedName name="_xlnm._FilterDatabase" localSheetId="0" hidden="1">CATALOGO!$A$1:$E$783</definedName>
    <definedName name="_xlnm.Print_Titles" localSheetId="0">CATALOGO!$1:$1</definedName>
  </definedNames>
  <calcPr calcId="152511"/>
</workbook>
</file>

<file path=xl/calcChain.xml><?xml version="1.0" encoding="utf-8"?>
<calcChain xmlns="http://schemas.openxmlformats.org/spreadsheetml/2006/main">
  <c r="F2053" i="4" l="1"/>
  <c r="F2054" i="4"/>
  <c r="F2055" i="4"/>
  <c r="F2056" i="4"/>
  <c r="F2057" i="4"/>
  <c r="F2058" i="4"/>
  <c r="F2059" i="4"/>
  <c r="F2060" i="4"/>
  <c r="F2061" i="4"/>
  <c r="F2062" i="4"/>
  <c r="F2063" i="4"/>
  <c r="F2064" i="4"/>
  <c r="F2065" i="4"/>
  <c r="F2066" i="4"/>
  <c r="F2067" i="4"/>
  <c r="F2068" i="4"/>
  <c r="F2069" i="4"/>
  <c r="F2070" i="4"/>
  <c r="F2071" i="4"/>
  <c r="F2072" i="4"/>
  <c r="F2073" i="4"/>
  <c r="F2074" i="4"/>
  <c r="F2075" i="4"/>
  <c r="F2076" i="4"/>
  <c r="F2077" i="4"/>
  <c r="F2078" i="4"/>
  <c r="F2079" i="4"/>
  <c r="F2080" i="4"/>
  <c r="F2081" i="4"/>
  <c r="F2082" i="4"/>
  <c r="F2083" i="4"/>
  <c r="F2084" i="4"/>
  <c r="F2085" i="4"/>
  <c r="F2086" i="4"/>
  <c r="F2087" i="4"/>
  <c r="F2088" i="4"/>
  <c r="F2089" i="4"/>
  <c r="F2090" i="4"/>
  <c r="F2091" i="4"/>
  <c r="F2092" i="4"/>
  <c r="F2093" i="4"/>
  <c r="F2094" i="4"/>
  <c r="F2095" i="4"/>
  <c r="F2096" i="4"/>
  <c r="F2097" i="4"/>
  <c r="F2098" i="4"/>
  <c r="F2099" i="4"/>
  <c r="F2100" i="4"/>
  <c r="F2101" i="4"/>
  <c r="F2102" i="4"/>
  <c r="F2103" i="4"/>
  <c r="F2104" i="4"/>
  <c r="F2105" i="4"/>
  <c r="F2106" i="4"/>
  <c r="F2107" i="4"/>
  <c r="F2108" i="4"/>
  <c r="F2109" i="4"/>
  <c r="F2110" i="4"/>
  <c r="F2111" i="4"/>
  <c r="F2112" i="4"/>
  <c r="F2113" i="4"/>
  <c r="F2114" i="4"/>
  <c r="F2115" i="4"/>
  <c r="F2116" i="4"/>
  <c r="F2117" i="4"/>
  <c r="F2118" i="4"/>
  <c r="F2119" i="4"/>
  <c r="F2120" i="4"/>
  <c r="F2121" i="4"/>
  <c r="F2122" i="4"/>
  <c r="F2123" i="4"/>
  <c r="F2124" i="4"/>
  <c r="F2125" i="4"/>
  <c r="F2126" i="4"/>
  <c r="F2127" i="4"/>
  <c r="F2128" i="4"/>
  <c r="F2129" i="4"/>
  <c r="F2130" i="4"/>
  <c r="F2131" i="4"/>
  <c r="F2132" i="4"/>
  <c r="F2133" i="4"/>
  <c r="F2134" i="4"/>
  <c r="F2135" i="4"/>
  <c r="F2136" i="4"/>
  <c r="F2137" i="4"/>
  <c r="F2138" i="4"/>
  <c r="F2139" i="4"/>
  <c r="F2140" i="4"/>
  <c r="F2141" i="4"/>
  <c r="F2142" i="4"/>
  <c r="F2143" i="4"/>
  <c r="F2144" i="4"/>
  <c r="F2145" i="4"/>
  <c r="F2146" i="4"/>
  <c r="F2147" i="4"/>
  <c r="F2148" i="4"/>
  <c r="F2149" i="4"/>
  <c r="F2150" i="4"/>
  <c r="F2151" i="4"/>
  <c r="F2152" i="4"/>
  <c r="F2153" i="4"/>
  <c r="F2154" i="4"/>
  <c r="F2155" i="4"/>
  <c r="F2156" i="4"/>
  <c r="F2157" i="4"/>
  <c r="F2158" i="4"/>
  <c r="F2159" i="4"/>
  <c r="F2160" i="4"/>
  <c r="F2161" i="4"/>
  <c r="F2162" i="4"/>
  <c r="F2163" i="4"/>
  <c r="F2164" i="4"/>
  <c r="F2165" i="4"/>
  <c r="F2166" i="4"/>
  <c r="F2167" i="4"/>
  <c r="F2168" i="4"/>
  <c r="F2169" i="4"/>
  <c r="F2170" i="4"/>
  <c r="F2171" i="4"/>
  <c r="F2172" i="4"/>
  <c r="F2173" i="4"/>
  <c r="F2174" i="4"/>
  <c r="F2175" i="4"/>
  <c r="F2176" i="4"/>
  <c r="F2177" i="4"/>
  <c r="F2178" i="4"/>
  <c r="F2179" i="4"/>
  <c r="F2180" i="4"/>
  <c r="F2181" i="4"/>
  <c r="F2182" i="4"/>
  <c r="F2183" i="4"/>
  <c r="F2184" i="4"/>
  <c r="F2185" i="4"/>
  <c r="F2186" i="4"/>
  <c r="F2187" i="4"/>
  <c r="F2188" i="4"/>
  <c r="F2189" i="4"/>
  <c r="F2190" i="4"/>
  <c r="F2191" i="4"/>
  <c r="F2192" i="4"/>
  <c r="F2193" i="4"/>
  <c r="F2194" i="4"/>
  <c r="F2195" i="4"/>
  <c r="F2196" i="4"/>
  <c r="F2197" i="4"/>
  <c r="F2198" i="4"/>
  <c r="F2199" i="4"/>
  <c r="F2200" i="4"/>
  <c r="F2201" i="4"/>
  <c r="F2202" i="4"/>
  <c r="F2203" i="4"/>
  <c r="F2204" i="4"/>
  <c r="F2205" i="4"/>
  <c r="F2206" i="4"/>
  <c r="F2207" i="4"/>
  <c r="F2208" i="4"/>
  <c r="F2209" i="4"/>
  <c r="F2210" i="4"/>
  <c r="F2211" i="4"/>
  <c r="F2212" i="4"/>
  <c r="F2213" i="4"/>
  <c r="F2214" i="4"/>
  <c r="F2215" i="4"/>
  <c r="F2216" i="4"/>
  <c r="F2217" i="4"/>
  <c r="F2218" i="4"/>
  <c r="F2219" i="4"/>
  <c r="F2220" i="4"/>
  <c r="F2221" i="4"/>
  <c r="F2222" i="4"/>
  <c r="F2223" i="4"/>
  <c r="F2224" i="4"/>
  <c r="F2225" i="4"/>
  <c r="F2226" i="4"/>
  <c r="F2227" i="4"/>
  <c r="F2228" i="4"/>
  <c r="F2229" i="4"/>
  <c r="F2230" i="4"/>
  <c r="F2231" i="4"/>
  <c r="F2232" i="4"/>
  <c r="F2233" i="4"/>
  <c r="F2234" i="4"/>
  <c r="F2235" i="4"/>
  <c r="F2236" i="4"/>
  <c r="F2237" i="4"/>
  <c r="F2238" i="4"/>
  <c r="F2239" i="4"/>
  <c r="F2240" i="4"/>
  <c r="F2241" i="4"/>
  <c r="F2242" i="4"/>
  <c r="F2243" i="4"/>
  <c r="F2244" i="4"/>
  <c r="F2245" i="4"/>
  <c r="F2246" i="4"/>
  <c r="F2247" i="4"/>
  <c r="F2248" i="4"/>
  <c r="F2249" i="4"/>
  <c r="F2250" i="4"/>
  <c r="F2251" i="4"/>
  <c r="F2252" i="4"/>
  <c r="F2253" i="4"/>
  <c r="F2254" i="4"/>
  <c r="F2255" i="4"/>
  <c r="F2256" i="4"/>
  <c r="F2257" i="4"/>
  <c r="F2258" i="4"/>
  <c r="F2259" i="4"/>
  <c r="F2260" i="4"/>
  <c r="F2261" i="4"/>
  <c r="F2262" i="4"/>
  <c r="F2263" i="4"/>
  <c r="F2264" i="4"/>
  <c r="F2265" i="4"/>
  <c r="F2266" i="4"/>
  <c r="F2267" i="4"/>
  <c r="F2268" i="4"/>
  <c r="F2269" i="4"/>
  <c r="F2270" i="4"/>
  <c r="F2271" i="4"/>
  <c r="F2272" i="4"/>
  <c r="F2273" i="4"/>
  <c r="F2274" i="4"/>
  <c r="F2275" i="4"/>
  <c r="F2276" i="4"/>
  <c r="F2277" i="4"/>
  <c r="F2278" i="4"/>
  <c r="F2279" i="4"/>
  <c r="F2280" i="4"/>
  <c r="F2281" i="4"/>
  <c r="F2282" i="4"/>
  <c r="F2283" i="4"/>
  <c r="F2284" i="4"/>
  <c r="F2285" i="4"/>
  <c r="F2286" i="4"/>
  <c r="F2287" i="4"/>
  <c r="F2288" i="4"/>
  <c r="F2289" i="4"/>
  <c r="F2290" i="4"/>
  <c r="F2291" i="4"/>
  <c r="F2292" i="4"/>
  <c r="F2293" i="4"/>
  <c r="F2294" i="4"/>
  <c r="F2295" i="4"/>
  <c r="F2296" i="4"/>
  <c r="F2297" i="4"/>
  <c r="F2298" i="4"/>
  <c r="F2299" i="4"/>
  <c r="F2300" i="4"/>
  <c r="F2301" i="4"/>
  <c r="F2302" i="4"/>
  <c r="F2303" i="4"/>
  <c r="F2304" i="4"/>
  <c r="F2305" i="4"/>
  <c r="F2306" i="4"/>
  <c r="F2307" i="4"/>
  <c r="F2308" i="4"/>
  <c r="F2309" i="4"/>
  <c r="F2310" i="4"/>
  <c r="F2311" i="4"/>
  <c r="F2312" i="4"/>
  <c r="F2313" i="4"/>
  <c r="F2314" i="4"/>
  <c r="F2315" i="4"/>
  <c r="F2316" i="4"/>
  <c r="F2317" i="4"/>
  <c r="F2318" i="4"/>
  <c r="F2319" i="4"/>
  <c r="F2320" i="4"/>
  <c r="F2321" i="4"/>
  <c r="F2322" i="4"/>
  <c r="F2323" i="4"/>
  <c r="F2324" i="4"/>
  <c r="F2325" i="4"/>
  <c r="F2326" i="4"/>
  <c r="F2327" i="4"/>
  <c r="F2328" i="4"/>
  <c r="F2329" i="4"/>
  <c r="F2330" i="4"/>
  <c r="F2331" i="4"/>
  <c r="F2332" i="4"/>
  <c r="F2333" i="4"/>
  <c r="F2334" i="4"/>
  <c r="F2335" i="4"/>
  <c r="F2336" i="4"/>
  <c r="F2337" i="4"/>
  <c r="F2338" i="4"/>
  <c r="F2339" i="4"/>
  <c r="F2340" i="4"/>
  <c r="F2341" i="4"/>
  <c r="F2342" i="4"/>
  <c r="F2343" i="4"/>
  <c r="F2344" i="4"/>
  <c r="F2345" i="4"/>
  <c r="F2346" i="4"/>
  <c r="F2347" i="4"/>
  <c r="F2348" i="4"/>
  <c r="F2349" i="4"/>
  <c r="F2350" i="4"/>
  <c r="F2351" i="4"/>
  <c r="F2352" i="4"/>
  <c r="F2353" i="4"/>
  <c r="F2354" i="4"/>
  <c r="F2355" i="4"/>
  <c r="F2356" i="4"/>
  <c r="F2357" i="4"/>
  <c r="F2358" i="4"/>
  <c r="F2359" i="4"/>
  <c r="F2360" i="4"/>
  <c r="F2361" i="4"/>
  <c r="F2362" i="4"/>
  <c r="F2363" i="4"/>
  <c r="F2364" i="4"/>
  <c r="F2365" i="4"/>
  <c r="F2366" i="4"/>
  <c r="F2367" i="4"/>
  <c r="F2368" i="4"/>
  <c r="F2369" i="4"/>
  <c r="F2370" i="4"/>
  <c r="F2371" i="4"/>
  <c r="F2372" i="4"/>
  <c r="F2373" i="4"/>
  <c r="F2374" i="4"/>
  <c r="F2375" i="4"/>
  <c r="F2376" i="4"/>
  <c r="F2377" i="4"/>
  <c r="F2378" i="4"/>
  <c r="F2379" i="4"/>
  <c r="F2380" i="4"/>
  <c r="F2381" i="4"/>
  <c r="F2382" i="4"/>
  <c r="F2383" i="4"/>
  <c r="F2384" i="4"/>
  <c r="F2385" i="4"/>
  <c r="F2386" i="4"/>
  <c r="F2387" i="4"/>
  <c r="F2388" i="4"/>
  <c r="F2389" i="4"/>
  <c r="F2390" i="4"/>
  <c r="F2391" i="4"/>
  <c r="F2392" i="4"/>
  <c r="F2393" i="4"/>
  <c r="F2394" i="4"/>
  <c r="F2395" i="4"/>
  <c r="F2396" i="4"/>
  <c r="F2397" i="4"/>
  <c r="F2398" i="4"/>
  <c r="F2399" i="4"/>
  <c r="F2400" i="4"/>
  <c r="F2401" i="4"/>
  <c r="F2402" i="4"/>
  <c r="F2403" i="4"/>
  <c r="F2404" i="4"/>
  <c r="F2405" i="4"/>
  <c r="F2406" i="4"/>
  <c r="F2407" i="4"/>
  <c r="F2408" i="4"/>
  <c r="F2409" i="4"/>
  <c r="F2410" i="4"/>
  <c r="F2411" i="4"/>
  <c r="F2412" i="4"/>
  <c r="F2413" i="4"/>
  <c r="F2414" i="4"/>
  <c r="F2415" i="4"/>
  <c r="F2416" i="4"/>
  <c r="F2417" i="4"/>
  <c r="F2418" i="4"/>
  <c r="F2419" i="4"/>
  <c r="F2420" i="4"/>
  <c r="F2421" i="4"/>
  <c r="F2422" i="4"/>
  <c r="F2423" i="4"/>
  <c r="F2424" i="4"/>
  <c r="F2425" i="4"/>
  <c r="F2426" i="4"/>
  <c r="F2427" i="4"/>
  <c r="F2428" i="4"/>
  <c r="F2429" i="4"/>
  <c r="F2430" i="4"/>
  <c r="F2431" i="4"/>
  <c r="F2432" i="4"/>
  <c r="F2433" i="4"/>
  <c r="F2434" i="4"/>
  <c r="F2435" i="4"/>
  <c r="F2436" i="4"/>
  <c r="F2437" i="4"/>
  <c r="F2438" i="4"/>
  <c r="F2439" i="4"/>
  <c r="F2440" i="4"/>
  <c r="F2441" i="4"/>
  <c r="F2442" i="4"/>
  <c r="F2443" i="4"/>
  <c r="F2444" i="4"/>
  <c r="F2445" i="4"/>
  <c r="F2446" i="4"/>
  <c r="F2447" i="4"/>
  <c r="F2448" i="4"/>
  <c r="F2449" i="4"/>
  <c r="F2450" i="4"/>
  <c r="F2451" i="4"/>
  <c r="F2452" i="4"/>
  <c r="F2453" i="4"/>
  <c r="F2454" i="4"/>
  <c r="F2455" i="4"/>
  <c r="F2456" i="4"/>
  <c r="F2457" i="4"/>
  <c r="F2458" i="4"/>
  <c r="F2459" i="4"/>
  <c r="F2460" i="4"/>
  <c r="F2461" i="4"/>
  <c r="F2462" i="4"/>
  <c r="F2463" i="4"/>
  <c r="F2464" i="4"/>
  <c r="F2465" i="4"/>
  <c r="F2466" i="4"/>
  <c r="F2467" i="4"/>
  <c r="F2468" i="4"/>
  <c r="F2469" i="4"/>
  <c r="F2470" i="4"/>
  <c r="F2471" i="4"/>
  <c r="F2472" i="4"/>
  <c r="F2473" i="4"/>
  <c r="F2474" i="4"/>
  <c r="F2475" i="4"/>
  <c r="F2476" i="4"/>
  <c r="F2477" i="4"/>
  <c r="F2478" i="4"/>
  <c r="F2479" i="4"/>
  <c r="F2480" i="4"/>
  <c r="F2481" i="4"/>
  <c r="F2482" i="4"/>
  <c r="F2483" i="4"/>
  <c r="F2484" i="4"/>
  <c r="F2485" i="4"/>
  <c r="F2486" i="4"/>
  <c r="F2487" i="4"/>
  <c r="F2488" i="4"/>
  <c r="F2489" i="4"/>
  <c r="F2490" i="4"/>
  <c r="F2491" i="4"/>
  <c r="F2492" i="4"/>
  <c r="F2493" i="4"/>
  <c r="F2494" i="4"/>
  <c r="F2495" i="4"/>
  <c r="F2496" i="4"/>
  <c r="F2497" i="4"/>
  <c r="F2498" i="4"/>
  <c r="F2499" i="4"/>
  <c r="F2500" i="4"/>
  <c r="F2501" i="4"/>
  <c r="F2502" i="4"/>
  <c r="F2503" i="4"/>
  <c r="F2504" i="4"/>
  <c r="F2505" i="4"/>
  <c r="F2506" i="4"/>
  <c r="F2507" i="4"/>
  <c r="F2508" i="4"/>
  <c r="F2509" i="4"/>
  <c r="F2510" i="4"/>
  <c r="F2511" i="4"/>
  <c r="F2512" i="4"/>
  <c r="F2513" i="4"/>
  <c r="F2514" i="4"/>
  <c r="F2515" i="4"/>
  <c r="F2516" i="4"/>
  <c r="F2517" i="4"/>
  <c r="F2518" i="4"/>
  <c r="F2519" i="4"/>
  <c r="F2520" i="4"/>
  <c r="F2521" i="4"/>
  <c r="F2522" i="4"/>
  <c r="F2523" i="4"/>
  <c r="F2524" i="4"/>
  <c r="F2525" i="4"/>
  <c r="F2526" i="4"/>
  <c r="F2527" i="4"/>
  <c r="F2528" i="4"/>
  <c r="F2529" i="4"/>
  <c r="F2530" i="4"/>
  <c r="F2531" i="4"/>
  <c r="F2532" i="4"/>
  <c r="F2533" i="4"/>
  <c r="F2534" i="4"/>
  <c r="F2535" i="4"/>
  <c r="F2536" i="4"/>
  <c r="F2537" i="4"/>
  <c r="F2538" i="4"/>
  <c r="F2539" i="4"/>
  <c r="F2540" i="4"/>
  <c r="F2541" i="4"/>
  <c r="F2542" i="4"/>
  <c r="F2543" i="4"/>
  <c r="F2544" i="4"/>
  <c r="F2545" i="4"/>
  <c r="F2546" i="4"/>
  <c r="F2547" i="4"/>
  <c r="F2548" i="4"/>
  <c r="F2549" i="4"/>
  <c r="F2550" i="4"/>
  <c r="F2551" i="4"/>
  <c r="F2552" i="4"/>
  <c r="F2553" i="4"/>
  <c r="F2554" i="4"/>
  <c r="F2555" i="4"/>
  <c r="F2556" i="4"/>
  <c r="F2557" i="4"/>
  <c r="F2558" i="4"/>
  <c r="F2559" i="4"/>
  <c r="F2560" i="4"/>
  <c r="F2561" i="4"/>
  <c r="F2562" i="4"/>
  <c r="F2563" i="4"/>
  <c r="F2564" i="4"/>
  <c r="F2565" i="4"/>
  <c r="F2566" i="4"/>
  <c r="F2567" i="4"/>
  <c r="F2568" i="4"/>
  <c r="F2569" i="4"/>
  <c r="F2570" i="4"/>
  <c r="F2571" i="4"/>
  <c r="F2572" i="4"/>
  <c r="F2573" i="4"/>
  <c r="F2574" i="4"/>
  <c r="F2575" i="4"/>
  <c r="F2576" i="4"/>
  <c r="F2577" i="4"/>
  <c r="F2578" i="4"/>
  <c r="F2579" i="4"/>
  <c r="F2580" i="4"/>
  <c r="F2581" i="4"/>
  <c r="F2582" i="4"/>
  <c r="F2583" i="4"/>
  <c r="F2584" i="4"/>
  <c r="F2585" i="4"/>
  <c r="F2586" i="4"/>
  <c r="F2587" i="4"/>
  <c r="F2588" i="4"/>
  <c r="F2589" i="4"/>
  <c r="F2590" i="4"/>
  <c r="F2591" i="4"/>
  <c r="F2592" i="4"/>
  <c r="F2593" i="4"/>
  <c r="F2594" i="4"/>
  <c r="F2595" i="4"/>
  <c r="F2596" i="4"/>
  <c r="F2597" i="4"/>
  <c r="F2598" i="4"/>
  <c r="F2599" i="4"/>
  <c r="F2600" i="4"/>
  <c r="F2601" i="4"/>
  <c r="F2602" i="4"/>
  <c r="F2603" i="4"/>
  <c r="F2604" i="4"/>
  <c r="F2605" i="4"/>
  <c r="F2606" i="4"/>
  <c r="F2607" i="4"/>
  <c r="F2608" i="4"/>
  <c r="F2609" i="4"/>
  <c r="F2610" i="4"/>
  <c r="F2611" i="4"/>
  <c r="F2612" i="4"/>
  <c r="F2613" i="4"/>
  <c r="F2614" i="4"/>
  <c r="F2615" i="4"/>
  <c r="F2616" i="4"/>
  <c r="F2617" i="4"/>
  <c r="F2618" i="4"/>
  <c r="F2619" i="4"/>
  <c r="F2620" i="4"/>
  <c r="F2621" i="4"/>
  <c r="F2622" i="4"/>
  <c r="F2623" i="4"/>
  <c r="F2624" i="4"/>
  <c r="F2625" i="4"/>
  <c r="F2626" i="4"/>
  <c r="F2627" i="4"/>
  <c r="F2628" i="4"/>
  <c r="F2629" i="4"/>
  <c r="F2630" i="4"/>
  <c r="F2631" i="4"/>
  <c r="F2632" i="4"/>
  <c r="F2633" i="4"/>
  <c r="F2634" i="4"/>
  <c r="F2635" i="4"/>
  <c r="F2636" i="4"/>
  <c r="F2637" i="4"/>
  <c r="F2638" i="4"/>
  <c r="F2639" i="4"/>
  <c r="A36" i="4"/>
  <c r="F36" i="4" s="1"/>
  <c r="A3123" i="4" l="1"/>
  <c r="A3124" i="4"/>
  <c r="A3125" i="4"/>
  <c r="A3126" i="4"/>
  <c r="A3127" i="4"/>
  <c r="A3128" i="4"/>
  <c r="A3129" i="4"/>
  <c r="A3130" i="4"/>
  <c r="A3131" i="4"/>
  <c r="A3132" i="4"/>
  <c r="A3133" i="4"/>
  <c r="A3134" i="4"/>
  <c r="A3135" i="4"/>
  <c r="A3136" i="4"/>
  <c r="A3137" i="4"/>
  <c r="A3138" i="4"/>
  <c r="A3139" i="4"/>
  <c r="A3140" i="4"/>
  <c r="A3141" i="4"/>
  <c r="A3142" i="4"/>
  <c r="A3143" i="4"/>
  <c r="A3144" i="4"/>
  <c r="A3145" i="4"/>
  <c r="A3146" i="4"/>
  <c r="A3147" i="4"/>
  <c r="A3148" i="4"/>
  <c r="A3149" i="4"/>
  <c r="A3150" i="4"/>
  <c r="A3151" i="4"/>
  <c r="A3152" i="4"/>
  <c r="A3153" i="4"/>
  <c r="A3154" i="4"/>
  <c r="A3155" i="4"/>
  <c r="A3156" i="4"/>
  <c r="A3157" i="4"/>
  <c r="A3158" i="4"/>
  <c r="A3159" i="4"/>
  <c r="A3160" i="4"/>
  <c r="A3161" i="4"/>
  <c r="A3162" i="4"/>
  <c r="A3163" i="4"/>
  <c r="A3164" i="4"/>
  <c r="A3165" i="4"/>
  <c r="A3166" i="4"/>
  <c r="A3167" i="4"/>
  <c r="A3168" i="4"/>
  <c r="A3169" i="4"/>
  <c r="A3170" i="4"/>
  <c r="A3171" i="4"/>
  <c r="A3172" i="4"/>
  <c r="A3173" i="4"/>
  <c r="A3174" i="4"/>
  <c r="A3175" i="4"/>
  <c r="A3176" i="4"/>
  <c r="A3177" i="4"/>
  <c r="A3178" i="4"/>
  <c r="A3179" i="4"/>
  <c r="A3180" i="4"/>
  <c r="A3181" i="4"/>
  <c r="A3182" i="4"/>
  <c r="A3183" i="4"/>
  <c r="A3184" i="4"/>
  <c r="A3185" i="4"/>
  <c r="A3186" i="4"/>
  <c r="A3187" i="4"/>
  <c r="A3188" i="4"/>
  <c r="A3189" i="4"/>
  <c r="A3190" i="4"/>
  <c r="A3191" i="4"/>
  <c r="A3192" i="4"/>
  <c r="A3193" i="4"/>
  <c r="A3194" i="4"/>
  <c r="A3195" i="4"/>
  <c r="A3196" i="4"/>
  <c r="A3197" i="4"/>
  <c r="A3198" i="4"/>
  <c r="A3199" i="4"/>
  <c r="A3200" i="4"/>
  <c r="A3201" i="4"/>
  <c r="A3202" i="4"/>
  <c r="A3203" i="4"/>
  <c r="A3204" i="4"/>
  <c r="A3205" i="4"/>
  <c r="A3206" i="4"/>
  <c r="A3207" i="4"/>
  <c r="A3208" i="4"/>
  <c r="A3209" i="4"/>
  <c r="A3210" i="4"/>
  <c r="A3211" i="4"/>
  <c r="A3212" i="4"/>
  <c r="A3213" i="4"/>
  <c r="A3214" i="4"/>
  <c r="A3215" i="4"/>
  <c r="A3216" i="4"/>
  <c r="A3217" i="4"/>
  <c r="A3218" i="4"/>
  <c r="A3219" i="4"/>
  <c r="A3220" i="4"/>
  <c r="A3221" i="4"/>
  <c r="A3222" i="4"/>
  <c r="A3223" i="4"/>
  <c r="A3224" i="4"/>
  <c r="A3225" i="4"/>
  <c r="A3226" i="4"/>
  <c r="A3227" i="4"/>
  <c r="A3228" i="4"/>
  <c r="A3229" i="4"/>
  <c r="A3230" i="4"/>
  <c r="A3231" i="4"/>
  <c r="A3232" i="4"/>
  <c r="A3233" i="4"/>
  <c r="A3234" i="4"/>
  <c r="A3235" i="4"/>
  <c r="A3236" i="4"/>
  <c r="A3237" i="4"/>
  <c r="A3238" i="4"/>
  <c r="A3239" i="4"/>
  <c r="A3240" i="4"/>
  <c r="A3241" i="4"/>
  <c r="A3242" i="4"/>
  <c r="A3243" i="4"/>
  <c r="A3244" i="4"/>
  <c r="A3245" i="4"/>
  <c r="A3246" i="4"/>
  <c r="A3247" i="4"/>
  <c r="A3248" i="4"/>
  <c r="A3249" i="4"/>
  <c r="A3250" i="4"/>
  <c r="A3251" i="4"/>
  <c r="A3252" i="4"/>
  <c r="A3253" i="4"/>
  <c r="A3254" i="4"/>
  <c r="A3255" i="4"/>
  <c r="A3256" i="4"/>
  <c r="A3257" i="4"/>
  <c r="A3258" i="4"/>
  <c r="A3259" i="4"/>
  <c r="A3260" i="4"/>
  <c r="A3261" i="4"/>
  <c r="A3262" i="4"/>
  <c r="A3263" i="4"/>
  <c r="A3264" i="4"/>
  <c r="A3265" i="4"/>
  <c r="A3266" i="4"/>
  <c r="A3267" i="4"/>
  <c r="A3268" i="4"/>
  <c r="A3269" i="4"/>
  <c r="A3270" i="4"/>
  <c r="A3271" i="4"/>
  <c r="A3272" i="4"/>
  <c r="A3273" i="4"/>
  <c r="A3274" i="4"/>
  <c r="A3275" i="4"/>
  <c r="A3276" i="4"/>
  <c r="A3277" i="4"/>
  <c r="A3278" i="4"/>
  <c r="A3279" i="4"/>
  <c r="A3280" i="4"/>
  <c r="A3281" i="4"/>
  <c r="A3282" i="4"/>
  <c r="A3283" i="4"/>
  <c r="A3284" i="4"/>
  <c r="A3285" i="4"/>
  <c r="A3286" i="4"/>
  <c r="A3287" i="4"/>
  <c r="A3288" i="4"/>
  <c r="A3289" i="4"/>
  <c r="A3290" i="4"/>
  <c r="A3291" i="4"/>
  <c r="A3292" i="4"/>
  <c r="A3293" i="4"/>
  <c r="A3294" i="4"/>
  <c r="A3295" i="4"/>
  <c r="A3296" i="4"/>
  <c r="A3297" i="4"/>
  <c r="A3298" i="4"/>
  <c r="A3299" i="4"/>
  <c r="A3300" i="4"/>
  <c r="A3301" i="4"/>
  <c r="A3302" i="4"/>
  <c r="A3303" i="4"/>
  <c r="A3304" i="4"/>
  <c r="A3305" i="4"/>
  <c r="A3306" i="4"/>
  <c r="A3307" i="4"/>
  <c r="A3308" i="4"/>
  <c r="A3309" i="4"/>
  <c r="A3310" i="4"/>
  <c r="A3311" i="4"/>
  <c r="A3312" i="4"/>
  <c r="A3313" i="4"/>
  <c r="A3314" i="4"/>
  <c r="A3315" i="4"/>
  <c r="A3316" i="4"/>
  <c r="A3317" i="4"/>
  <c r="A3318" i="4"/>
  <c r="A3319" i="4"/>
  <c r="A3320" i="4"/>
  <c r="A3321" i="4"/>
  <c r="A3322" i="4"/>
  <c r="A3323" i="4"/>
  <c r="A3324" i="4"/>
  <c r="A3325" i="4"/>
  <c r="A3326" i="4"/>
  <c r="A3327" i="4"/>
  <c r="A3328" i="4"/>
  <c r="A3329" i="4"/>
  <c r="A3330" i="4"/>
  <c r="A3331" i="4"/>
  <c r="A3332" i="4"/>
  <c r="A3333" i="4"/>
  <c r="A3334" i="4"/>
  <c r="A3335" i="4"/>
  <c r="A3336" i="4"/>
  <c r="A3337" i="4"/>
  <c r="A3338" i="4"/>
  <c r="A3339" i="4"/>
  <c r="A3340" i="4"/>
  <c r="A3341" i="4"/>
  <c r="A3342" i="4"/>
  <c r="A3343" i="4"/>
  <c r="A3344" i="4"/>
  <c r="A3345" i="4"/>
  <c r="A3346" i="4"/>
  <c r="A3347" i="4"/>
  <c r="A3348" i="4"/>
  <c r="A3349" i="4"/>
  <c r="A3350" i="4"/>
  <c r="A3351" i="4"/>
  <c r="A3352" i="4"/>
  <c r="A3353" i="4"/>
  <c r="A3354" i="4"/>
  <c r="A3355" i="4"/>
  <c r="A3356" i="4"/>
  <c r="A3357" i="4"/>
  <c r="A3358" i="4"/>
  <c r="A3359" i="4"/>
  <c r="A3360" i="4"/>
  <c r="A3361" i="4"/>
  <c r="A3362" i="4"/>
  <c r="A3363" i="4"/>
  <c r="A3364" i="4"/>
  <c r="A3365" i="4"/>
  <c r="A3366" i="4"/>
  <c r="A3367" i="4"/>
  <c r="A3368" i="4"/>
  <c r="A3369" i="4"/>
  <c r="A3370" i="4"/>
  <c r="A3371" i="4"/>
  <c r="A3372" i="4"/>
  <c r="A3373" i="4"/>
  <c r="A3374" i="4"/>
  <c r="A3375" i="4"/>
  <c r="A3376" i="4"/>
  <c r="A3377" i="4"/>
  <c r="A3378" i="4"/>
  <c r="A3379" i="4"/>
  <c r="A3380" i="4"/>
  <c r="A3381" i="4"/>
  <c r="A3382" i="4"/>
  <c r="A3383" i="4"/>
  <c r="A3384" i="4"/>
  <c r="A3385" i="4"/>
  <c r="A3386" i="4"/>
  <c r="A3387" i="4"/>
  <c r="A3388" i="4"/>
  <c r="A3389" i="4"/>
  <c r="A3390" i="4"/>
  <c r="A3391" i="4"/>
  <c r="A3392" i="4"/>
  <c r="A3393" i="4"/>
  <c r="A3394" i="4"/>
  <c r="A3395" i="4"/>
  <c r="A3396" i="4"/>
  <c r="A3397" i="4"/>
  <c r="A3398" i="4"/>
  <c r="A3399" i="4"/>
  <c r="A3400" i="4"/>
  <c r="A3401" i="4"/>
  <c r="A3402" i="4"/>
  <c r="A3403" i="4"/>
  <c r="A3404" i="4"/>
  <c r="A3405" i="4"/>
  <c r="A3406" i="4"/>
  <c r="A3407" i="4"/>
  <c r="A3408" i="4"/>
  <c r="A3409" i="4"/>
  <c r="A3410" i="4"/>
  <c r="A3411" i="4"/>
  <c r="A3412" i="4"/>
  <c r="A3413" i="4"/>
  <c r="A3414" i="4"/>
  <c r="A3415" i="4"/>
  <c r="A3416" i="4"/>
  <c r="A3417" i="4"/>
  <c r="A3418" i="4"/>
  <c r="A3419" i="4"/>
  <c r="A3420" i="4"/>
  <c r="A3421" i="4"/>
  <c r="A3422" i="4"/>
  <c r="A3423" i="4"/>
  <c r="A3424" i="4"/>
  <c r="A3425" i="4"/>
  <c r="A3426" i="4"/>
  <c r="A3427" i="4"/>
  <c r="A3428" i="4"/>
  <c r="A3429" i="4"/>
  <c r="A3430" i="4"/>
  <c r="A3431" i="4"/>
  <c r="A3432" i="4"/>
  <c r="A3433" i="4"/>
  <c r="A3434" i="4"/>
  <c r="A3435" i="4"/>
  <c r="A3436" i="4"/>
  <c r="A3437" i="4"/>
  <c r="A3438" i="4"/>
  <c r="A3439" i="4"/>
  <c r="A3440" i="4"/>
  <c r="A3441" i="4"/>
  <c r="A3442" i="4"/>
  <c r="A3443" i="4"/>
  <c r="A3444" i="4"/>
  <c r="A3445" i="4"/>
  <c r="A3446" i="4"/>
  <c r="A3447" i="4"/>
  <c r="A3448" i="4"/>
  <c r="A3449" i="4"/>
  <c r="A3450" i="4"/>
  <c r="A3451" i="4"/>
  <c r="A3452" i="4"/>
  <c r="A3453" i="4"/>
  <c r="A3454" i="4"/>
  <c r="A3455" i="4"/>
  <c r="A3456" i="4"/>
  <c r="A3457" i="4"/>
  <c r="A3458" i="4"/>
  <c r="A3459" i="4"/>
  <c r="A3460" i="4"/>
  <c r="A3461" i="4"/>
  <c r="A3462" i="4"/>
  <c r="A3463" i="4"/>
  <c r="A3464" i="4"/>
  <c r="A3465" i="4"/>
  <c r="A3466" i="4"/>
  <c r="A3467" i="4"/>
  <c r="A3468" i="4"/>
  <c r="A3469" i="4"/>
  <c r="A3470" i="4"/>
  <c r="A3471" i="4"/>
  <c r="A3472" i="4"/>
  <c r="A3473" i="4"/>
  <c r="A3474" i="4"/>
  <c r="A3475" i="4"/>
  <c r="A3476" i="4"/>
  <c r="A3477" i="4"/>
  <c r="A3478" i="4"/>
  <c r="A3479" i="4"/>
  <c r="A3480" i="4"/>
  <c r="A3481" i="4"/>
  <c r="A3482" i="4"/>
  <c r="A3483" i="4"/>
  <c r="A3484" i="4"/>
  <c r="A3485" i="4"/>
  <c r="A3486" i="4"/>
  <c r="A3487" i="4"/>
  <c r="A3488" i="4"/>
  <c r="A3489" i="4"/>
  <c r="A3490" i="4"/>
  <c r="A3491" i="4"/>
  <c r="A3492" i="4"/>
  <c r="A3493" i="4"/>
  <c r="A3494" i="4"/>
  <c r="A3495" i="4"/>
  <c r="A3496" i="4"/>
  <c r="A3497" i="4"/>
  <c r="A3498" i="4"/>
  <c r="A3499" i="4"/>
  <c r="A3500" i="4"/>
  <c r="A3501" i="4"/>
  <c r="A3502" i="4"/>
  <c r="A3503" i="4"/>
  <c r="A3504" i="4"/>
  <c r="A3505" i="4"/>
  <c r="A3506" i="4"/>
  <c r="A3507" i="4"/>
  <c r="A3508" i="4"/>
  <c r="A3509" i="4"/>
  <c r="A3510" i="4"/>
  <c r="A3511" i="4"/>
  <c r="A3512" i="4"/>
  <c r="A3513" i="4"/>
  <c r="A3514" i="4"/>
  <c r="A3515" i="4"/>
  <c r="A3516" i="4"/>
  <c r="A3517" i="4"/>
  <c r="A3518" i="4"/>
  <c r="A3519" i="4"/>
  <c r="A3520" i="4"/>
  <c r="A3521" i="4"/>
  <c r="A3522" i="4"/>
  <c r="A3523" i="4"/>
  <c r="A3524" i="4"/>
  <c r="A3525" i="4"/>
  <c r="A3526" i="4"/>
  <c r="A3527" i="4"/>
  <c r="A3528" i="4"/>
  <c r="A3529" i="4"/>
  <c r="A3530" i="4"/>
  <c r="A3531" i="4"/>
  <c r="A3532" i="4"/>
  <c r="A3533" i="4"/>
  <c r="A3534" i="4"/>
  <c r="A3535" i="4"/>
  <c r="A3536" i="4"/>
  <c r="A3537" i="4"/>
  <c r="A3538" i="4"/>
  <c r="A3539" i="4"/>
  <c r="A3540" i="4"/>
  <c r="A3541" i="4"/>
  <c r="A3542" i="4"/>
  <c r="A3543" i="4"/>
  <c r="A3544" i="4"/>
  <c r="A3545" i="4"/>
  <c r="A3546" i="4"/>
  <c r="A3547" i="4"/>
  <c r="A3548" i="4"/>
  <c r="A3549" i="4"/>
  <c r="A3550" i="4"/>
  <c r="A3551" i="4"/>
  <c r="A3552" i="4"/>
  <c r="A3553" i="4"/>
  <c r="A3554" i="4"/>
  <c r="A3555" i="4"/>
  <c r="A3556" i="4"/>
  <c r="A3557" i="4"/>
  <c r="A3558" i="4"/>
  <c r="A3559" i="4"/>
  <c r="A3560" i="4"/>
  <c r="A3561" i="4"/>
  <c r="A3562" i="4"/>
  <c r="A3563" i="4"/>
  <c r="A3564" i="4"/>
  <c r="A3565" i="4"/>
  <c r="A3566" i="4"/>
  <c r="A3567" i="4"/>
  <c r="A3568" i="4"/>
  <c r="A3569" i="4"/>
  <c r="A3570" i="4"/>
  <c r="A3571" i="4"/>
  <c r="A3572" i="4"/>
  <c r="A3573" i="4"/>
  <c r="A3574" i="4"/>
  <c r="A3575" i="4"/>
  <c r="A3576" i="4"/>
  <c r="A3577" i="4"/>
  <c r="A3578" i="4"/>
  <c r="A3579" i="4"/>
  <c r="A3580" i="4"/>
  <c r="A3581" i="4"/>
  <c r="A3582" i="4"/>
  <c r="A3583" i="4"/>
  <c r="A3584" i="4"/>
  <c r="A3585" i="4"/>
  <c r="A3586" i="4"/>
  <c r="A3587" i="4"/>
  <c r="A3588" i="4"/>
  <c r="A3589" i="4"/>
  <c r="A3590" i="4"/>
  <c r="A3591" i="4"/>
  <c r="A3592" i="4"/>
  <c r="A3593" i="4"/>
  <c r="A3594" i="4"/>
  <c r="A3595" i="4"/>
  <c r="A3596" i="4"/>
  <c r="A3597" i="4"/>
  <c r="A3598" i="4"/>
  <c r="A3599" i="4"/>
  <c r="A3600" i="4"/>
  <c r="A3601" i="4"/>
  <c r="A3602" i="4"/>
  <c r="A3603" i="4"/>
  <c r="A3604" i="4"/>
  <c r="A3605" i="4"/>
  <c r="A3606" i="4"/>
  <c r="A3607" i="4"/>
  <c r="A3608" i="4"/>
  <c r="A3609" i="4"/>
  <c r="A3610" i="4"/>
  <c r="A3611" i="4"/>
  <c r="A3612" i="4"/>
  <c r="A3613" i="4"/>
  <c r="A3614" i="4"/>
  <c r="A3615" i="4"/>
  <c r="A3616" i="4"/>
  <c r="A3617" i="4"/>
  <c r="A3618" i="4"/>
  <c r="A3619" i="4"/>
  <c r="A3620" i="4"/>
  <c r="A3621" i="4"/>
  <c r="A3622" i="4"/>
  <c r="A3623" i="4"/>
  <c r="A3624" i="4"/>
  <c r="A3625" i="4"/>
  <c r="A3626" i="4"/>
  <c r="A3627" i="4"/>
  <c r="A3628" i="4"/>
  <c r="A3629" i="4"/>
  <c r="A3630" i="4"/>
  <c r="A3631" i="4"/>
  <c r="A3632" i="4"/>
  <c r="A3633" i="4"/>
  <c r="A3634" i="4"/>
  <c r="A3635" i="4"/>
  <c r="A3636" i="4"/>
  <c r="A3637" i="4"/>
  <c r="A3638" i="4"/>
  <c r="A3639" i="4"/>
  <c r="A3640" i="4"/>
  <c r="A3641" i="4"/>
  <c r="A3642" i="4"/>
  <c r="A3643" i="4"/>
  <c r="A3644" i="4"/>
  <c r="A3645" i="4"/>
  <c r="A3646" i="4"/>
  <c r="A3647" i="4"/>
  <c r="A3648" i="4"/>
  <c r="A3649" i="4"/>
  <c r="A3650" i="4"/>
  <c r="A3651" i="4"/>
  <c r="A3652" i="4"/>
  <c r="A3653" i="4"/>
  <c r="A3654" i="4"/>
  <c r="A3655" i="4"/>
  <c r="A3656" i="4"/>
  <c r="A3657" i="4"/>
  <c r="A3658" i="4"/>
  <c r="A3659" i="4"/>
  <c r="A3660" i="4"/>
  <c r="A3661" i="4"/>
  <c r="A3662" i="4"/>
  <c r="A3663" i="4"/>
  <c r="A3664" i="4"/>
  <c r="A3665" i="4"/>
  <c r="A3666" i="4"/>
  <c r="A3667" i="4"/>
  <c r="A3668" i="4"/>
  <c r="A3669" i="4"/>
  <c r="A3670" i="4"/>
  <c r="A3671" i="4"/>
  <c r="A3672" i="4"/>
  <c r="A3673" i="4"/>
  <c r="A3674" i="4"/>
  <c r="A3675" i="4"/>
  <c r="A3676" i="4"/>
  <c r="A3677" i="4"/>
  <c r="A3678" i="4"/>
  <c r="A3679" i="4"/>
  <c r="A3680" i="4"/>
  <c r="A3681" i="4"/>
  <c r="A3682" i="4"/>
  <c r="A3683" i="4"/>
  <c r="A3684" i="4"/>
  <c r="A3685" i="4"/>
  <c r="A3686" i="4"/>
  <c r="A3687" i="4"/>
  <c r="A3688" i="4"/>
  <c r="A3689" i="4"/>
  <c r="A3690" i="4"/>
  <c r="A3691" i="4"/>
  <c r="A3692" i="4"/>
  <c r="A3693" i="4"/>
  <c r="A3694" i="4"/>
  <c r="A3695" i="4"/>
  <c r="A3696" i="4"/>
  <c r="A3697" i="4"/>
  <c r="A3698" i="4"/>
  <c r="A3699" i="4"/>
  <c r="A3700" i="4"/>
  <c r="A3701" i="4"/>
  <c r="A3702" i="4"/>
  <c r="A3703" i="4"/>
  <c r="A3704" i="4"/>
  <c r="A3705" i="4"/>
  <c r="A3706" i="4"/>
  <c r="A3707" i="4"/>
  <c r="A3708" i="4"/>
  <c r="A3709" i="4"/>
  <c r="A3710" i="4"/>
  <c r="A3711" i="4"/>
  <c r="A3712" i="4"/>
  <c r="A3713" i="4"/>
  <c r="A3714" i="4"/>
  <c r="A3715" i="4"/>
  <c r="A3716" i="4"/>
  <c r="A3717" i="4"/>
  <c r="A3718" i="4"/>
  <c r="A3719" i="4"/>
  <c r="A3720" i="4"/>
  <c r="A3721" i="4"/>
  <c r="A3722" i="4"/>
  <c r="A3723" i="4"/>
  <c r="A3724" i="4"/>
  <c r="A3725" i="4"/>
  <c r="A3726" i="4"/>
  <c r="A3727" i="4"/>
  <c r="A3728" i="4"/>
  <c r="A3729" i="4"/>
  <c r="A3730" i="4"/>
  <c r="A3731" i="4"/>
  <c r="A3732" i="4"/>
  <c r="A3733" i="4"/>
  <c r="A3734" i="4"/>
  <c r="A3735" i="4"/>
  <c r="A3736" i="4"/>
  <c r="A3737" i="4"/>
  <c r="A3738" i="4"/>
  <c r="A3739" i="4"/>
  <c r="A3740" i="4"/>
  <c r="A3741" i="4"/>
  <c r="A3742" i="4"/>
  <c r="A3743" i="4"/>
  <c r="A3744" i="4"/>
  <c r="A3745" i="4"/>
  <c r="A3746" i="4"/>
  <c r="A3747" i="4"/>
  <c r="A3748" i="4"/>
  <c r="A3749" i="4"/>
  <c r="A3750" i="4"/>
  <c r="A3751" i="4"/>
  <c r="A3752" i="4"/>
  <c r="A3753" i="4"/>
  <c r="A3754" i="4"/>
  <c r="A3755" i="4"/>
  <c r="A3756" i="4"/>
  <c r="A3757" i="4"/>
  <c r="A3758" i="4"/>
  <c r="A3759" i="4"/>
  <c r="A3760" i="4"/>
  <c r="A3761" i="4"/>
  <c r="A3762" i="4"/>
  <c r="A3763" i="4"/>
  <c r="A3764" i="4"/>
  <c r="A3765" i="4"/>
  <c r="A3766" i="4"/>
  <c r="A3767" i="4"/>
  <c r="A3768" i="4"/>
  <c r="A3769" i="4"/>
  <c r="A3770" i="4"/>
  <c r="A3771" i="4"/>
  <c r="A3772" i="4"/>
  <c r="A3773" i="4"/>
  <c r="A3774" i="4"/>
  <c r="A3775" i="4"/>
  <c r="A3776" i="4"/>
  <c r="A3777" i="4"/>
  <c r="A3778" i="4"/>
  <c r="A3779" i="4"/>
  <c r="A3780" i="4"/>
  <c r="A3781" i="4"/>
  <c r="A3782" i="4"/>
  <c r="A3783" i="4"/>
  <c r="A3784" i="4"/>
  <c r="A3785" i="4"/>
  <c r="A3786" i="4"/>
  <c r="A3787" i="4"/>
  <c r="A3788" i="4"/>
  <c r="A3789" i="4"/>
  <c r="A3790" i="4"/>
  <c r="A3791" i="4"/>
  <c r="A3792" i="4"/>
  <c r="A3793" i="4"/>
  <c r="A3794" i="4"/>
  <c r="A3795" i="4"/>
  <c r="A3796" i="4"/>
  <c r="A3797" i="4"/>
  <c r="A3798" i="4"/>
  <c r="A3799" i="4"/>
  <c r="A3800" i="4"/>
  <c r="A3801" i="4"/>
  <c r="A3802" i="4"/>
  <c r="A3803" i="4"/>
  <c r="A3804" i="4"/>
  <c r="A3805" i="4"/>
  <c r="A3806" i="4"/>
  <c r="A3807" i="4"/>
  <c r="A3808" i="4"/>
  <c r="A3809" i="4"/>
  <c r="A3810" i="4"/>
  <c r="A3811" i="4"/>
  <c r="A3812" i="4"/>
  <c r="A3813" i="4"/>
  <c r="A3814" i="4"/>
  <c r="A3815" i="4"/>
  <c r="A3816" i="4"/>
  <c r="A3817" i="4"/>
  <c r="A3818" i="4"/>
  <c r="A3819" i="4"/>
  <c r="A3820" i="4"/>
  <c r="A3821" i="4"/>
  <c r="A3822" i="4"/>
  <c r="A3823" i="4"/>
  <c r="A3824" i="4"/>
  <c r="A3825" i="4"/>
  <c r="A3826" i="4"/>
  <c r="A3827" i="4"/>
  <c r="A3828" i="4"/>
  <c r="A3829" i="4"/>
  <c r="A3830" i="4"/>
  <c r="A3831" i="4"/>
  <c r="A3832" i="4"/>
  <c r="A3833" i="4"/>
  <c r="A3834" i="4"/>
  <c r="A3835" i="4"/>
  <c r="A3836" i="4"/>
  <c r="A3837" i="4"/>
  <c r="A3838" i="4"/>
  <c r="A3839" i="4"/>
  <c r="A3840" i="4"/>
  <c r="A3841" i="4"/>
  <c r="A3842" i="4"/>
  <c r="A3843" i="4"/>
  <c r="A3844" i="4"/>
  <c r="A3845" i="4"/>
  <c r="A3846" i="4"/>
  <c r="A3847" i="4"/>
  <c r="A3848" i="4"/>
  <c r="A3849" i="4"/>
  <c r="A3850" i="4"/>
  <c r="A3851" i="4"/>
  <c r="A3852" i="4"/>
  <c r="A3853" i="4"/>
  <c r="A3854" i="4"/>
  <c r="A3855" i="4"/>
  <c r="A3856" i="4"/>
  <c r="A3857" i="4"/>
  <c r="A3858" i="4"/>
  <c r="A3859" i="4"/>
  <c r="A3860" i="4"/>
  <c r="A3861" i="4"/>
  <c r="A3862" i="4"/>
  <c r="A3863" i="4"/>
  <c r="A3864" i="4"/>
  <c r="A3865" i="4"/>
  <c r="A3866" i="4"/>
  <c r="A3867" i="4"/>
  <c r="A3868" i="4"/>
  <c r="A3869" i="4"/>
  <c r="A3870" i="4"/>
  <c r="A3871" i="4"/>
  <c r="A3872" i="4"/>
  <c r="A3873" i="4"/>
  <c r="A3874" i="4"/>
  <c r="A3875" i="4"/>
  <c r="A3876" i="4"/>
  <c r="A3877" i="4"/>
  <c r="A3878" i="4"/>
  <c r="A3879" i="4"/>
  <c r="A3880" i="4"/>
  <c r="A3881" i="4"/>
  <c r="A3882" i="4"/>
  <c r="A3883" i="4"/>
  <c r="A3884" i="4"/>
  <c r="A3885" i="4"/>
  <c r="A3886" i="4"/>
  <c r="A3887" i="4"/>
  <c r="A3888" i="4"/>
  <c r="A3889" i="4"/>
  <c r="A3890" i="4"/>
  <c r="A3891" i="4"/>
  <c r="A3892" i="4"/>
  <c r="A3893" i="4"/>
  <c r="A3894" i="4"/>
  <c r="A3895" i="4"/>
  <c r="A3896" i="4"/>
  <c r="A3897" i="4"/>
  <c r="A3898" i="4"/>
  <c r="A3899" i="4"/>
  <c r="A3900" i="4"/>
  <c r="A3901" i="4"/>
  <c r="A3902" i="4"/>
  <c r="A3903" i="4"/>
  <c r="A3904" i="4"/>
  <c r="A3905" i="4"/>
  <c r="A3906" i="4"/>
  <c r="A3907" i="4"/>
  <c r="A3908" i="4"/>
  <c r="A3909" i="4"/>
  <c r="A3910" i="4"/>
  <c r="A3911" i="4"/>
  <c r="A3912" i="4"/>
  <c r="A3913" i="4"/>
  <c r="A3914" i="4"/>
  <c r="A3915" i="4"/>
  <c r="A3916" i="4"/>
  <c r="A3917" i="4"/>
  <c r="A3918" i="4"/>
  <c r="A3919" i="4"/>
  <c r="A3920" i="4"/>
  <c r="A3921" i="4"/>
  <c r="A3922" i="4"/>
  <c r="A3923" i="4"/>
  <c r="A3924" i="4"/>
  <c r="A3925" i="4"/>
  <c r="A3926" i="4"/>
  <c r="A3927" i="4"/>
  <c r="A3928" i="4"/>
  <c r="A3929" i="4"/>
  <c r="A3930" i="4"/>
  <c r="A3931" i="4"/>
  <c r="A3932" i="4"/>
  <c r="A3933" i="4"/>
  <c r="A3934" i="4"/>
  <c r="A3935" i="4"/>
  <c r="A3936" i="4"/>
  <c r="A3937" i="4"/>
  <c r="A3938" i="4"/>
  <c r="A3939" i="4"/>
  <c r="A3940" i="4"/>
  <c r="A3941" i="4"/>
  <c r="A3942" i="4"/>
  <c r="A3943" i="4"/>
  <c r="A3944" i="4"/>
  <c r="A3945" i="4"/>
  <c r="A3946" i="4"/>
  <c r="A3947" i="4"/>
  <c r="A3948" i="4"/>
  <c r="A3949" i="4"/>
  <c r="A3950" i="4"/>
  <c r="A3951" i="4"/>
  <c r="A3952" i="4"/>
  <c r="A3953" i="4"/>
  <c r="A3954" i="4"/>
  <c r="A3955" i="4"/>
  <c r="A3956" i="4"/>
  <c r="A3957" i="4"/>
  <c r="A3958" i="4"/>
  <c r="A3959" i="4"/>
  <c r="A3960" i="4"/>
  <c r="A3961" i="4"/>
  <c r="A3962" i="4"/>
  <c r="A3963" i="4"/>
  <c r="A3964" i="4"/>
  <c r="A3965" i="4"/>
  <c r="A3966" i="4"/>
  <c r="A3967" i="4"/>
  <c r="A3968" i="4"/>
  <c r="A3969" i="4"/>
  <c r="A3970" i="4"/>
  <c r="A3971" i="4"/>
  <c r="A3972" i="4"/>
  <c r="A3973" i="4"/>
  <c r="A3974" i="4"/>
  <c r="A3975" i="4"/>
  <c r="A3976" i="4"/>
  <c r="A3977" i="4"/>
  <c r="A3978" i="4"/>
  <c r="A3979" i="4"/>
  <c r="A3980" i="4"/>
  <c r="A3981" i="4"/>
  <c r="A3982" i="4"/>
  <c r="A3983" i="4"/>
  <c r="A3984" i="4"/>
  <c r="A3985" i="4"/>
  <c r="A3986" i="4"/>
  <c r="A3987" i="4"/>
  <c r="A3988" i="4"/>
  <c r="A3989" i="4"/>
  <c r="A3990" i="4"/>
  <c r="A3991" i="4"/>
  <c r="A3992" i="4"/>
  <c r="A3993" i="4"/>
  <c r="A3994" i="4"/>
  <c r="A3995" i="4"/>
  <c r="A3996" i="4"/>
  <c r="A3997" i="4"/>
  <c r="A3998" i="4"/>
  <c r="A3999" i="4"/>
  <c r="A4000" i="4"/>
  <c r="A6" i="4"/>
  <c r="F6" i="4" s="1"/>
  <c r="A7" i="4"/>
  <c r="F7" i="4" s="1"/>
  <c r="A8" i="4"/>
  <c r="F8" i="4" s="1"/>
  <c r="A9" i="4"/>
  <c r="F9" i="4" s="1"/>
  <c r="A10" i="4"/>
  <c r="F10" i="4" s="1"/>
  <c r="A11" i="4"/>
  <c r="F11" i="4" s="1"/>
  <c r="A12" i="4"/>
  <c r="F12" i="4" s="1"/>
  <c r="A13" i="4"/>
  <c r="F13" i="4" s="1"/>
  <c r="A14" i="4"/>
  <c r="F14" i="4" s="1"/>
  <c r="A15" i="4"/>
  <c r="F15" i="4" s="1"/>
  <c r="A16" i="4"/>
  <c r="F16" i="4" s="1"/>
  <c r="A17" i="4"/>
  <c r="F17" i="4" s="1"/>
  <c r="A18" i="4"/>
  <c r="F18" i="4" s="1"/>
  <c r="A19" i="4"/>
  <c r="F19" i="4" s="1"/>
  <c r="A20" i="4"/>
  <c r="F20" i="4" s="1"/>
  <c r="A21" i="4"/>
  <c r="F21" i="4" s="1"/>
  <c r="A22" i="4"/>
  <c r="F22" i="4" s="1"/>
  <c r="A23" i="4"/>
  <c r="F23" i="4" s="1"/>
  <c r="A24" i="4"/>
  <c r="F24" i="4" s="1"/>
  <c r="A25" i="4"/>
  <c r="F25" i="4" s="1"/>
  <c r="A26" i="4"/>
  <c r="F26" i="4" s="1"/>
  <c r="A27" i="4"/>
  <c r="F27" i="4" s="1"/>
  <c r="A28" i="4"/>
  <c r="F28" i="4" s="1"/>
  <c r="A29" i="4"/>
  <c r="F29" i="4" s="1"/>
  <c r="A30" i="4"/>
  <c r="F30" i="4" s="1"/>
  <c r="A31" i="4"/>
  <c r="F31" i="4" s="1"/>
  <c r="A32" i="4"/>
  <c r="F32" i="4" s="1"/>
  <c r="A33" i="4"/>
  <c r="F33" i="4" s="1"/>
  <c r="A34" i="4"/>
  <c r="F34" i="4" s="1"/>
  <c r="A35" i="4"/>
  <c r="F35" i="4" s="1"/>
  <c r="A37" i="4"/>
  <c r="F37" i="4" s="1"/>
  <c r="A38" i="4"/>
  <c r="F38" i="4" s="1"/>
  <c r="A39" i="4"/>
  <c r="F39" i="4" s="1"/>
  <c r="A40" i="4"/>
  <c r="F40" i="4" s="1"/>
  <c r="A41" i="4"/>
  <c r="F41" i="4" s="1"/>
  <c r="A42" i="4"/>
  <c r="F42" i="4" s="1"/>
  <c r="A43" i="4"/>
  <c r="F43" i="4" s="1"/>
  <c r="A44" i="4"/>
  <c r="F44" i="4" s="1"/>
  <c r="A45" i="4"/>
  <c r="F45" i="4" s="1"/>
  <c r="A46" i="4"/>
  <c r="F46" i="4" s="1"/>
  <c r="A47" i="4"/>
  <c r="F47" i="4" s="1"/>
  <c r="A48" i="4"/>
  <c r="F48" i="4" s="1"/>
  <c r="A49" i="4"/>
  <c r="F49" i="4" s="1"/>
  <c r="A50" i="4"/>
  <c r="F50" i="4" s="1"/>
  <c r="A51" i="4"/>
  <c r="F51" i="4" s="1"/>
  <c r="A52" i="4"/>
  <c r="F52" i="4" s="1"/>
  <c r="A53" i="4"/>
  <c r="F53" i="4" s="1"/>
  <c r="A54" i="4"/>
  <c r="F54" i="4" s="1"/>
  <c r="A55" i="4"/>
  <c r="F55" i="4" s="1"/>
  <c r="A56" i="4"/>
  <c r="F56" i="4" s="1"/>
  <c r="A57" i="4"/>
  <c r="F57" i="4" s="1"/>
  <c r="A58" i="4"/>
  <c r="F58" i="4" s="1"/>
  <c r="A59" i="4"/>
  <c r="F59" i="4" s="1"/>
  <c r="A60" i="4"/>
  <c r="F60" i="4" s="1"/>
  <c r="A61" i="4"/>
  <c r="F61" i="4" s="1"/>
  <c r="A62" i="4"/>
  <c r="F62" i="4" s="1"/>
  <c r="A63" i="4"/>
  <c r="F63" i="4" s="1"/>
  <c r="A64" i="4"/>
  <c r="F64" i="4" s="1"/>
  <c r="A65" i="4"/>
  <c r="F65" i="4" s="1"/>
  <c r="A66" i="4"/>
  <c r="F66" i="4" s="1"/>
  <c r="A67" i="4"/>
  <c r="F67" i="4" s="1"/>
  <c r="A68" i="4"/>
  <c r="F68" i="4" s="1"/>
  <c r="A69" i="4"/>
  <c r="F69" i="4" s="1"/>
  <c r="A70" i="4"/>
  <c r="F70" i="4" s="1"/>
  <c r="A71" i="4"/>
  <c r="F71" i="4" s="1"/>
  <c r="A72" i="4"/>
  <c r="F72" i="4" s="1"/>
  <c r="A73" i="4"/>
  <c r="F73" i="4" s="1"/>
  <c r="A74" i="4"/>
  <c r="F74" i="4" s="1"/>
  <c r="A75" i="4"/>
  <c r="F75" i="4" s="1"/>
  <c r="A76" i="4"/>
  <c r="F76" i="4" s="1"/>
  <c r="A77" i="4"/>
  <c r="F77" i="4" s="1"/>
  <c r="A78" i="4"/>
  <c r="F78" i="4" s="1"/>
  <c r="A79" i="4"/>
  <c r="F79" i="4" s="1"/>
  <c r="A80" i="4"/>
  <c r="F80" i="4" s="1"/>
  <c r="A81" i="4"/>
  <c r="F81" i="4" s="1"/>
  <c r="A82" i="4"/>
  <c r="F82" i="4" s="1"/>
  <c r="A83" i="4"/>
  <c r="F83" i="4" s="1"/>
  <c r="A84" i="4"/>
  <c r="F84" i="4" s="1"/>
  <c r="A85" i="4"/>
  <c r="F85" i="4" s="1"/>
  <c r="A86" i="4"/>
  <c r="F86" i="4" s="1"/>
  <c r="A87" i="4"/>
  <c r="F87" i="4" s="1"/>
  <c r="A88" i="4"/>
  <c r="F88" i="4" s="1"/>
  <c r="A89" i="4"/>
  <c r="F89" i="4" s="1"/>
  <c r="A90" i="4"/>
  <c r="F90" i="4" s="1"/>
  <c r="A91" i="4"/>
  <c r="F91" i="4" s="1"/>
  <c r="A92" i="4"/>
  <c r="F92" i="4" s="1"/>
  <c r="A93" i="4"/>
  <c r="F93" i="4" s="1"/>
  <c r="A94" i="4"/>
  <c r="F94" i="4" s="1"/>
  <c r="A95" i="4"/>
  <c r="F95" i="4" s="1"/>
  <c r="A96" i="4"/>
  <c r="F96" i="4" s="1"/>
  <c r="A97" i="4"/>
  <c r="F97" i="4" s="1"/>
  <c r="A98" i="4"/>
  <c r="F98" i="4" s="1"/>
  <c r="A99" i="4"/>
  <c r="F99" i="4" s="1"/>
  <c r="A100" i="4"/>
  <c r="F100" i="4" s="1"/>
  <c r="A101" i="4"/>
  <c r="F101" i="4" s="1"/>
  <c r="A102" i="4"/>
  <c r="F102" i="4" s="1"/>
  <c r="A103" i="4"/>
  <c r="F103" i="4" s="1"/>
  <c r="A104" i="4"/>
  <c r="F104" i="4" s="1"/>
  <c r="A105" i="4"/>
  <c r="F105" i="4" s="1"/>
  <c r="A106" i="4"/>
  <c r="F106" i="4" s="1"/>
  <c r="A107" i="4"/>
  <c r="F107" i="4" s="1"/>
  <c r="A108" i="4"/>
  <c r="F108" i="4" s="1"/>
  <c r="A109" i="4"/>
  <c r="F109" i="4" s="1"/>
  <c r="A110" i="4"/>
  <c r="F110" i="4" s="1"/>
  <c r="A111" i="4"/>
  <c r="F111" i="4" s="1"/>
  <c r="A112" i="4"/>
  <c r="F112" i="4" s="1"/>
  <c r="A113" i="4"/>
  <c r="F113" i="4" s="1"/>
  <c r="A114" i="4"/>
  <c r="F114" i="4" s="1"/>
  <c r="A115" i="4"/>
  <c r="F115" i="4" s="1"/>
  <c r="A116" i="4"/>
  <c r="F116" i="4" s="1"/>
  <c r="A117" i="4"/>
  <c r="F117" i="4" s="1"/>
  <c r="A118" i="4"/>
  <c r="F118" i="4" s="1"/>
  <c r="A119" i="4"/>
  <c r="F119" i="4" s="1"/>
  <c r="A120" i="4"/>
  <c r="F120" i="4" s="1"/>
  <c r="A121" i="4"/>
  <c r="F121" i="4" s="1"/>
  <c r="A122" i="4"/>
  <c r="F122" i="4" s="1"/>
  <c r="A123" i="4"/>
  <c r="F123" i="4" s="1"/>
  <c r="A124" i="4"/>
  <c r="F124" i="4" s="1"/>
  <c r="A125" i="4"/>
  <c r="F125" i="4" s="1"/>
  <c r="A126" i="4"/>
  <c r="F126" i="4" s="1"/>
  <c r="A127" i="4"/>
  <c r="F127" i="4" s="1"/>
  <c r="A128" i="4"/>
  <c r="F128" i="4" s="1"/>
  <c r="A129" i="4"/>
  <c r="F129" i="4" s="1"/>
  <c r="A130" i="4"/>
  <c r="F130" i="4" s="1"/>
  <c r="A131" i="4"/>
  <c r="F131" i="4" s="1"/>
  <c r="A132" i="4"/>
  <c r="F132" i="4" s="1"/>
  <c r="A133" i="4"/>
  <c r="F133" i="4" s="1"/>
  <c r="A134" i="4"/>
  <c r="F134" i="4" s="1"/>
  <c r="A135" i="4"/>
  <c r="F135" i="4" s="1"/>
  <c r="A136" i="4"/>
  <c r="F136" i="4" s="1"/>
  <c r="A137" i="4"/>
  <c r="F137" i="4" s="1"/>
  <c r="A138" i="4"/>
  <c r="F138" i="4" s="1"/>
  <c r="A139" i="4"/>
  <c r="F139" i="4" s="1"/>
  <c r="A140" i="4"/>
  <c r="F140" i="4" s="1"/>
  <c r="A141" i="4"/>
  <c r="F141" i="4" s="1"/>
  <c r="A142" i="4"/>
  <c r="F142" i="4" s="1"/>
  <c r="A143" i="4"/>
  <c r="F143" i="4" s="1"/>
  <c r="A144" i="4"/>
  <c r="F144" i="4" s="1"/>
  <c r="A145" i="4"/>
  <c r="F145" i="4" s="1"/>
  <c r="A146" i="4"/>
  <c r="F146" i="4" s="1"/>
  <c r="A147" i="4"/>
  <c r="F147" i="4" s="1"/>
  <c r="A148" i="4"/>
  <c r="F148" i="4" s="1"/>
  <c r="A149" i="4"/>
  <c r="F149" i="4" s="1"/>
  <c r="A150" i="4"/>
  <c r="F150" i="4" s="1"/>
  <c r="A151" i="4"/>
  <c r="F151" i="4" s="1"/>
  <c r="A152" i="4"/>
  <c r="F152" i="4" s="1"/>
  <c r="A153" i="4"/>
  <c r="F153" i="4" s="1"/>
  <c r="A154" i="4"/>
  <c r="F154" i="4" s="1"/>
  <c r="A155" i="4"/>
  <c r="F155" i="4" s="1"/>
  <c r="A156" i="4"/>
  <c r="F156" i="4" s="1"/>
  <c r="A157" i="4"/>
  <c r="F157" i="4" s="1"/>
  <c r="A158" i="4"/>
  <c r="F158" i="4" s="1"/>
  <c r="A159" i="4"/>
  <c r="F159" i="4" s="1"/>
  <c r="A160" i="4"/>
  <c r="F160" i="4" s="1"/>
  <c r="A161" i="4"/>
  <c r="F161" i="4" s="1"/>
  <c r="A162" i="4"/>
  <c r="F162" i="4" s="1"/>
  <c r="A163" i="4"/>
  <c r="F163" i="4" s="1"/>
  <c r="A164" i="4"/>
  <c r="F164" i="4" s="1"/>
  <c r="A165" i="4"/>
  <c r="F165" i="4" s="1"/>
  <c r="A166" i="4"/>
  <c r="F166" i="4" s="1"/>
  <c r="A167" i="4"/>
  <c r="F167" i="4" s="1"/>
  <c r="A168" i="4"/>
  <c r="F168" i="4" s="1"/>
  <c r="A169" i="4"/>
  <c r="F169" i="4" s="1"/>
  <c r="A170" i="4"/>
  <c r="F170" i="4" s="1"/>
  <c r="A171" i="4"/>
  <c r="F171" i="4" s="1"/>
  <c r="A172" i="4"/>
  <c r="F172" i="4" s="1"/>
  <c r="A173" i="4"/>
  <c r="F173" i="4" s="1"/>
  <c r="A174" i="4"/>
  <c r="F174" i="4" s="1"/>
  <c r="A175" i="4"/>
  <c r="F175" i="4" s="1"/>
  <c r="A176" i="4"/>
  <c r="F176" i="4" s="1"/>
  <c r="A177" i="4"/>
  <c r="F177" i="4" s="1"/>
  <c r="A178" i="4"/>
  <c r="F178" i="4" s="1"/>
  <c r="A179" i="4"/>
  <c r="F179" i="4" s="1"/>
  <c r="A180" i="4"/>
  <c r="F180" i="4" s="1"/>
  <c r="A181" i="4"/>
  <c r="F181" i="4" s="1"/>
  <c r="A182" i="4"/>
  <c r="F182" i="4" s="1"/>
  <c r="A183" i="4"/>
  <c r="F183" i="4" s="1"/>
  <c r="A184" i="4"/>
  <c r="F184" i="4" s="1"/>
  <c r="A185" i="4"/>
  <c r="F185" i="4" s="1"/>
  <c r="A186" i="4"/>
  <c r="F186" i="4" s="1"/>
  <c r="A187" i="4"/>
  <c r="F187" i="4" s="1"/>
  <c r="A188" i="4"/>
  <c r="F188" i="4" s="1"/>
  <c r="A189" i="4"/>
  <c r="F189" i="4" s="1"/>
  <c r="A190" i="4"/>
  <c r="F190" i="4" s="1"/>
  <c r="A191" i="4"/>
  <c r="F191" i="4" s="1"/>
  <c r="A192" i="4"/>
  <c r="F192" i="4" s="1"/>
  <c r="A193" i="4"/>
  <c r="F193" i="4" s="1"/>
  <c r="A194" i="4"/>
  <c r="F194" i="4" s="1"/>
  <c r="A195" i="4"/>
  <c r="F195" i="4" s="1"/>
  <c r="A196" i="4"/>
  <c r="F196" i="4" s="1"/>
  <c r="A197" i="4"/>
  <c r="F197" i="4" s="1"/>
  <c r="A198" i="4"/>
  <c r="F198" i="4" s="1"/>
  <c r="A199" i="4"/>
  <c r="F199" i="4" s="1"/>
  <c r="A200" i="4"/>
  <c r="F200" i="4" s="1"/>
  <c r="A201" i="4"/>
  <c r="F201" i="4" s="1"/>
  <c r="A202" i="4"/>
  <c r="F202" i="4" s="1"/>
  <c r="A203" i="4"/>
  <c r="F203" i="4" s="1"/>
  <c r="A204" i="4"/>
  <c r="F204" i="4" s="1"/>
  <c r="A205" i="4"/>
  <c r="F205" i="4" s="1"/>
  <c r="A206" i="4"/>
  <c r="F206" i="4" s="1"/>
  <c r="A207" i="4"/>
  <c r="F207" i="4" s="1"/>
  <c r="A208" i="4"/>
  <c r="F208" i="4" s="1"/>
  <c r="A209" i="4"/>
  <c r="F209" i="4" s="1"/>
  <c r="A210" i="4"/>
  <c r="F210" i="4" s="1"/>
  <c r="A211" i="4"/>
  <c r="F211" i="4" s="1"/>
  <c r="A212" i="4"/>
  <c r="F212" i="4" s="1"/>
  <c r="A213" i="4"/>
  <c r="F213" i="4" s="1"/>
  <c r="A214" i="4"/>
  <c r="F214" i="4" s="1"/>
  <c r="A215" i="4"/>
  <c r="F215" i="4" s="1"/>
  <c r="A216" i="4"/>
  <c r="F216" i="4" s="1"/>
  <c r="A217" i="4"/>
  <c r="F217" i="4" s="1"/>
  <c r="A218" i="4"/>
  <c r="F218" i="4" s="1"/>
  <c r="A219" i="4"/>
  <c r="F219" i="4" s="1"/>
  <c r="A220" i="4"/>
  <c r="F220" i="4" s="1"/>
  <c r="A221" i="4"/>
  <c r="F221" i="4" s="1"/>
  <c r="A222" i="4"/>
  <c r="F222" i="4" s="1"/>
  <c r="A223" i="4"/>
  <c r="F223" i="4" s="1"/>
  <c r="A224" i="4"/>
  <c r="F224" i="4" s="1"/>
  <c r="A225" i="4"/>
  <c r="F225" i="4" s="1"/>
  <c r="A226" i="4"/>
  <c r="F226" i="4" s="1"/>
  <c r="A227" i="4"/>
  <c r="F227" i="4" s="1"/>
  <c r="A228" i="4"/>
  <c r="F228" i="4" s="1"/>
  <c r="A229" i="4"/>
  <c r="F229" i="4" s="1"/>
  <c r="A230" i="4"/>
  <c r="F230" i="4" s="1"/>
  <c r="A231" i="4"/>
  <c r="F231" i="4" s="1"/>
  <c r="A232" i="4"/>
  <c r="F232" i="4" s="1"/>
  <c r="A233" i="4"/>
  <c r="F233" i="4" s="1"/>
  <c r="A234" i="4"/>
  <c r="F234" i="4" s="1"/>
  <c r="A235" i="4"/>
  <c r="F235" i="4" s="1"/>
  <c r="A236" i="4"/>
  <c r="F236" i="4" s="1"/>
  <c r="A237" i="4"/>
  <c r="F237" i="4" s="1"/>
  <c r="A238" i="4"/>
  <c r="F238" i="4" s="1"/>
  <c r="A239" i="4"/>
  <c r="F239" i="4" s="1"/>
  <c r="A240" i="4"/>
  <c r="F240" i="4" s="1"/>
  <c r="A241" i="4"/>
  <c r="F241" i="4" s="1"/>
  <c r="A242" i="4"/>
  <c r="F242" i="4" s="1"/>
  <c r="A243" i="4"/>
  <c r="F243" i="4" s="1"/>
  <c r="A244" i="4"/>
  <c r="F244" i="4" s="1"/>
  <c r="A245" i="4"/>
  <c r="F245" i="4" s="1"/>
  <c r="A246" i="4"/>
  <c r="F246" i="4" s="1"/>
  <c r="A247" i="4"/>
  <c r="F247" i="4" s="1"/>
  <c r="A248" i="4"/>
  <c r="F248" i="4" s="1"/>
  <c r="A249" i="4"/>
  <c r="F249" i="4" s="1"/>
  <c r="A250" i="4"/>
  <c r="F250" i="4" s="1"/>
  <c r="A251" i="4"/>
  <c r="F251" i="4" s="1"/>
  <c r="A252" i="4"/>
  <c r="F252" i="4" s="1"/>
  <c r="A253" i="4"/>
  <c r="F253" i="4" s="1"/>
  <c r="A254" i="4"/>
  <c r="F254" i="4" s="1"/>
  <c r="A255" i="4"/>
  <c r="F255" i="4" s="1"/>
  <c r="A256" i="4"/>
  <c r="F256" i="4" s="1"/>
  <c r="A257" i="4"/>
  <c r="F257" i="4" s="1"/>
  <c r="A258" i="4"/>
  <c r="F258" i="4" s="1"/>
  <c r="A259" i="4"/>
  <c r="F259" i="4" s="1"/>
  <c r="A260" i="4"/>
  <c r="F260" i="4" s="1"/>
  <c r="A261" i="4"/>
  <c r="F261" i="4" s="1"/>
  <c r="A262" i="4"/>
  <c r="F262" i="4" s="1"/>
  <c r="A263" i="4"/>
  <c r="F263" i="4" s="1"/>
  <c r="A264" i="4"/>
  <c r="F264" i="4" s="1"/>
  <c r="A265" i="4"/>
  <c r="F265" i="4" s="1"/>
  <c r="A266" i="4"/>
  <c r="F266" i="4" s="1"/>
  <c r="A267" i="4"/>
  <c r="F267" i="4" s="1"/>
  <c r="A268" i="4"/>
  <c r="F268" i="4" s="1"/>
  <c r="A269" i="4"/>
  <c r="F269" i="4" s="1"/>
  <c r="A270" i="4"/>
  <c r="F270" i="4" s="1"/>
  <c r="A271" i="4"/>
  <c r="F271" i="4" s="1"/>
  <c r="A272" i="4"/>
  <c r="F272" i="4" s="1"/>
  <c r="A273" i="4"/>
  <c r="F273" i="4" s="1"/>
  <c r="A274" i="4"/>
  <c r="F274" i="4" s="1"/>
  <c r="A275" i="4"/>
  <c r="F275" i="4" s="1"/>
  <c r="A276" i="4"/>
  <c r="F276" i="4" s="1"/>
  <c r="A277" i="4"/>
  <c r="F277" i="4" s="1"/>
  <c r="A278" i="4"/>
  <c r="F278" i="4" s="1"/>
  <c r="A279" i="4"/>
  <c r="F279" i="4" s="1"/>
  <c r="A280" i="4"/>
  <c r="F280" i="4" s="1"/>
  <c r="A281" i="4"/>
  <c r="F281" i="4" s="1"/>
  <c r="A282" i="4"/>
  <c r="F282" i="4" s="1"/>
  <c r="A283" i="4"/>
  <c r="F283" i="4" s="1"/>
  <c r="A284" i="4"/>
  <c r="F284" i="4" s="1"/>
  <c r="A285" i="4"/>
  <c r="F285" i="4" s="1"/>
  <c r="A286" i="4"/>
  <c r="F286" i="4" s="1"/>
  <c r="A287" i="4"/>
  <c r="F287" i="4" s="1"/>
  <c r="A288" i="4"/>
  <c r="F288" i="4" s="1"/>
  <c r="A289" i="4"/>
  <c r="F289" i="4" s="1"/>
  <c r="A290" i="4"/>
  <c r="F290" i="4" s="1"/>
  <c r="A291" i="4"/>
  <c r="F291" i="4" s="1"/>
  <c r="A292" i="4"/>
  <c r="F292" i="4" s="1"/>
  <c r="A293" i="4"/>
  <c r="F293" i="4" s="1"/>
  <c r="A294" i="4"/>
  <c r="F294" i="4" s="1"/>
  <c r="A295" i="4"/>
  <c r="F295" i="4" s="1"/>
  <c r="A296" i="4"/>
  <c r="F296" i="4" s="1"/>
  <c r="A297" i="4"/>
  <c r="F297" i="4" s="1"/>
  <c r="A298" i="4"/>
  <c r="F298" i="4" s="1"/>
  <c r="A299" i="4"/>
  <c r="F299" i="4" s="1"/>
  <c r="A300" i="4"/>
  <c r="F300" i="4" s="1"/>
  <c r="A301" i="4"/>
  <c r="F301" i="4" s="1"/>
  <c r="A302" i="4"/>
  <c r="F302" i="4" s="1"/>
  <c r="A303" i="4"/>
  <c r="F303" i="4" s="1"/>
  <c r="A304" i="4"/>
  <c r="F304" i="4" s="1"/>
  <c r="A305" i="4"/>
  <c r="F305" i="4" s="1"/>
  <c r="A306" i="4"/>
  <c r="F306" i="4" s="1"/>
  <c r="A307" i="4"/>
  <c r="F307" i="4" s="1"/>
  <c r="A308" i="4"/>
  <c r="F308" i="4" s="1"/>
  <c r="A309" i="4"/>
  <c r="F309" i="4" s="1"/>
  <c r="A310" i="4"/>
  <c r="F310" i="4" s="1"/>
  <c r="A311" i="4"/>
  <c r="F311" i="4" s="1"/>
  <c r="A312" i="4"/>
  <c r="F312" i="4" s="1"/>
  <c r="A313" i="4"/>
  <c r="F313" i="4" s="1"/>
  <c r="A314" i="4"/>
  <c r="F314" i="4" s="1"/>
  <c r="A315" i="4"/>
  <c r="F315" i="4" s="1"/>
  <c r="A316" i="4"/>
  <c r="F316" i="4" s="1"/>
  <c r="A317" i="4"/>
  <c r="F317" i="4" s="1"/>
  <c r="A318" i="4"/>
  <c r="F318" i="4" s="1"/>
  <c r="A319" i="4"/>
  <c r="F319" i="4" s="1"/>
  <c r="A320" i="4"/>
  <c r="F320" i="4" s="1"/>
  <c r="A321" i="4"/>
  <c r="F321" i="4" s="1"/>
  <c r="A322" i="4"/>
  <c r="F322" i="4" s="1"/>
  <c r="A323" i="4"/>
  <c r="F323" i="4" s="1"/>
  <c r="A324" i="4"/>
  <c r="F324" i="4" s="1"/>
  <c r="A325" i="4"/>
  <c r="F325" i="4" s="1"/>
  <c r="A326" i="4"/>
  <c r="F326" i="4" s="1"/>
  <c r="A327" i="4"/>
  <c r="F327" i="4" s="1"/>
  <c r="A328" i="4"/>
  <c r="F328" i="4" s="1"/>
  <c r="A329" i="4"/>
  <c r="F329" i="4" s="1"/>
  <c r="A330" i="4"/>
  <c r="F330" i="4" s="1"/>
  <c r="A331" i="4"/>
  <c r="F331" i="4" s="1"/>
  <c r="A332" i="4"/>
  <c r="F332" i="4" s="1"/>
  <c r="A333" i="4"/>
  <c r="F333" i="4" s="1"/>
  <c r="A334" i="4"/>
  <c r="F334" i="4" s="1"/>
  <c r="A335" i="4"/>
  <c r="F335" i="4" s="1"/>
  <c r="A336" i="4"/>
  <c r="F336" i="4" s="1"/>
  <c r="A337" i="4"/>
  <c r="F337" i="4" s="1"/>
  <c r="A338" i="4"/>
  <c r="F338" i="4" s="1"/>
  <c r="A339" i="4"/>
  <c r="F339" i="4" s="1"/>
  <c r="A340" i="4"/>
  <c r="F340" i="4" s="1"/>
  <c r="A341" i="4"/>
  <c r="F341" i="4" s="1"/>
  <c r="A342" i="4"/>
  <c r="F342" i="4" s="1"/>
  <c r="A343" i="4"/>
  <c r="F343" i="4" s="1"/>
  <c r="A344" i="4"/>
  <c r="F344" i="4" s="1"/>
  <c r="A345" i="4"/>
  <c r="F345" i="4" s="1"/>
  <c r="A346" i="4"/>
  <c r="F346" i="4" s="1"/>
  <c r="A347" i="4"/>
  <c r="F347" i="4" s="1"/>
  <c r="A348" i="4"/>
  <c r="F348" i="4" s="1"/>
  <c r="A349" i="4"/>
  <c r="F349" i="4" s="1"/>
  <c r="A350" i="4"/>
  <c r="F350" i="4" s="1"/>
  <c r="A351" i="4"/>
  <c r="F351" i="4" s="1"/>
  <c r="A352" i="4"/>
  <c r="F352" i="4" s="1"/>
  <c r="A353" i="4"/>
  <c r="F353" i="4" s="1"/>
  <c r="A354" i="4"/>
  <c r="F354" i="4" s="1"/>
  <c r="A355" i="4"/>
  <c r="F355" i="4" s="1"/>
  <c r="A356" i="4"/>
  <c r="F356" i="4" s="1"/>
  <c r="A357" i="4"/>
  <c r="F357" i="4" s="1"/>
  <c r="A358" i="4"/>
  <c r="F358" i="4" s="1"/>
  <c r="A359" i="4"/>
  <c r="F359" i="4" s="1"/>
  <c r="A360" i="4"/>
  <c r="F360" i="4" s="1"/>
  <c r="A361" i="4"/>
  <c r="F361" i="4" s="1"/>
  <c r="A362" i="4"/>
  <c r="F362" i="4" s="1"/>
  <c r="A363" i="4"/>
  <c r="F363" i="4" s="1"/>
  <c r="A364" i="4"/>
  <c r="F364" i="4" s="1"/>
  <c r="A365" i="4"/>
  <c r="F365" i="4" s="1"/>
  <c r="A366" i="4"/>
  <c r="F366" i="4" s="1"/>
  <c r="A367" i="4"/>
  <c r="F367" i="4" s="1"/>
  <c r="A368" i="4"/>
  <c r="F368" i="4" s="1"/>
  <c r="A369" i="4"/>
  <c r="F369" i="4" s="1"/>
  <c r="A370" i="4"/>
  <c r="F370" i="4" s="1"/>
  <c r="A371" i="4"/>
  <c r="F371" i="4" s="1"/>
  <c r="A372" i="4"/>
  <c r="F372" i="4" s="1"/>
  <c r="A373" i="4"/>
  <c r="F373" i="4" s="1"/>
  <c r="A374" i="4"/>
  <c r="F374" i="4" s="1"/>
  <c r="A375" i="4"/>
  <c r="F375" i="4" s="1"/>
  <c r="A376" i="4"/>
  <c r="F376" i="4" s="1"/>
  <c r="A377" i="4"/>
  <c r="F377" i="4" s="1"/>
  <c r="A378" i="4"/>
  <c r="F378" i="4" s="1"/>
  <c r="A379" i="4"/>
  <c r="F379" i="4" s="1"/>
  <c r="A380" i="4"/>
  <c r="F380" i="4" s="1"/>
  <c r="A381" i="4"/>
  <c r="F381" i="4" s="1"/>
  <c r="A382" i="4"/>
  <c r="F382" i="4" s="1"/>
  <c r="A383" i="4"/>
  <c r="F383" i="4" s="1"/>
  <c r="A384" i="4"/>
  <c r="F384" i="4" s="1"/>
  <c r="A385" i="4"/>
  <c r="F385" i="4" s="1"/>
  <c r="A386" i="4"/>
  <c r="F386" i="4" s="1"/>
  <c r="A387" i="4"/>
  <c r="F387" i="4" s="1"/>
  <c r="A388" i="4"/>
  <c r="F388" i="4" s="1"/>
  <c r="A389" i="4"/>
  <c r="F389" i="4" s="1"/>
  <c r="A390" i="4"/>
  <c r="F390" i="4" s="1"/>
  <c r="A391" i="4"/>
  <c r="F391" i="4" s="1"/>
  <c r="A392" i="4"/>
  <c r="F392" i="4" s="1"/>
  <c r="A393" i="4"/>
  <c r="F393" i="4" s="1"/>
  <c r="A394" i="4"/>
  <c r="F394" i="4" s="1"/>
  <c r="A395" i="4"/>
  <c r="F395" i="4" s="1"/>
  <c r="A396" i="4"/>
  <c r="F396" i="4" s="1"/>
  <c r="A397" i="4"/>
  <c r="F397" i="4" s="1"/>
  <c r="A398" i="4"/>
  <c r="F398" i="4" s="1"/>
  <c r="A399" i="4"/>
  <c r="F399" i="4" s="1"/>
  <c r="A400" i="4"/>
  <c r="F400" i="4" s="1"/>
  <c r="A401" i="4"/>
  <c r="F401" i="4" s="1"/>
  <c r="A402" i="4"/>
  <c r="F402" i="4" s="1"/>
  <c r="A403" i="4"/>
  <c r="F403" i="4" s="1"/>
  <c r="A404" i="4"/>
  <c r="F404" i="4" s="1"/>
  <c r="A405" i="4"/>
  <c r="F405" i="4" s="1"/>
  <c r="A406" i="4"/>
  <c r="F406" i="4" s="1"/>
  <c r="A407" i="4"/>
  <c r="F407" i="4" s="1"/>
  <c r="A408" i="4"/>
  <c r="F408" i="4" s="1"/>
  <c r="A409" i="4"/>
  <c r="F409" i="4" s="1"/>
  <c r="A410" i="4"/>
  <c r="F410" i="4" s="1"/>
  <c r="A411" i="4"/>
  <c r="F411" i="4" s="1"/>
  <c r="A412" i="4"/>
  <c r="F412" i="4" s="1"/>
  <c r="A413" i="4"/>
  <c r="F413" i="4" s="1"/>
  <c r="A414" i="4"/>
  <c r="F414" i="4" s="1"/>
  <c r="A415" i="4"/>
  <c r="F415" i="4" s="1"/>
  <c r="A416" i="4"/>
  <c r="F416" i="4" s="1"/>
  <c r="A417" i="4"/>
  <c r="F417" i="4" s="1"/>
  <c r="A418" i="4"/>
  <c r="F418" i="4" s="1"/>
  <c r="A419" i="4"/>
  <c r="F419" i="4" s="1"/>
  <c r="A420" i="4"/>
  <c r="F420" i="4" s="1"/>
  <c r="A421" i="4"/>
  <c r="F421" i="4" s="1"/>
  <c r="A422" i="4"/>
  <c r="F422" i="4" s="1"/>
  <c r="A423" i="4"/>
  <c r="F423" i="4" s="1"/>
  <c r="A424" i="4"/>
  <c r="F424" i="4" s="1"/>
  <c r="A425" i="4"/>
  <c r="F425" i="4" s="1"/>
  <c r="A426" i="4"/>
  <c r="F426" i="4" s="1"/>
  <c r="A427" i="4"/>
  <c r="F427" i="4" s="1"/>
  <c r="A428" i="4"/>
  <c r="F428" i="4" s="1"/>
  <c r="A429" i="4"/>
  <c r="F429" i="4" s="1"/>
  <c r="A430" i="4"/>
  <c r="F430" i="4" s="1"/>
  <c r="A431" i="4"/>
  <c r="F431" i="4" s="1"/>
  <c r="A432" i="4"/>
  <c r="F432" i="4" s="1"/>
  <c r="A433" i="4"/>
  <c r="F433" i="4" s="1"/>
  <c r="A434" i="4"/>
  <c r="F434" i="4" s="1"/>
  <c r="A435" i="4"/>
  <c r="F435" i="4" s="1"/>
  <c r="A436" i="4"/>
  <c r="F436" i="4" s="1"/>
  <c r="A437" i="4"/>
  <c r="F437" i="4" s="1"/>
  <c r="A438" i="4"/>
  <c r="F438" i="4" s="1"/>
  <c r="A439" i="4"/>
  <c r="F439" i="4" s="1"/>
  <c r="A440" i="4"/>
  <c r="F440" i="4" s="1"/>
  <c r="A441" i="4"/>
  <c r="F441" i="4" s="1"/>
  <c r="A442" i="4"/>
  <c r="F442" i="4" s="1"/>
  <c r="A443" i="4"/>
  <c r="F443" i="4" s="1"/>
  <c r="A444" i="4"/>
  <c r="F444" i="4" s="1"/>
  <c r="A445" i="4"/>
  <c r="F445" i="4" s="1"/>
  <c r="A446" i="4"/>
  <c r="F446" i="4" s="1"/>
  <c r="A447" i="4"/>
  <c r="F447" i="4" s="1"/>
  <c r="A448" i="4"/>
  <c r="F448" i="4" s="1"/>
  <c r="A449" i="4"/>
  <c r="F449" i="4" s="1"/>
  <c r="A450" i="4"/>
  <c r="F450" i="4" s="1"/>
  <c r="A451" i="4"/>
  <c r="F451" i="4" s="1"/>
  <c r="A452" i="4"/>
  <c r="F452" i="4" s="1"/>
  <c r="A453" i="4"/>
  <c r="F453" i="4" s="1"/>
  <c r="A454" i="4"/>
  <c r="F454" i="4" s="1"/>
  <c r="A455" i="4"/>
  <c r="F455" i="4" s="1"/>
  <c r="A456" i="4"/>
  <c r="F456" i="4" s="1"/>
  <c r="A457" i="4"/>
  <c r="F457" i="4" s="1"/>
  <c r="A458" i="4"/>
  <c r="F458" i="4" s="1"/>
  <c r="A459" i="4"/>
  <c r="F459" i="4" s="1"/>
  <c r="A460" i="4"/>
  <c r="F460" i="4" s="1"/>
  <c r="A461" i="4"/>
  <c r="F461" i="4" s="1"/>
  <c r="A462" i="4"/>
  <c r="F462" i="4" s="1"/>
  <c r="A463" i="4"/>
  <c r="F463" i="4" s="1"/>
  <c r="A464" i="4"/>
  <c r="F464" i="4" s="1"/>
  <c r="A465" i="4"/>
  <c r="F465" i="4" s="1"/>
  <c r="A466" i="4"/>
  <c r="F466" i="4" s="1"/>
  <c r="A467" i="4"/>
  <c r="F467" i="4" s="1"/>
  <c r="A468" i="4"/>
  <c r="F468" i="4" s="1"/>
  <c r="A469" i="4"/>
  <c r="F469" i="4" s="1"/>
  <c r="A470" i="4"/>
  <c r="F470" i="4" s="1"/>
  <c r="A471" i="4"/>
  <c r="F471" i="4" s="1"/>
  <c r="A472" i="4"/>
  <c r="F472" i="4" s="1"/>
  <c r="A473" i="4"/>
  <c r="F473" i="4" s="1"/>
  <c r="A474" i="4"/>
  <c r="F474" i="4" s="1"/>
  <c r="A475" i="4"/>
  <c r="F475" i="4" s="1"/>
  <c r="A476" i="4"/>
  <c r="F476" i="4" s="1"/>
  <c r="A477" i="4"/>
  <c r="F477" i="4" s="1"/>
  <c r="A478" i="4"/>
  <c r="F478" i="4" s="1"/>
  <c r="A479" i="4"/>
  <c r="F479" i="4" s="1"/>
  <c r="A480" i="4"/>
  <c r="F480" i="4" s="1"/>
  <c r="A481" i="4"/>
  <c r="F481" i="4" s="1"/>
  <c r="A482" i="4"/>
  <c r="F482" i="4" s="1"/>
  <c r="A483" i="4"/>
  <c r="F483" i="4" s="1"/>
  <c r="A484" i="4"/>
  <c r="F484" i="4" s="1"/>
  <c r="A485" i="4"/>
  <c r="F485" i="4" s="1"/>
  <c r="A486" i="4"/>
  <c r="F486" i="4" s="1"/>
  <c r="A487" i="4"/>
  <c r="F487" i="4" s="1"/>
  <c r="A488" i="4"/>
  <c r="F488" i="4" s="1"/>
  <c r="A489" i="4"/>
  <c r="F489" i="4" s="1"/>
  <c r="A490" i="4"/>
  <c r="F490" i="4" s="1"/>
  <c r="A491" i="4"/>
  <c r="F491" i="4" s="1"/>
  <c r="A492" i="4"/>
  <c r="F492" i="4" s="1"/>
  <c r="A493" i="4"/>
  <c r="F493" i="4" s="1"/>
  <c r="A494" i="4"/>
  <c r="F494" i="4" s="1"/>
  <c r="A495" i="4"/>
  <c r="F495" i="4" s="1"/>
  <c r="A496" i="4"/>
  <c r="F496" i="4" s="1"/>
  <c r="A497" i="4"/>
  <c r="F497" i="4" s="1"/>
  <c r="A498" i="4"/>
  <c r="F498" i="4" s="1"/>
  <c r="A499" i="4"/>
  <c r="F499" i="4" s="1"/>
  <c r="A500" i="4"/>
  <c r="F500" i="4" s="1"/>
  <c r="A501" i="4"/>
  <c r="F501" i="4" s="1"/>
  <c r="A502" i="4"/>
  <c r="F502" i="4" s="1"/>
  <c r="A503" i="4"/>
  <c r="F503" i="4" s="1"/>
  <c r="A504" i="4"/>
  <c r="F504" i="4" s="1"/>
  <c r="A505" i="4"/>
  <c r="F505" i="4" s="1"/>
  <c r="A506" i="4"/>
  <c r="F506" i="4" s="1"/>
  <c r="A507" i="4"/>
  <c r="F507" i="4" s="1"/>
  <c r="A508" i="4"/>
  <c r="F508" i="4" s="1"/>
  <c r="A509" i="4"/>
  <c r="F509" i="4" s="1"/>
  <c r="A510" i="4"/>
  <c r="F510" i="4" s="1"/>
  <c r="A511" i="4"/>
  <c r="F511" i="4" s="1"/>
  <c r="A512" i="4"/>
  <c r="F512" i="4" s="1"/>
  <c r="A513" i="4"/>
  <c r="F513" i="4" s="1"/>
  <c r="A514" i="4"/>
  <c r="F514" i="4" s="1"/>
  <c r="A515" i="4"/>
  <c r="F515" i="4" s="1"/>
  <c r="A516" i="4"/>
  <c r="F516" i="4" s="1"/>
  <c r="A517" i="4"/>
  <c r="F517" i="4" s="1"/>
  <c r="A518" i="4"/>
  <c r="F518" i="4" s="1"/>
  <c r="A519" i="4"/>
  <c r="F519" i="4" s="1"/>
  <c r="A520" i="4"/>
  <c r="F520" i="4" s="1"/>
  <c r="A521" i="4"/>
  <c r="F521" i="4" s="1"/>
  <c r="A522" i="4"/>
  <c r="F522" i="4" s="1"/>
  <c r="A523" i="4"/>
  <c r="F523" i="4" s="1"/>
  <c r="A524" i="4"/>
  <c r="F524" i="4" s="1"/>
  <c r="A525" i="4"/>
  <c r="F525" i="4" s="1"/>
  <c r="A526" i="4"/>
  <c r="F526" i="4" s="1"/>
  <c r="A527" i="4"/>
  <c r="F527" i="4" s="1"/>
  <c r="A528" i="4"/>
  <c r="F528" i="4" s="1"/>
  <c r="A529" i="4"/>
  <c r="F529" i="4" s="1"/>
  <c r="A530" i="4"/>
  <c r="F530" i="4" s="1"/>
  <c r="A531" i="4"/>
  <c r="F531" i="4" s="1"/>
  <c r="A532" i="4"/>
  <c r="F532" i="4" s="1"/>
  <c r="A533" i="4"/>
  <c r="F533" i="4" s="1"/>
  <c r="A534" i="4"/>
  <c r="F534" i="4" s="1"/>
  <c r="A535" i="4"/>
  <c r="F535" i="4" s="1"/>
  <c r="A536" i="4"/>
  <c r="F536" i="4" s="1"/>
  <c r="A537" i="4"/>
  <c r="F537" i="4" s="1"/>
  <c r="A538" i="4"/>
  <c r="F538" i="4" s="1"/>
  <c r="A539" i="4"/>
  <c r="F539" i="4" s="1"/>
  <c r="A540" i="4"/>
  <c r="F540" i="4" s="1"/>
  <c r="A541" i="4"/>
  <c r="F541" i="4" s="1"/>
  <c r="A542" i="4"/>
  <c r="F542" i="4" s="1"/>
  <c r="A543" i="4"/>
  <c r="F543" i="4" s="1"/>
  <c r="A544" i="4"/>
  <c r="F544" i="4" s="1"/>
  <c r="A545" i="4"/>
  <c r="F545" i="4" s="1"/>
  <c r="A546" i="4"/>
  <c r="F546" i="4" s="1"/>
  <c r="A547" i="4"/>
  <c r="F547" i="4" s="1"/>
  <c r="A548" i="4"/>
  <c r="F548" i="4" s="1"/>
  <c r="A549" i="4"/>
  <c r="F549" i="4" s="1"/>
  <c r="A550" i="4"/>
  <c r="F550" i="4" s="1"/>
  <c r="A551" i="4"/>
  <c r="F551" i="4" s="1"/>
  <c r="A552" i="4"/>
  <c r="F552" i="4" s="1"/>
  <c r="A553" i="4"/>
  <c r="F553" i="4" s="1"/>
  <c r="A554" i="4"/>
  <c r="F554" i="4" s="1"/>
  <c r="A555" i="4"/>
  <c r="F555" i="4" s="1"/>
  <c r="A556" i="4"/>
  <c r="F556" i="4" s="1"/>
  <c r="A557" i="4"/>
  <c r="F557" i="4" s="1"/>
  <c r="A558" i="4"/>
  <c r="F558" i="4" s="1"/>
  <c r="A559" i="4"/>
  <c r="F559" i="4" s="1"/>
  <c r="A560" i="4"/>
  <c r="F560" i="4" s="1"/>
  <c r="A561" i="4"/>
  <c r="F561" i="4" s="1"/>
  <c r="A562" i="4"/>
  <c r="F562" i="4" s="1"/>
  <c r="A563" i="4"/>
  <c r="F563" i="4" s="1"/>
  <c r="A564" i="4"/>
  <c r="F564" i="4" s="1"/>
  <c r="A565" i="4"/>
  <c r="F565" i="4" s="1"/>
  <c r="A566" i="4"/>
  <c r="F566" i="4" s="1"/>
  <c r="A567" i="4"/>
  <c r="F567" i="4" s="1"/>
  <c r="A568" i="4"/>
  <c r="F568" i="4" s="1"/>
  <c r="A569" i="4"/>
  <c r="F569" i="4" s="1"/>
  <c r="A570" i="4"/>
  <c r="F570" i="4" s="1"/>
  <c r="A571" i="4"/>
  <c r="F571" i="4" s="1"/>
  <c r="A572" i="4"/>
  <c r="F572" i="4" s="1"/>
  <c r="A573" i="4"/>
  <c r="F573" i="4" s="1"/>
  <c r="A574" i="4"/>
  <c r="F574" i="4" s="1"/>
  <c r="A575" i="4"/>
  <c r="F575" i="4" s="1"/>
  <c r="A576" i="4"/>
  <c r="F576" i="4" s="1"/>
  <c r="A577" i="4"/>
  <c r="F577" i="4" s="1"/>
  <c r="A578" i="4"/>
  <c r="F578" i="4" s="1"/>
  <c r="A579" i="4"/>
  <c r="F579" i="4" s="1"/>
  <c r="A580" i="4"/>
  <c r="F580" i="4" s="1"/>
  <c r="A581" i="4"/>
  <c r="F581" i="4" s="1"/>
  <c r="A582" i="4"/>
  <c r="F582" i="4" s="1"/>
  <c r="A583" i="4"/>
  <c r="F583" i="4" s="1"/>
  <c r="A584" i="4"/>
  <c r="F584" i="4" s="1"/>
  <c r="A585" i="4"/>
  <c r="F585" i="4" s="1"/>
  <c r="A586" i="4"/>
  <c r="F586" i="4" s="1"/>
  <c r="A587" i="4"/>
  <c r="F587" i="4" s="1"/>
  <c r="A588" i="4"/>
  <c r="F588" i="4" s="1"/>
  <c r="A589" i="4"/>
  <c r="F589" i="4" s="1"/>
  <c r="A590" i="4"/>
  <c r="F590" i="4" s="1"/>
  <c r="A591" i="4"/>
  <c r="F591" i="4" s="1"/>
  <c r="A592" i="4"/>
  <c r="F592" i="4" s="1"/>
  <c r="A593" i="4"/>
  <c r="F593" i="4" s="1"/>
  <c r="A594" i="4"/>
  <c r="F594" i="4" s="1"/>
  <c r="A595" i="4"/>
  <c r="F595" i="4" s="1"/>
  <c r="A596" i="4"/>
  <c r="F596" i="4" s="1"/>
  <c r="A597" i="4"/>
  <c r="F597" i="4" s="1"/>
  <c r="A598" i="4"/>
  <c r="F598" i="4" s="1"/>
  <c r="A599" i="4"/>
  <c r="F599" i="4" s="1"/>
  <c r="A600" i="4"/>
  <c r="F600" i="4" s="1"/>
  <c r="A601" i="4"/>
  <c r="F601" i="4" s="1"/>
  <c r="A602" i="4"/>
  <c r="F602" i="4" s="1"/>
  <c r="A603" i="4"/>
  <c r="F603" i="4" s="1"/>
  <c r="A604" i="4"/>
  <c r="F604" i="4" s="1"/>
  <c r="A605" i="4"/>
  <c r="F605" i="4" s="1"/>
  <c r="A606" i="4"/>
  <c r="F606" i="4" s="1"/>
  <c r="A607" i="4"/>
  <c r="F607" i="4" s="1"/>
  <c r="A608" i="4"/>
  <c r="F608" i="4" s="1"/>
  <c r="A609" i="4"/>
  <c r="F609" i="4" s="1"/>
  <c r="A610" i="4"/>
  <c r="F610" i="4" s="1"/>
  <c r="A611" i="4"/>
  <c r="F611" i="4" s="1"/>
  <c r="A612" i="4"/>
  <c r="F612" i="4" s="1"/>
  <c r="A613" i="4"/>
  <c r="F613" i="4" s="1"/>
  <c r="A614" i="4"/>
  <c r="F614" i="4" s="1"/>
  <c r="A615" i="4"/>
  <c r="F615" i="4" s="1"/>
  <c r="A616" i="4"/>
  <c r="F616" i="4" s="1"/>
  <c r="A617" i="4"/>
  <c r="F617" i="4" s="1"/>
  <c r="A618" i="4"/>
  <c r="F618" i="4" s="1"/>
  <c r="A619" i="4"/>
  <c r="F619" i="4" s="1"/>
  <c r="A620" i="4"/>
  <c r="F620" i="4" s="1"/>
  <c r="A621" i="4"/>
  <c r="F621" i="4" s="1"/>
  <c r="A622" i="4"/>
  <c r="F622" i="4" s="1"/>
  <c r="A623" i="4"/>
  <c r="F623" i="4" s="1"/>
  <c r="A624" i="4"/>
  <c r="F624" i="4" s="1"/>
  <c r="A625" i="4"/>
  <c r="F625" i="4" s="1"/>
  <c r="A626" i="4"/>
  <c r="F626" i="4" s="1"/>
  <c r="A627" i="4"/>
  <c r="F627" i="4" s="1"/>
  <c r="A628" i="4"/>
  <c r="F628" i="4" s="1"/>
  <c r="A629" i="4"/>
  <c r="F629" i="4" s="1"/>
  <c r="A630" i="4"/>
  <c r="F630" i="4" s="1"/>
  <c r="A631" i="4"/>
  <c r="F631" i="4" s="1"/>
  <c r="A632" i="4"/>
  <c r="F632" i="4" s="1"/>
  <c r="A633" i="4"/>
  <c r="F633" i="4" s="1"/>
  <c r="A634" i="4"/>
  <c r="F634" i="4" s="1"/>
  <c r="A635" i="4"/>
  <c r="F635" i="4" s="1"/>
  <c r="A636" i="4"/>
  <c r="F636" i="4" s="1"/>
  <c r="A637" i="4"/>
  <c r="F637" i="4" s="1"/>
  <c r="A638" i="4"/>
  <c r="F638" i="4" s="1"/>
  <c r="A639" i="4"/>
  <c r="F639" i="4" s="1"/>
  <c r="A640" i="4"/>
  <c r="F640" i="4" s="1"/>
  <c r="A641" i="4"/>
  <c r="F641" i="4" s="1"/>
  <c r="A642" i="4"/>
  <c r="F642" i="4" s="1"/>
  <c r="A643" i="4"/>
  <c r="F643" i="4" s="1"/>
  <c r="A644" i="4"/>
  <c r="F644" i="4" s="1"/>
  <c r="A645" i="4"/>
  <c r="F645" i="4" s="1"/>
  <c r="A646" i="4"/>
  <c r="F646" i="4" s="1"/>
  <c r="A647" i="4"/>
  <c r="F647" i="4" s="1"/>
  <c r="A648" i="4"/>
  <c r="F648" i="4" s="1"/>
  <c r="A649" i="4"/>
  <c r="F649" i="4" s="1"/>
  <c r="A650" i="4"/>
  <c r="F650" i="4" s="1"/>
  <c r="A651" i="4"/>
  <c r="F651" i="4" s="1"/>
  <c r="A652" i="4"/>
  <c r="F652" i="4" s="1"/>
  <c r="A653" i="4"/>
  <c r="F653" i="4" s="1"/>
  <c r="A654" i="4"/>
  <c r="F654" i="4" s="1"/>
  <c r="A655" i="4"/>
  <c r="F655" i="4" s="1"/>
  <c r="A656" i="4"/>
  <c r="F656" i="4" s="1"/>
  <c r="A657" i="4"/>
  <c r="F657" i="4" s="1"/>
  <c r="A658" i="4"/>
  <c r="F658" i="4" s="1"/>
  <c r="A659" i="4"/>
  <c r="F659" i="4" s="1"/>
  <c r="A660" i="4"/>
  <c r="F660" i="4" s="1"/>
  <c r="A661" i="4"/>
  <c r="F661" i="4" s="1"/>
  <c r="A662" i="4"/>
  <c r="F662" i="4" s="1"/>
  <c r="A663" i="4"/>
  <c r="F663" i="4" s="1"/>
  <c r="A664" i="4"/>
  <c r="F664" i="4" s="1"/>
  <c r="A665" i="4"/>
  <c r="F665" i="4" s="1"/>
  <c r="A666" i="4"/>
  <c r="F666" i="4" s="1"/>
  <c r="A667" i="4"/>
  <c r="F667" i="4" s="1"/>
  <c r="A668" i="4"/>
  <c r="F668" i="4" s="1"/>
  <c r="A669" i="4"/>
  <c r="F669" i="4" s="1"/>
  <c r="A670" i="4"/>
  <c r="F670" i="4" s="1"/>
  <c r="A671" i="4"/>
  <c r="F671" i="4" s="1"/>
  <c r="A672" i="4"/>
  <c r="F672" i="4" s="1"/>
  <c r="A673" i="4"/>
  <c r="F673" i="4" s="1"/>
  <c r="A674" i="4"/>
  <c r="F674" i="4" s="1"/>
  <c r="A675" i="4"/>
  <c r="F675" i="4" s="1"/>
  <c r="A676" i="4"/>
  <c r="F676" i="4" s="1"/>
  <c r="A677" i="4"/>
  <c r="F677" i="4" s="1"/>
  <c r="A678" i="4"/>
  <c r="F678" i="4" s="1"/>
  <c r="A679" i="4"/>
  <c r="F679" i="4" s="1"/>
  <c r="A680" i="4"/>
  <c r="F680" i="4" s="1"/>
  <c r="A681" i="4"/>
  <c r="F681" i="4" s="1"/>
  <c r="A682" i="4"/>
  <c r="F682" i="4" s="1"/>
  <c r="A683" i="4"/>
  <c r="F683" i="4" s="1"/>
  <c r="A684" i="4"/>
  <c r="F684" i="4" s="1"/>
  <c r="A685" i="4"/>
  <c r="F685" i="4" s="1"/>
  <c r="A686" i="4"/>
  <c r="F686" i="4" s="1"/>
  <c r="A687" i="4"/>
  <c r="F687" i="4" s="1"/>
  <c r="A688" i="4"/>
  <c r="F688" i="4" s="1"/>
  <c r="A689" i="4"/>
  <c r="F689" i="4" s="1"/>
  <c r="A690" i="4"/>
  <c r="F690" i="4" s="1"/>
  <c r="A691" i="4"/>
  <c r="F691" i="4" s="1"/>
  <c r="A692" i="4"/>
  <c r="F692" i="4" s="1"/>
  <c r="A693" i="4"/>
  <c r="F693" i="4" s="1"/>
  <c r="A694" i="4"/>
  <c r="F694" i="4" s="1"/>
  <c r="A695" i="4"/>
  <c r="F695" i="4" s="1"/>
  <c r="A696" i="4"/>
  <c r="F696" i="4" s="1"/>
  <c r="A697" i="4"/>
  <c r="F697" i="4" s="1"/>
  <c r="A698" i="4"/>
  <c r="F698" i="4" s="1"/>
  <c r="A699" i="4"/>
  <c r="F699" i="4" s="1"/>
  <c r="A700" i="4"/>
  <c r="F700" i="4" s="1"/>
  <c r="A701" i="4"/>
  <c r="F701" i="4" s="1"/>
  <c r="A702" i="4"/>
  <c r="F702" i="4" s="1"/>
  <c r="A703" i="4"/>
  <c r="F703" i="4" s="1"/>
  <c r="A704" i="4"/>
  <c r="F704" i="4" s="1"/>
  <c r="A705" i="4"/>
  <c r="F705" i="4" s="1"/>
  <c r="A706" i="4"/>
  <c r="F706" i="4" s="1"/>
  <c r="A707" i="4"/>
  <c r="F707" i="4" s="1"/>
  <c r="A708" i="4"/>
  <c r="F708" i="4" s="1"/>
  <c r="A709" i="4"/>
  <c r="F709" i="4" s="1"/>
  <c r="A710" i="4"/>
  <c r="F710" i="4" s="1"/>
  <c r="A711" i="4"/>
  <c r="F711" i="4" s="1"/>
  <c r="A712" i="4"/>
  <c r="F712" i="4" s="1"/>
  <c r="A713" i="4"/>
  <c r="F713" i="4" s="1"/>
  <c r="A714" i="4"/>
  <c r="F714" i="4" s="1"/>
  <c r="A715" i="4"/>
  <c r="F715" i="4" s="1"/>
  <c r="A716" i="4"/>
  <c r="F716" i="4" s="1"/>
  <c r="A717" i="4"/>
  <c r="F717" i="4" s="1"/>
  <c r="A718" i="4"/>
  <c r="F718" i="4" s="1"/>
  <c r="A719" i="4"/>
  <c r="F719" i="4" s="1"/>
  <c r="A720" i="4"/>
  <c r="F720" i="4" s="1"/>
  <c r="A721" i="4"/>
  <c r="F721" i="4" s="1"/>
  <c r="A722" i="4"/>
  <c r="F722" i="4" s="1"/>
  <c r="A723" i="4"/>
  <c r="F723" i="4" s="1"/>
  <c r="A724" i="4"/>
  <c r="F724" i="4" s="1"/>
  <c r="A725" i="4"/>
  <c r="F725" i="4" s="1"/>
  <c r="A726" i="4"/>
  <c r="F726" i="4" s="1"/>
  <c r="A727" i="4"/>
  <c r="F727" i="4" s="1"/>
  <c r="A728" i="4"/>
  <c r="F728" i="4" s="1"/>
  <c r="A729" i="4"/>
  <c r="F729" i="4" s="1"/>
  <c r="A730" i="4"/>
  <c r="F730" i="4" s="1"/>
  <c r="A731" i="4"/>
  <c r="F731" i="4" s="1"/>
  <c r="A732" i="4"/>
  <c r="F732" i="4" s="1"/>
  <c r="A733" i="4"/>
  <c r="F733" i="4" s="1"/>
  <c r="A734" i="4"/>
  <c r="F734" i="4" s="1"/>
  <c r="A735" i="4"/>
  <c r="F735" i="4" s="1"/>
  <c r="A736" i="4"/>
  <c r="F736" i="4" s="1"/>
  <c r="A737" i="4"/>
  <c r="F737" i="4" s="1"/>
  <c r="A738" i="4"/>
  <c r="F738" i="4" s="1"/>
  <c r="A739" i="4"/>
  <c r="F739" i="4" s="1"/>
  <c r="A740" i="4"/>
  <c r="F740" i="4" s="1"/>
  <c r="A741" i="4"/>
  <c r="F741" i="4" s="1"/>
  <c r="A742" i="4"/>
  <c r="F742" i="4" s="1"/>
  <c r="A743" i="4"/>
  <c r="F743" i="4" s="1"/>
  <c r="A744" i="4"/>
  <c r="F744" i="4" s="1"/>
  <c r="A745" i="4"/>
  <c r="F745" i="4" s="1"/>
  <c r="A746" i="4"/>
  <c r="F746" i="4" s="1"/>
  <c r="A747" i="4"/>
  <c r="F747" i="4" s="1"/>
  <c r="A748" i="4"/>
  <c r="F748" i="4" s="1"/>
  <c r="A749" i="4"/>
  <c r="F749" i="4" s="1"/>
  <c r="A750" i="4"/>
  <c r="F750" i="4" s="1"/>
  <c r="A751" i="4"/>
  <c r="F751" i="4" s="1"/>
  <c r="A752" i="4"/>
  <c r="F752" i="4" s="1"/>
  <c r="A753" i="4"/>
  <c r="F753" i="4" s="1"/>
  <c r="A754" i="4"/>
  <c r="F754" i="4" s="1"/>
  <c r="A755" i="4"/>
  <c r="F755" i="4" s="1"/>
  <c r="A756" i="4"/>
  <c r="F756" i="4" s="1"/>
  <c r="A757" i="4"/>
  <c r="F757" i="4" s="1"/>
  <c r="A758" i="4"/>
  <c r="F758" i="4" s="1"/>
  <c r="A759" i="4"/>
  <c r="F759" i="4" s="1"/>
  <c r="A760" i="4"/>
  <c r="F760" i="4" s="1"/>
  <c r="A761" i="4"/>
  <c r="F761" i="4" s="1"/>
  <c r="A762" i="4"/>
  <c r="F762" i="4" s="1"/>
  <c r="A763" i="4"/>
  <c r="F763" i="4" s="1"/>
  <c r="A764" i="4"/>
  <c r="F764" i="4" s="1"/>
  <c r="A765" i="4"/>
  <c r="F765" i="4" s="1"/>
  <c r="A766" i="4"/>
  <c r="F766" i="4" s="1"/>
  <c r="A767" i="4"/>
  <c r="F767" i="4" s="1"/>
  <c r="A768" i="4"/>
  <c r="F768" i="4" s="1"/>
  <c r="A769" i="4"/>
  <c r="F769" i="4" s="1"/>
  <c r="A770" i="4"/>
  <c r="F770" i="4" s="1"/>
  <c r="A771" i="4"/>
  <c r="F771" i="4" s="1"/>
  <c r="A772" i="4"/>
  <c r="F772" i="4" s="1"/>
  <c r="A773" i="4"/>
  <c r="F773" i="4" s="1"/>
  <c r="A774" i="4"/>
  <c r="F774" i="4" s="1"/>
  <c r="A775" i="4"/>
  <c r="F775" i="4" s="1"/>
  <c r="A776" i="4"/>
  <c r="F776" i="4" s="1"/>
  <c r="A777" i="4"/>
  <c r="F777" i="4" s="1"/>
  <c r="A778" i="4"/>
  <c r="F778" i="4" s="1"/>
  <c r="A779" i="4"/>
  <c r="F779" i="4" s="1"/>
  <c r="A780" i="4"/>
  <c r="F780" i="4" s="1"/>
  <c r="A781" i="4"/>
  <c r="F781" i="4" s="1"/>
  <c r="A782" i="4"/>
  <c r="F782" i="4" s="1"/>
  <c r="A783" i="4"/>
  <c r="F783" i="4" s="1"/>
  <c r="A784" i="4"/>
  <c r="F784" i="4" s="1"/>
  <c r="A785" i="4"/>
  <c r="F785" i="4" s="1"/>
  <c r="A786" i="4"/>
  <c r="F786" i="4" s="1"/>
  <c r="A787" i="4"/>
  <c r="F787" i="4" s="1"/>
  <c r="A788" i="4"/>
  <c r="F788" i="4" s="1"/>
  <c r="A789" i="4"/>
  <c r="F789" i="4" s="1"/>
  <c r="A790" i="4"/>
  <c r="F790" i="4" s="1"/>
  <c r="A791" i="4"/>
  <c r="F791" i="4" s="1"/>
  <c r="A792" i="4"/>
  <c r="F792" i="4" s="1"/>
  <c r="A793" i="4"/>
  <c r="F793" i="4" s="1"/>
  <c r="A794" i="4"/>
  <c r="F794" i="4" s="1"/>
  <c r="A795" i="4"/>
  <c r="F795" i="4" s="1"/>
  <c r="A796" i="4"/>
  <c r="F796" i="4" s="1"/>
  <c r="A797" i="4"/>
  <c r="F797" i="4" s="1"/>
  <c r="A798" i="4"/>
  <c r="F798" i="4" s="1"/>
  <c r="A799" i="4"/>
  <c r="F799" i="4" s="1"/>
  <c r="A800" i="4"/>
  <c r="F800" i="4" s="1"/>
  <c r="A801" i="4"/>
  <c r="F801" i="4" s="1"/>
  <c r="A802" i="4"/>
  <c r="F802" i="4" s="1"/>
  <c r="A803" i="4"/>
  <c r="F803" i="4" s="1"/>
  <c r="A804" i="4"/>
  <c r="F804" i="4" s="1"/>
  <c r="A805" i="4"/>
  <c r="F805" i="4" s="1"/>
  <c r="A806" i="4"/>
  <c r="F806" i="4" s="1"/>
  <c r="A807" i="4"/>
  <c r="F807" i="4" s="1"/>
  <c r="A808" i="4"/>
  <c r="F808" i="4" s="1"/>
  <c r="A809" i="4"/>
  <c r="F809" i="4" s="1"/>
  <c r="A810" i="4"/>
  <c r="F810" i="4" s="1"/>
  <c r="A811" i="4"/>
  <c r="F811" i="4" s="1"/>
  <c r="A812" i="4"/>
  <c r="F812" i="4" s="1"/>
  <c r="A813" i="4"/>
  <c r="F813" i="4" s="1"/>
  <c r="A814" i="4"/>
  <c r="F814" i="4" s="1"/>
  <c r="A815" i="4"/>
  <c r="F815" i="4" s="1"/>
  <c r="A816" i="4"/>
  <c r="F816" i="4" s="1"/>
  <c r="A817" i="4"/>
  <c r="F817" i="4" s="1"/>
  <c r="A818" i="4"/>
  <c r="F818" i="4" s="1"/>
  <c r="A819" i="4"/>
  <c r="F819" i="4" s="1"/>
  <c r="A820" i="4"/>
  <c r="F820" i="4" s="1"/>
  <c r="A821" i="4"/>
  <c r="F821" i="4" s="1"/>
  <c r="A822" i="4"/>
  <c r="F822" i="4" s="1"/>
  <c r="A823" i="4"/>
  <c r="F823" i="4" s="1"/>
  <c r="A824" i="4"/>
  <c r="F824" i="4" s="1"/>
  <c r="A825" i="4"/>
  <c r="F825" i="4" s="1"/>
  <c r="A826" i="4"/>
  <c r="F826" i="4" s="1"/>
  <c r="A827" i="4"/>
  <c r="F827" i="4" s="1"/>
  <c r="A828" i="4"/>
  <c r="F828" i="4" s="1"/>
  <c r="A829" i="4"/>
  <c r="F829" i="4" s="1"/>
  <c r="A830" i="4"/>
  <c r="F830" i="4" s="1"/>
  <c r="A831" i="4"/>
  <c r="F831" i="4" s="1"/>
  <c r="A832" i="4"/>
  <c r="F832" i="4" s="1"/>
  <c r="A833" i="4"/>
  <c r="F833" i="4" s="1"/>
  <c r="A834" i="4"/>
  <c r="F834" i="4" s="1"/>
  <c r="A835" i="4"/>
  <c r="F835" i="4" s="1"/>
  <c r="A836" i="4"/>
  <c r="F836" i="4" s="1"/>
  <c r="A837" i="4"/>
  <c r="F837" i="4" s="1"/>
  <c r="A838" i="4"/>
  <c r="F838" i="4" s="1"/>
  <c r="A839" i="4"/>
  <c r="F839" i="4" s="1"/>
  <c r="A840" i="4"/>
  <c r="F840" i="4" s="1"/>
  <c r="A841" i="4"/>
  <c r="F841" i="4" s="1"/>
  <c r="A842" i="4"/>
  <c r="F842" i="4" s="1"/>
  <c r="A843" i="4"/>
  <c r="F843" i="4" s="1"/>
  <c r="A844" i="4"/>
  <c r="F844" i="4" s="1"/>
  <c r="A845" i="4"/>
  <c r="F845" i="4" s="1"/>
  <c r="A846" i="4"/>
  <c r="F846" i="4" s="1"/>
  <c r="A847" i="4"/>
  <c r="F847" i="4" s="1"/>
  <c r="A848" i="4"/>
  <c r="F848" i="4" s="1"/>
  <c r="A849" i="4"/>
  <c r="F849" i="4" s="1"/>
  <c r="A850" i="4"/>
  <c r="F850" i="4" s="1"/>
  <c r="A851" i="4"/>
  <c r="F851" i="4" s="1"/>
  <c r="A852" i="4"/>
  <c r="F852" i="4" s="1"/>
  <c r="A853" i="4"/>
  <c r="F853" i="4" s="1"/>
  <c r="A854" i="4"/>
  <c r="F854" i="4" s="1"/>
  <c r="A855" i="4"/>
  <c r="F855" i="4" s="1"/>
  <c r="A856" i="4"/>
  <c r="F856" i="4" s="1"/>
  <c r="A857" i="4"/>
  <c r="F857" i="4" s="1"/>
  <c r="A858" i="4"/>
  <c r="F858" i="4" s="1"/>
  <c r="A859" i="4"/>
  <c r="F859" i="4" s="1"/>
  <c r="A860" i="4"/>
  <c r="F860" i="4" s="1"/>
  <c r="A861" i="4"/>
  <c r="F861" i="4" s="1"/>
  <c r="A862" i="4"/>
  <c r="F862" i="4" s="1"/>
  <c r="A863" i="4"/>
  <c r="F863" i="4" s="1"/>
  <c r="A864" i="4"/>
  <c r="F864" i="4" s="1"/>
  <c r="A865" i="4"/>
  <c r="F865" i="4" s="1"/>
  <c r="A866" i="4"/>
  <c r="F866" i="4" s="1"/>
  <c r="A867" i="4"/>
  <c r="F867" i="4" s="1"/>
  <c r="A868" i="4"/>
  <c r="F868" i="4" s="1"/>
  <c r="A869" i="4"/>
  <c r="F869" i="4" s="1"/>
  <c r="A870" i="4"/>
  <c r="F870" i="4" s="1"/>
  <c r="A871" i="4"/>
  <c r="F871" i="4" s="1"/>
  <c r="A872" i="4"/>
  <c r="F872" i="4" s="1"/>
  <c r="A873" i="4"/>
  <c r="F873" i="4" s="1"/>
  <c r="A874" i="4"/>
  <c r="F874" i="4" s="1"/>
  <c r="A875" i="4"/>
  <c r="F875" i="4" s="1"/>
  <c r="A876" i="4"/>
  <c r="F876" i="4" s="1"/>
  <c r="A877" i="4"/>
  <c r="F877" i="4" s="1"/>
  <c r="A878" i="4"/>
  <c r="F878" i="4" s="1"/>
  <c r="A879" i="4"/>
  <c r="F879" i="4" s="1"/>
  <c r="A880" i="4"/>
  <c r="F880" i="4" s="1"/>
  <c r="A881" i="4"/>
  <c r="F881" i="4" s="1"/>
  <c r="A882" i="4"/>
  <c r="F882" i="4" s="1"/>
  <c r="A883" i="4"/>
  <c r="F883" i="4" s="1"/>
  <c r="A884" i="4"/>
  <c r="F884" i="4" s="1"/>
  <c r="A885" i="4"/>
  <c r="F885" i="4" s="1"/>
  <c r="A886" i="4"/>
  <c r="F886" i="4" s="1"/>
  <c r="A887" i="4"/>
  <c r="F887" i="4" s="1"/>
  <c r="A888" i="4"/>
  <c r="F888" i="4" s="1"/>
  <c r="A889" i="4"/>
  <c r="F889" i="4" s="1"/>
  <c r="A890" i="4"/>
  <c r="F890" i="4" s="1"/>
  <c r="A891" i="4"/>
  <c r="F891" i="4" s="1"/>
  <c r="A892" i="4"/>
  <c r="F892" i="4" s="1"/>
  <c r="A893" i="4"/>
  <c r="F893" i="4" s="1"/>
  <c r="A894" i="4"/>
  <c r="F894" i="4" s="1"/>
  <c r="A895" i="4"/>
  <c r="F895" i="4" s="1"/>
  <c r="A896" i="4"/>
  <c r="F896" i="4" s="1"/>
  <c r="A897" i="4"/>
  <c r="F897" i="4" s="1"/>
  <c r="A898" i="4"/>
  <c r="F898" i="4" s="1"/>
  <c r="A899" i="4"/>
  <c r="F899" i="4" s="1"/>
  <c r="A900" i="4"/>
  <c r="F900" i="4" s="1"/>
  <c r="A901" i="4"/>
  <c r="F901" i="4" s="1"/>
  <c r="A902" i="4"/>
  <c r="F902" i="4" s="1"/>
  <c r="A903" i="4"/>
  <c r="F903" i="4" s="1"/>
  <c r="A904" i="4"/>
  <c r="F904" i="4" s="1"/>
  <c r="A905" i="4"/>
  <c r="F905" i="4" s="1"/>
  <c r="A906" i="4"/>
  <c r="F906" i="4" s="1"/>
  <c r="A907" i="4"/>
  <c r="F907" i="4" s="1"/>
  <c r="A908" i="4"/>
  <c r="F908" i="4" s="1"/>
  <c r="A909" i="4"/>
  <c r="F909" i="4" s="1"/>
  <c r="A910" i="4"/>
  <c r="F910" i="4" s="1"/>
  <c r="A911" i="4"/>
  <c r="F911" i="4" s="1"/>
  <c r="A912" i="4"/>
  <c r="F912" i="4" s="1"/>
  <c r="A913" i="4"/>
  <c r="F913" i="4" s="1"/>
  <c r="A914" i="4"/>
  <c r="F914" i="4" s="1"/>
  <c r="A915" i="4"/>
  <c r="F915" i="4" s="1"/>
  <c r="A916" i="4"/>
  <c r="F916" i="4" s="1"/>
  <c r="A917" i="4"/>
  <c r="F917" i="4" s="1"/>
  <c r="A918" i="4"/>
  <c r="F918" i="4" s="1"/>
  <c r="A919" i="4"/>
  <c r="F919" i="4" s="1"/>
  <c r="A920" i="4"/>
  <c r="F920" i="4" s="1"/>
  <c r="A921" i="4"/>
  <c r="F921" i="4" s="1"/>
  <c r="A922" i="4"/>
  <c r="F922" i="4" s="1"/>
  <c r="A923" i="4"/>
  <c r="F923" i="4" s="1"/>
  <c r="A924" i="4"/>
  <c r="F924" i="4" s="1"/>
  <c r="A925" i="4"/>
  <c r="F925" i="4" s="1"/>
  <c r="A926" i="4"/>
  <c r="F926" i="4" s="1"/>
  <c r="A927" i="4"/>
  <c r="F927" i="4" s="1"/>
  <c r="A928" i="4"/>
  <c r="F928" i="4" s="1"/>
  <c r="A929" i="4"/>
  <c r="F929" i="4" s="1"/>
  <c r="A930" i="4"/>
  <c r="F930" i="4" s="1"/>
  <c r="A931" i="4"/>
  <c r="F931" i="4" s="1"/>
  <c r="A932" i="4"/>
  <c r="F932" i="4" s="1"/>
  <c r="A933" i="4"/>
  <c r="F933" i="4" s="1"/>
  <c r="A934" i="4"/>
  <c r="F934" i="4" s="1"/>
  <c r="A935" i="4"/>
  <c r="F935" i="4" s="1"/>
  <c r="A936" i="4"/>
  <c r="F936" i="4" s="1"/>
  <c r="A937" i="4"/>
  <c r="F937" i="4" s="1"/>
  <c r="A938" i="4"/>
  <c r="F938" i="4" s="1"/>
  <c r="A939" i="4"/>
  <c r="F939" i="4" s="1"/>
  <c r="A940" i="4"/>
  <c r="F940" i="4" s="1"/>
  <c r="A941" i="4"/>
  <c r="F941" i="4" s="1"/>
  <c r="A942" i="4"/>
  <c r="F942" i="4" s="1"/>
  <c r="A943" i="4"/>
  <c r="F943" i="4" s="1"/>
  <c r="A944" i="4"/>
  <c r="F944" i="4" s="1"/>
  <c r="A945" i="4"/>
  <c r="F945" i="4" s="1"/>
  <c r="A946" i="4"/>
  <c r="F946" i="4" s="1"/>
  <c r="A947" i="4"/>
  <c r="F947" i="4" s="1"/>
  <c r="A948" i="4"/>
  <c r="F948" i="4" s="1"/>
  <c r="A949" i="4"/>
  <c r="F949" i="4" s="1"/>
  <c r="A950" i="4"/>
  <c r="F950" i="4" s="1"/>
  <c r="A951" i="4"/>
  <c r="F951" i="4" s="1"/>
  <c r="A952" i="4"/>
  <c r="F952" i="4" s="1"/>
  <c r="A953" i="4"/>
  <c r="F953" i="4" s="1"/>
  <c r="A954" i="4"/>
  <c r="F954" i="4" s="1"/>
  <c r="A955" i="4"/>
  <c r="F955" i="4" s="1"/>
  <c r="A956" i="4"/>
  <c r="F956" i="4" s="1"/>
  <c r="A957" i="4"/>
  <c r="F957" i="4" s="1"/>
  <c r="A958" i="4"/>
  <c r="F958" i="4" s="1"/>
  <c r="A959" i="4"/>
  <c r="F959" i="4" s="1"/>
  <c r="A960" i="4"/>
  <c r="F960" i="4" s="1"/>
  <c r="A961" i="4"/>
  <c r="F961" i="4" s="1"/>
  <c r="A962" i="4"/>
  <c r="F962" i="4" s="1"/>
  <c r="A963" i="4"/>
  <c r="F963" i="4" s="1"/>
  <c r="A964" i="4"/>
  <c r="F964" i="4" s="1"/>
  <c r="A965" i="4"/>
  <c r="F965" i="4" s="1"/>
  <c r="A966" i="4"/>
  <c r="F966" i="4" s="1"/>
  <c r="A967" i="4"/>
  <c r="F967" i="4" s="1"/>
  <c r="A968" i="4"/>
  <c r="F968" i="4" s="1"/>
  <c r="A969" i="4"/>
  <c r="F969" i="4" s="1"/>
  <c r="A970" i="4"/>
  <c r="F970" i="4" s="1"/>
  <c r="A971" i="4"/>
  <c r="F971" i="4" s="1"/>
  <c r="A972" i="4"/>
  <c r="F972" i="4" s="1"/>
  <c r="A973" i="4"/>
  <c r="F973" i="4" s="1"/>
  <c r="A974" i="4"/>
  <c r="F974" i="4" s="1"/>
  <c r="A975" i="4"/>
  <c r="F975" i="4" s="1"/>
  <c r="A976" i="4"/>
  <c r="F976" i="4" s="1"/>
  <c r="A977" i="4"/>
  <c r="F977" i="4" s="1"/>
  <c r="A978" i="4"/>
  <c r="F978" i="4" s="1"/>
  <c r="A979" i="4"/>
  <c r="F979" i="4" s="1"/>
  <c r="A980" i="4"/>
  <c r="F980" i="4" s="1"/>
  <c r="A981" i="4"/>
  <c r="F981" i="4" s="1"/>
  <c r="A982" i="4"/>
  <c r="F982" i="4" s="1"/>
  <c r="A983" i="4"/>
  <c r="F983" i="4" s="1"/>
  <c r="A984" i="4"/>
  <c r="F984" i="4" s="1"/>
  <c r="A985" i="4"/>
  <c r="F985" i="4" s="1"/>
  <c r="A986" i="4"/>
  <c r="F986" i="4" s="1"/>
  <c r="A987" i="4"/>
  <c r="F987" i="4" s="1"/>
  <c r="A988" i="4"/>
  <c r="F988" i="4" s="1"/>
  <c r="A989" i="4"/>
  <c r="F989" i="4" s="1"/>
  <c r="A990" i="4"/>
  <c r="F990" i="4" s="1"/>
  <c r="A991" i="4"/>
  <c r="F991" i="4" s="1"/>
  <c r="A992" i="4"/>
  <c r="F992" i="4" s="1"/>
  <c r="A993" i="4"/>
  <c r="F993" i="4" s="1"/>
  <c r="A994" i="4"/>
  <c r="F994" i="4" s="1"/>
  <c r="A995" i="4"/>
  <c r="F995" i="4" s="1"/>
  <c r="A996" i="4"/>
  <c r="F996" i="4" s="1"/>
  <c r="A997" i="4"/>
  <c r="F997" i="4" s="1"/>
  <c r="A998" i="4"/>
  <c r="F998" i="4" s="1"/>
  <c r="A999" i="4"/>
  <c r="F999" i="4" s="1"/>
  <c r="A1000" i="4"/>
  <c r="F1000" i="4" s="1"/>
  <c r="A1001" i="4"/>
  <c r="F1001" i="4" s="1"/>
  <c r="A1002" i="4"/>
  <c r="F1002" i="4" s="1"/>
  <c r="A1003" i="4"/>
  <c r="F1003" i="4" s="1"/>
  <c r="A1004" i="4"/>
  <c r="F1004" i="4" s="1"/>
  <c r="A1005" i="4"/>
  <c r="F1005" i="4" s="1"/>
  <c r="A1006" i="4"/>
  <c r="F1006" i="4" s="1"/>
  <c r="A1007" i="4"/>
  <c r="F1007" i="4" s="1"/>
  <c r="A1008" i="4"/>
  <c r="F1008" i="4" s="1"/>
  <c r="A1009" i="4"/>
  <c r="F1009" i="4" s="1"/>
  <c r="A1010" i="4"/>
  <c r="F1010" i="4" s="1"/>
  <c r="A1011" i="4"/>
  <c r="F1011" i="4" s="1"/>
  <c r="A1012" i="4"/>
  <c r="F1012" i="4" s="1"/>
  <c r="A1013" i="4"/>
  <c r="F1013" i="4" s="1"/>
  <c r="A1014" i="4"/>
  <c r="F1014" i="4" s="1"/>
  <c r="A1015" i="4"/>
  <c r="F1015" i="4" s="1"/>
  <c r="A1016" i="4"/>
  <c r="F1016" i="4" s="1"/>
  <c r="A1017" i="4"/>
  <c r="F1017" i="4" s="1"/>
  <c r="A1018" i="4"/>
  <c r="F1018" i="4" s="1"/>
  <c r="A1019" i="4"/>
  <c r="F1019" i="4" s="1"/>
  <c r="A1020" i="4"/>
  <c r="F1020" i="4" s="1"/>
  <c r="A1021" i="4"/>
  <c r="F1021" i="4" s="1"/>
  <c r="A1022" i="4"/>
  <c r="F1022" i="4" s="1"/>
  <c r="A1023" i="4"/>
  <c r="F1023" i="4" s="1"/>
  <c r="A1024" i="4"/>
  <c r="F1024" i="4" s="1"/>
  <c r="A1025" i="4"/>
  <c r="F1025" i="4" s="1"/>
  <c r="A1026" i="4"/>
  <c r="F1026" i="4" s="1"/>
  <c r="A1027" i="4"/>
  <c r="F1027" i="4" s="1"/>
  <c r="A1028" i="4"/>
  <c r="F1028" i="4" s="1"/>
  <c r="A1029" i="4"/>
  <c r="F1029" i="4" s="1"/>
  <c r="A1030" i="4"/>
  <c r="F1030" i="4" s="1"/>
  <c r="A1031" i="4"/>
  <c r="F1031" i="4" s="1"/>
  <c r="A1032" i="4"/>
  <c r="F1032" i="4" s="1"/>
  <c r="A1033" i="4"/>
  <c r="F1033" i="4" s="1"/>
  <c r="A1034" i="4"/>
  <c r="F1034" i="4" s="1"/>
  <c r="A1035" i="4"/>
  <c r="F1035" i="4" s="1"/>
  <c r="A1036" i="4"/>
  <c r="F1036" i="4" s="1"/>
  <c r="A1037" i="4"/>
  <c r="F1037" i="4" s="1"/>
  <c r="A1038" i="4"/>
  <c r="F1038" i="4" s="1"/>
  <c r="A1039" i="4"/>
  <c r="F1039" i="4" s="1"/>
  <c r="A1040" i="4"/>
  <c r="F1040" i="4" s="1"/>
  <c r="A1041" i="4"/>
  <c r="F1041" i="4" s="1"/>
  <c r="A1042" i="4"/>
  <c r="F1042" i="4" s="1"/>
  <c r="A1043" i="4"/>
  <c r="F1043" i="4" s="1"/>
  <c r="A1044" i="4"/>
  <c r="F1044" i="4" s="1"/>
  <c r="A1045" i="4"/>
  <c r="F1045" i="4" s="1"/>
  <c r="A1046" i="4"/>
  <c r="F1046" i="4" s="1"/>
  <c r="A1047" i="4"/>
  <c r="F1047" i="4" s="1"/>
  <c r="A1048" i="4"/>
  <c r="F1048" i="4" s="1"/>
  <c r="A1049" i="4"/>
  <c r="F1049" i="4" s="1"/>
  <c r="A1050" i="4"/>
  <c r="F1050" i="4" s="1"/>
  <c r="A1051" i="4"/>
  <c r="F1051" i="4" s="1"/>
  <c r="A1052" i="4"/>
  <c r="F1052" i="4" s="1"/>
  <c r="A1053" i="4"/>
  <c r="F1053" i="4" s="1"/>
  <c r="A1054" i="4"/>
  <c r="F1054" i="4" s="1"/>
  <c r="A1055" i="4"/>
  <c r="F1055" i="4" s="1"/>
  <c r="A1056" i="4"/>
  <c r="F1056" i="4" s="1"/>
  <c r="A1057" i="4"/>
  <c r="F1057" i="4" s="1"/>
  <c r="A1058" i="4"/>
  <c r="F1058" i="4" s="1"/>
  <c r="A1059" i="4"/>
  <c r="F1059" i="4" s="1"/>
  <c r="A1060" i="4"/>
  <c r="F1060" i="4" s="1"/>
  <c r="A1061" i="4"/>
  <c r="F1061" i="4" s="1"/>
  <c r="A1062" i="4"/>
  <c r="F1062" i="4" s="1"/>
  <c r="A1063" i="4"/>
  <c r="F1063" i="4" s="1"/>
  <c r="A1064" i="4"/>
  <c r="F1064" i="4" s="1"/>
  <c r="A1065" i="4"/>
  <c r="F1065" i="4" s="1"/>
  <c r="A1066" i="4"/>
  <c r="F1066" i="4" s="1"/>
  <c r="A1067" i="4"/>
  <c r="F1067" i="4" s="1"/>
  <c r="A1068" i="4"/>
  <c r="F1068" i="4" s="1"/>
  <c r="A1069" i="4"/>
  <c r="F1069" i="4" s="1"/>
  <c r="A1070" i="4"/>
  <c r="F1070" i="4" s="1"/>
  <c r="A1071" i="4"/>
  <c r="F1071" i="4" s="1"/>
  <c r="A1072" i="4"/>
  <c r="F1072" i="4" s="1"/>
  <c r="A1073" i="4"/>
  <c r="F1073" i="4" s="1"/>
  <c r="A1074" i="4"/>
  <c r="F1074" i="4" s="1"/>
  <c r="A1075" i="4"/>
  <c r="F1075" i="4" s="1"/>
  <c r="A1076" i="4"/>
  <c r="F1076" i="4" s="1"/>
  <c r="A1077" i="4"/>
  <c r="F1077" i="4" s="1"/>
  <c r="A1078" i="4"/>
  <c r="F1078" i="4" s="1"/>
  <c r="A1079" i="4"/>
  <c r="F1079" i="4" s="1"/>
  <c r="A1080" i="4"/>
  <c r="F1080" i="4" s="1"/>
  <c r="A1081" i="4"/>
  <c r="F1081" i="4" s="1"/>
  <c r="A1082" i="4"/>
  <c r="F1082" i="4" s="1"/>
  <c r="A1083" i="4"/>
  <c r="F1083" i="4" s="1"/>
  <c r="A1084" i="4"/>
  <c r="F1084" i="4" s="1"/>
  <c r="A1085" i="4"/>
  <c r="F1085" i="4" s="1"/>
  <c r="A1086" i="4"/>
  <c r="F1086" i="4" s="1"/>
  <c r="A1087" i="4"/>
  <c r="F1087" i="4" s="1"/>
  <c r="A1088" i="4"/>
  <c r="F1088" i="4" s="1"/>
  <c r="A1089" i="4"/>
  <c r="F1089" i="4" s="1"/>
  <c r="A1090" i="4"/>
  <c r="F1090" i="4" s="1"/>
  <c r="A1091" i="4"/>
  <c r="F1091" i="4" s="1"/>
  <c r="A1092" i="4"/>
  <c r="F1092" i="4" s="1"/>
  <c r="A1093" i="4"/>
  <c r="F1093" i="4" s="1"/>
  <c r="A1094" i="4"/>
  <c r="F1094" i="4" s="1"/>
  <c r="A1095" i="4"/>
  <c r="F1095" i="4" s="1"/>
  <c r="A1096" i="4"/>
  <c r="F1096" i="4" s="1"/>
  <c r="A1097" i="4"/>
  <c r="F1097" i="4" s="1"/>
  <c r="A1098" i="4"/>
  <c r="F1098" i="4" s="1"/>
  <c r="A1099" i="4"/>
  <c r="F1099" i="4" s="1"/>
  <c r="A1100" i="4"/>
  <c r="F1100" i="4" s="1"/>
  <c r="A1101" i="4"/>
  <c r="F1101" i="4" s="1"/>
  <c r="A1102" i="4"/>
  <c r="F1102" i="4" s="1"/>
  <c r="A1103" i="4"/>
  <c r="F1103" i="4" s="1"/>
  <c r="A1104" i="4"/>
  <c r="F1104" i="4" s="1"/>
  <c r="A1105" i="4"/>
  <c r="F1105" i="4" s="1"/>
  <c r="A1106" i="4"/>
  <c r="F1106" i="4" s="1"/>
  <c r="A1107" i="4"/>
  <c r="F1107" i="4" s="1"/>
  <c r="A1108" i="4"/>
  <c r="F1108" i="4" s="1"/>
  <c r="A1109" i="4"/>
  <c r="F1109" i="4" s="1"/>
  <c r="A1110" i="4"/>
  <c r="F1110" i="4" s="1"/>
  <c r="A1111" i="4"/>
  <c r="F1111" i="4" s="1"/>
  <c r="A1112" i="4"/>
  <c r="F1112" i="4" s="1"/>
  <c r="A1113" i="4"/>
  <c r="F1113" i="4" s="1"/>
  <c r="A1114" i="4"/>
  <c r="F1114" i="4" s="1"/>
  <c r="A1115" i="4"/>
  <c r="F1115" i="4" s="1"/>
  <c r="A1116" i="4"/>
  <c r="F1116" i="4" s="1"/>
  <c r="A1117" i="4"/>
  <c r="F1117" i="4" s="1"/>
  <c r="A1118" i="4"/>
  <c r="F1118" i="4" s="1"/>
  <c r="A1119" i="4"/>
  <c r="F1119" i="4" s="1"/>
  <c r="A1120" i="4"/>
  <c r="F1120" i="4" s="1"/>
  <c r="A1121" i="4"/>
  <c r="F1121" i="4" s="1"/>
  <c r="A1122" i="4"/>
  <c r="F1122" i="4" s="1"/>
  <c r="A1123" i="4"/>
  <c r="F1123" i="4" s="1"/>
  <c r="A1124" i="4"/>
  <c r="F1124" i="4" s="1"/>
  <c r="A1125" i="4"/>
  <c r="F1125" i="4" s="1"/>
  <c r="A1126" i="4"/>
  <c r="F1126" i="4" s="1"/>
  <c r="A1127" i="4"/>
  <c r="F1127" i="4" s="1"/>
  <c r="A1128" i="4"/>
  <c r="F1128" i="4" s="1"/>
  <c r="A1129" i="4"/>
  <c r="F1129" i="4" s="1"/>
  <c r="A1130" i="4"/>
  <c r="F1130" i="4" s="1"/>
  <c r="A1131" i="4"/>
  <c r="F1131" i="4" s="1"/>
  <c r="A1132" i="4"/>
  <c r="F1132" i="4" s="1"/>
  <c r="A1133" i="4"/>
  <c r="F1133" i="4" s="1"/>
  <c r="A1134" i="4"/>
  <c r="F1134" i="4" s="1"/>
  <c r="A1135" i="4"/>
  <c r="F1135" i="4" s="1"/>
  <c r="A1136" i="4"/>
  <c r="F1136" i="4" s="1"/>
  <c r="A1137" i="4"/>
  <c r="F1137" i="4" s="1"/>
  <c r="A1138" i="4"/>
  <c r="F1138" i="4" s="1"/>
  <c r="A1139" i="4"/>
  <c r="F1139" i="4" s="1"/>
  <c r="A1140" i="4"/>
  <c r="F1140" i="4" s="1"/>
  <c r="A1141" i="4"/>
  <c r="F1141" i="4" s="1"/>
  <c r="A1142" i="4"/>
  <c r="F1142" i="4" s="1"/>
  <c r="A1143" i="4"/>
  <c r="F1143" i="4" s="1"/>
  <c r="A1144" i="4"/>
  <c r="F1144" i="4" s="1"/>
  <c r="A1145" i="4"/>
  <c r="F1145" i="4" s="1"/>
  <c r="A1146" i="4"/>
  <c r="F1146" i="4" s="1"/>
  <c r="A1147" i="4"/>
  <c r="F1147" i="4" s="1"/>
  <c r="A1148" i="4"/>
  <c r="F1148" i="4" s="1"/>
  <c r="A1149" i="4"/>
  <c r="F1149" i="4" s="1"/>
  <c r="A1150" i="4"/>
  <c r="F1150" i="4" s="1"/>
  <c r="A1151" i="4"/>
  <c r="F1151" i="4" s="1"/>
  <c r="A1152" i="4"/>
  <c r="F1152" i="4" s="1"/>
  <c r="A1153" i="4"/>
  <c r="F1153" i="4" s="1"/>
  <c r="A1154" i="4"/>
  <c r="F1154" i="4" s="1"/>
  <c r="A1155" i="4"/>
  <c r="F1155" i="4" s="1"/>
  <c r="A1156" i="4"/>
  <c r="F1156" i="4" s="1"/>
  <c r="A1157" i="4"/>
  <c r="F1157" i="4" s="1"/>
  <c r="A1158" i="4"/>
  <c r="F1158" i="4" s="1"/>
  <c r="A1159" i="4"/>
  <c r="F1159" i="4" s="1"/>
  <c r="A1160" i="4"/>
  <c r="F1160" i="4" s="1"/>
  <c r="A1161" i="4"/>
  <c r="F1161" i="4" s="1"/>
  <c r="A1162" i="4"/>
  <c r="F1162" i="4" s="1"/>
  <c r="A1163" i="4"/>
  <c r="F1163" i="4" s="1"/>
  <c r="A1164" i="4"/>
  <c r="F1164" i="4" s="1"/>
  <c r="A1165" i="4"/>
  <c r="F1165" i="4" s="1"/>
  <c r="A1166" i="4"/>
  <c r="F1166" i="4" s="1"/>
  <c r="A1167" i="4"/>
  <c r="F1167" i="4" s="1"/>
  <c r="A1168" i="4"/>
  <c r="F1168" i="4" s="1"/>
  <c r="A1169" i="4"/>
  <c r="F1169" i="4" s="1"/>
  <c r="A1170" i="4"/>
  <c r="F1170" i="4" s="1"/>
  <c r="A1171" i="4"/>
  <c r="F1171" i="4" s="1"/>
  <c r="A1172" i="4"/>
  <c r="F1172" i="4" s="1"/>
  <c r="A1173" i="4"/>
  <c r="F1173" i="4" s="1"/>
  <c r="A1174" i="4"/>
  <c r="F1174" i="4" s="1"/>
  <c r="A1175" i="4"/>
  <c r="F1175" i="4" s="1"/>
  <c r="A1176" i="4"/>
  <c r="F1176" i="4" s="1"/>
  <c r="A1177" i="4"/>
  <c r="F1177" i="4" s="1"/>
  <c r="A1178" i="4"/>
  <c r="F1178" i="4" s="1"/>
  <c r="A1179" i="4"/>
  <c r="F1179" i="4" s="1"/>
  <c r="A1180" i="4"/>
  <c r="F1180" i="4" s="1"/>
  <c r="A1181" i="4"/>
  <c r="F1181" i="4" s="1"/>
  <c r="A1182" i="4"/>
  <c r="F1182" i="4" s="1"/>
  <c r="A1183" i="4"/>
  <c r="F1183" i="4" s="1"/>
  <c r="A1184" i="4"/>
  <c r="F1184" i="4" s="1"/>
  <c r="A1185" i="4"/>
  <c r="F1185" i="4" s="1"/>
  <c r="A1186" i="4"/>
  <c r="F1186" i="4" s="1"/>
  <c r="A1187" i="4"/>
  <c r="F1187" i="4" s="1"/>
  <c r="A1188" i="4"/>
  <c r="F1188" i="4" s="1"/>
  <c r="A1189" i="4"/>
  <c r="F1189" i="4" s="1"/>
  <c r="A1190" i="4"/>
  <c r="F1190" i="4" s="1"/>
  <c r="A1191" i="4"/>
  <c r="F1191" i="4" s="1"/>
  <c r="A1192" i="4"/>
  <c r="F1192" i="4" s="1"/>
  <c r="A1193" i="4"/>
  <c r="F1193" i="4" s="1"/>
  <c r="A1194" i="4"/>
  <c r="F1194" i="4" s="1"/>
  <c r="A1195" i="4"/>
  <c r="F1195" i="4" s="1"/>
  <c r="A1196" i="4"/>
  <c r="F1196" i="4" s="1"/>
  <c r="A1197" i="4"/>
  <c r="F1197" i="4" s="1"/>
  <c r="A1198" i="4"/>
  <c r="F1198" i="4" s="1"/>
  <c r="A1199" i="4"/>
  <c r="F1199" i="4" s="1"/>
  <c r="A1200" i="4"/>
  <c r="F1200" i="4" s="1"/>
  <c r="A1201" i="4"/>
  <c r="F1201" i="4" s="1"/>
  <c r="A1202" i="4"/>
  <c r="F1202" i="4" s="1"/>
  <c r="A1203" i="4"/>
  <c r="F1203" i="4" s="1"/>
  <c r="A1204" i="4"/>
  <c r="F1204" i="4" s="1"/>
  <c r="A1205" i="4"/>
  <c r="F1205" i="4" s="1"/>
  <c r="A1206" i="4"/>
  <c r="F1206" i="4" s="1"/>
  <c r="A1207" i="4"/>
  <c r="F1207" i="4" s="1"/>
  <c r="A1208" i="4"/>
  <c r="F1208" i="4" s="1"/>
  <c r="A1209" i="4"/>
  <c r="F1209" i="4" s="1"/>
  <c r="A1210" i="4"/>
  <c r="F1210" i="4" s="1"/>
  <c r="A1211" i="4"/>
  <c r="F1211" i="4" s="1"/>
  <c r="A1212" i="4"/>
  <c r="F1212" i="4" s="1"/>
  <c r="A1213" i="4"/>
  <c r="F1213" i="4" s="1"/>
  <c r="A1214" i="4"/>
  <c r="F1214" i="4" s="1"/>
  <c r="A1215" i="4"/>
  <c r="F1215" i="4" s="1"/>
  <c r="A1216" i="4"/>
  <c r="F1216" i="4" s="1"/>
  <c r="A1217" i="4"/>
  <c r="F1217" i="4" s="1"/>
  <c r="A1218" i="4"/>
  <c r="F1218" i="4" s="1"/>
  <c r="A1219" i="4"/>
  <c r="F1219" i="4" s="1"/>
  <c r="A1220" i="4"/>
  <c r="F1220" i="4" s="1"/>
  <c r="A1221" i="4"/>
  <c r="F1221" i="4" s="1"/>
  <c r="A1222" i="4"/>
  <c r="F1222" i="4" s="1"/>
  <c r="A1223" i="4"/>
  <c r="F1223" i="4" s="1"/>
  <c r="A1224" i="4"/>
  <c r="F1224" i="4" s="1"/>
  <c r="A1225" i="4"/>
  <c r="F1225" i="4" s="1"/>
  <c r="A1226" i="4"/>
  <c r="F1226" i="4" s="1"/>
  <c r="A1227" i="4"/>
  <c r="F1227" i="4" s="1"/>
  <c r="A1228" i="4"/>
  <c r="F1228" i="4" s="1"/>
  <c r="A1229" i="4"/>
  <c r="F1229" i="4" s="1"/>
  <c r="A1230" i="4"/>
  <c r="F1230" i="4" s="1"/>
  <c r="A1231" i="4"/>
  <c r="F1231" i="4" s="1"/>
  <c r="A1232" i="4"/>
  <c r="F1232" i="4" s="1"/>
  <c r="A1233" i="4"/>
  <c r="F1233" i="4" s="1"/>
  <c r="A1234" i="4"/>
  <c r="F1234" i="4" s="1"/>
  <c r="A1235" i="4"/>
  <c r="F1235" i="4" s="1"/>
  <c r="A1236" i="4"/>
  <c r="F1236" i="4" s="1"/>
  <c r="A1237" i="4"/>
  <c r="F1237" i="4" s="1"/>
  <c r="A1238" i="4"/>
  <c r="F1238" i="4" s="1"/>
  <c r="A1239" i="4"/>
  <c r="F1239" i="4" s="1"/>
  <c r="A1240" i="4"/>
  <c r="F1240" i="4" s="1"/>
  <c r="A1241" i="4"/>
  <c r="F1241" i="4" s="1"/>
  <c r="A1242" i="4"/>
  <c r="F1242" i="4" s="1"/>
  <c r="A1243" i="4"/>
  <c r="F1243" i="4" s="1"/>
  <c r="A1244" i="4"/>
  <c r="F1244" i="4" s="1"/>
  <c r="A1245" i="4"/>
  <c r="F1245" i="4" s="1"/>
  <c r="A1246" i="4"/>
  <c r="F1246" i="4" s="1"/>
  <c r="A1247" i="4"/>
  <c r="F1247" i="4" s="1"/>
  <c r="A1248" i="4"/>
  <c r="F1248" i="4" s="1"/>
  <c r="A1249" i="4"/>
  <c r="F1249" i="4" s="1"/>
  <c r="A1250" i="4"/>
  <c r="F1250" i="4" s="1"/>
  <c r="A1251" i="4"/>
  <c r="F1251" i="4" s="1"/>
  <c r="A1252" i="4"/>
  <c r="F1252" i="4" s="1"/>
  <c r="A1253" i="4"/>
  <c r="F1253" i="4" s="1"/>
  <c r="A1254" i="4"/>
  <c r="F1254" i="4" s="1"/>
  <c r="A1255" i="4"/>
  <c r="F1255" i="4" s="1"/>
  <c r="A1256" i="4"/>
  <c r="F1256" i="4" s="1"/>
  <c r="A1257" i="4"/>
  <c r="F1257" i="4" s="1"/>
  <c r="A1258" i="4"/>
  <c r="F1258" i="4" s="1"/>
  <c r="A1259" i="4"/>
  <c r="F1259" i="4" s="1"/>
  <c r="A1260" i="4"/>
  <c r="F1260" i="4" s="1"/>
  <c r="A1261" i="4"/>
  <c r="F1261" i="4" s="1"/>
  <c r="A1262" i="4"/>
  <c r="F1262" i="4" s="1"/>
  <c r="A1263" i="4"/>
  <c r="F1263" i="4" s="1"/>
  <c r="A1264" i="4"/>
  <c r="F1264" i="4" s="1"/>
  <c r="A1265" i="4"/>
  <c r="F1265" i="4" s="1"/>
  <c r="A1266" i="4"/>
  <c r="F1266" i="4" s="1"/>
  <c r="A1267" i="4"/>
  <c r="F1267" i="4" s="1"/>
  <c r="A1268" i="4"/>
  <c r="F1268" i="4" s="1"/>
  <c r="A1269" i="4"/>
  <c r="F1269" i="4" s="1"/>
  <c r="A1270" i="4"/>
  <c r="F1270" i="4" s="1"/>
  <c r="A1271" i="4"/>
  <c r="F1271" i="4" s="1"/>
  <c r="A1272" i="4"/>
  <c r="F1272" i="4" s="1"/>
  <c r="A1273" i="4"/>
  <c r="F1273" i="4" s="1"/>
  <c r="A1274" i="4"/>
  <c r="F1274" i="4" s="1"/>
  <c r="A1275" i="4"/>
  <c r="F1275" i="4" s="1"/>
  <c r="A1276" i="4"/>
  <c r="F1276" i="4" s="1"/>
  <c r="A1277" i="4"/>
  <c r="F1277" i="4" s="1"/>
  <c r="A1278" i="4"/>
  <c r="F1278" i="4" s="1"/>
  <c r="A1279" i="4"/>
  <c r="F1279" i="4" s="1"/>
  <c r="A1280" i="4"/>
  <c r="F1280" i="4" s="1"/>
  <c r="A1281" i="4"/>
  <c r="F1281" i="4" s="1"/>
  <c r="A1282" i="4"/>
  <c r="F1282" i="4" s="1"/>
  <c r="A1283" i="4"/>
  <c r="F1283" i="4" s="1"/>
  <c r="A1284" i="4"/>
  <c r="F1284" i="4" s="1"/>
  <c r="A1285" i="4"/>
  <c r="F1285" i="4" s="1"/>
  <c r="A1286" i="4"/>
  <c r="F1286" i="4" s="1"/>
  <c r="A1287" i="4"/>
  <c r="F1287" i="4" s="1"/>
  <c r="A1288" i="4"/>
  <c r="F1288" i="4" s="1"/>
  <c r="A1289" i="4"/>
  <c r="F1289" i="4" s="1"/>
  <c r="A1290" i="4"/>
  <c r="F1290" i="4" s="1"/>
  <c r="A1291" i="4"/>
  <c r="F1291" i="4" s="1"/>
  <c r="A1292" i="4"/>
  <c r="F1292" i="4" s="1"/>
  <c r="A1293" i="4"/>
  <c r="F1293" i="4" s="1"/>
  <c r="A1294" i="4"/>
  <c r="F1294" i="4" s="1"/>
  <c r="A1295" i="4"/>
  <c r="F1295" i="4" s="1"/>
  <c r="A1296" i="4"/>
  <c r="F1296" i="4" s="1"/>
  <c r="A1297" i="4"/>
  <c r="F1297" i="4" s="1"/>
  <c r="A1298" i="4"/>
  <c r="F1298" i="4" s="1"/>
  <c r="A1299" i="4"/>
  <c r="F1299" i="4" s="1"/>
  <c r="A1300" i="4"/>
  <c r="F1300" i="4" s="1"/>
  <c r="A1301" i="4"/>
  <c r="F1301" i="4" s="1"/>
  <c r="A1302" i="4"/>
  <c r="F1302" i="4" s="1"/>
  <c r="A1303" i="4"/>
  <c r="F1303" i="4" s="1"/>
  <c r="A1304" i="4"/>
  <c r="F1304" i="4" s="1"/>
  <c r="A1305" i="4"/>
  <c r="F1305" i="4" s="1"/>
  <c r="A1306" i="4"/>
  <c r="F1306" i="4" s="1"/>
  <c r="A1307" i="4"/>
  <c r="F1307" i="4" s="1"/>
  <c r="A1308" i="4"/>
  <c r="F1308" i="4" s="1"/>
  <c r="A1309" i="4"/>
  <c r="F1309" i="4" s="1"/>
  <c r="A1310" i="4"/>
  <c r="F1310" i="4" s="1"/>
  <c r="A1311" i="4"/>
  <c r="F1311" i="4" s="1"/>
  <c r="A1312" i="4"/>
  <c r="F1312" i="4" s="1"/>
  <c r="A1313" i="4"/>
  <c r="F1313" i="4" s="1"/>
  <c r="A1314" i="4"/>
  <c r="F1314" i="4" s="1"/>
  <c r="A1315" i="4"/>
  <c r="F1315" i="4" s="1"/>
  <c r="A1316" i="4"/>
  <c r="F1316" i="4" s="1"/>
  <c r="A1317" i="4"/>
  <c r="F1317" i="4" s="1"/>
  <c r="A1318" i="4"/>
  <c r="F1318" i="4" s="1"/>
  <c r="A1319" i="4"/>
  <c r="F1319" i="4" s="1"/>
  <c r="A1320" i="4"/>
  <c r="F1320" i="4" s="1"/>
  <c r="A1321" i="4"/>
  <c r="F1321" i="4" s="1"/>
  <c r="A1322" i="4"/>
  <c r="F1322" i="4" s="1"/>
  <c r="A1323" i="4"/>
  <c r="F1323" i="4" s="1"/>
  <c r="A1324" i="4"/>
  <c r="F1324" i="4" s="1"/>
  <c r="A1325" i="4"/>
  <c r="F1325" i="4" s="1"/>
  <c r="A1326" i="4"/>
  <c r="F1326" i="4" s="1"/>
  <c r="A1327" i="4"/>
  <c r="F1327" i="4" s="1"/>
  <c r="A1328" i="4"/>
  <c r="F1328" i="4" s="1"/>
  <c r="A1329" i="4"/>
  <c r="F1329" i="4" s="1"/>
  <c r="A1330" i="4"/>
  <c r="F1330" i="4" s="1"/>
  <c r="A1331" i="4"/>
  <c r="F1331" i="4" s="1"/>
  <c r="A1332" i="4"/>
  <c r="F1332" i="4" s="1"/>
  <c r="A1333" i="4"/>
  <c r="F1333" i="4" s="1"/>
  <c r="A1334" i="4"/>
  <c r="F1334" i="4" s="1"/>
  <c r="A1335" i="4"/>
  <c r="F1335" i="4" s="1"/>
  <c r="A1336" i="4"/>
  <c r="F1336" i="4" s="1"/>
  <c r="A1337" i="4"/>
  <c r="F1337" i="4" s="1"/>
  <c r="A1338" i="4"/>
  <c r="F1338" i="4" s="1"/>
  <c r="A1339" i="4"/>
  <c r="F1339" i="4" s="1"/>
  <c r="A1340" i="4"/>
  <c r="F1340" i="4" s="1"/>
  <c r="A1341" i="4"/>
  <c r="F1341" i="4" s="1"/>
  <c r="A1342" i="4"/>
  <c r="F1342" i="4" s="1"/>
  <c r="A1343" i="4"/>
  <c r="F1343" i="4" s="1"/>
  <c r="A1344" i="4"/>
  <c r="F1344" i="4" s="1"/>
  <c r="A1345" i="4"/>
  <c r="F1345" i="4" s="1"/>
  <c r="A1346" i="4"/>
  <c r="F1346" i="4" s="1"/>
  <c r="A1347" i="4"/>
  <c r="F1347" i="4" s="1"/>
  <c r="A1348" i="4"/>
  <c r="F1348" i="4" s="1"/>
  <c r="A1349" i="4"/>
  <c r="F1349" i="4" s="1"/>
  <c r="A1350" i="4"/>
  <c r="F1350" i="4" s="1"/>
  <c r="A1351" i="4"/>
  <c r="F1351" i="4" s="1"/>
  <c r="A1352" i="4"/>
  <c r="F1352" i="4" s="1"/>
  <c r="A1353" i="4"/>
  <c r="F1353" i="4" s="1"/>
  <c r="A1354" i="4"/>
  <c r="F1354" i="4" s="1"/>
  <c r="A1355" i="4"/>
  <c r="F1355" i="4" s="1"/>
  <c r="A1356" i="4"/>
  <c r="F1356" i="4" s="1"/>
  <c r="A1357" i="4"/>
  <c r="F1357" i="4" s="1"/>
  <c r="A1358" i="4"/>
  <c r="F1358" i="4" s="1"/>
  <c r="A1359" i="4"/>
  <c r="F1359" i="4" s="1"/>
  <c r="A1360" i="4"/>
  <c r="F1360" i="4" s="1"/>
  <c r="A1361" i="4"/>
  <c r="F1361" i="4" s="1"/>
  <c r="A1362" i="4"/>
  <c r="F1362" i="4" s="1"/>
  <c r="A1363" i="4"/>
  <c r="F1363" i="4" s="1"/>
  <c r="A1364" i="4"/>
  <c r="F1364" i="4" s="1"/>
  <c r="A1365" i="4"/>
  <c r="F1365" i="4" s="1"/>
  <c r="A1366" i="4"/>
  <c r="F1366" i="4" s="1"/>
  <c r="A1367" i="4"/>
  <c r="F1367" i="4" s="1"/>
  <c r="A1368" i="4"/>
  <c r="F1368" i="4" s="1"/>
  <c r="A1369" i="4"/>
  <c r="F1369" i="4" s="1"/>
  <c r="A1370" i="4"/>
  <c r="F1370" i="4" s="1"/>
  <c r="A1371" i="4"/>
  <c r="F1371" i="4" s="1"/>
  <c r="A1372" i="4"/>
  <c r="F1372" i="4" s="1"/>
  <c r="A1373" i="4"/>
  <c r="F1373" i="4" s="1"/>
  <c r="A1374" i="4"/>
  <c r="F1374" i="4" s="1"/>
  <c r="A1375" i="4"/>
  <c r="F1375" i="4" s="1"/>
  <c r="A1376" i="4"/>
  <c r="F1376" i="4" s="1"/>
  <c r="A1377" i="4"/>
  <c r="F1377" i="4" s="1"/>
  <c r="A1378" i="4"/>
  <c r="F1378" i="4" s="1"/>
  <c r="A1379" i="4"/>
  <c r="F1379" i="4" s="1"/>
  <c r="A1380" i="4"/>
  <c r="F1380" i="4" s="1"/>
  <c r="A1381" i="4"/>
  <c r="F1381" i="4" s="1"/>
  <c r="A1382" i="4"/>
  <c r="F1382" i="4" s="1"/>
  <c r="A1383" i="4"/>
  <c r="F1383" i="4" s="1"/>
  <c r="A1384" i="4"/>
  <c r="F1384" i="4" s="1"/>
  <c r="A1385" i="4"/>
  <c r="F1385" i="4" s="1"/>
  <c r="A1386" i="4"/>
  <c r="F1386" i="4" s="1"/>
  <c r="A1387" i="4"/>
  <c r="F1387" i="4" s="1"/>
  <c r="A1388" i="4"/>
  <c r="F1388" i="4" s="1"/>
  <c r="A1389" i="4"/>
  <c r="F1389" i="4" s="1"/>
  <c r="A1390" i="4"/>
  <c r="F1390" i="4" s="1"/>
  <c r="A1391" i="4"/>
  <c r="F1391" i="4" s="1"/>
  <c r="A1392" i="4"/>
  <c r="F1392" i="4" s="1"/>
  <c r="A1393" i="4"/>
  <c r="F1393" i="4" s="1"/>
  <c r="A1394" i="4"/>
  <c r="F1394" i="4" s="1"/>
  <c r="A1395" i="4"/>
  <c r="F1395" i="4" s="1"/>
  <c r="A1396" i="4"/>
  <c r="F1396" i="4" s="1"/>
  <c r="A1397" i="4"/>
  <c r="F1397" i="4" s="1"/>
  <c r="A1398" i="4"/>
  <c r="F1398" i="4" s="1"/>
  <c r="A1399" i="4"/>
  <c r="F1399" i="4" s="1"/>
  <c r="A1400" i="4"/>
  <c r="F1400" i="4" s="1"/>
  <c r="A1401" i="4"/>
  <c r="F1401" i="4" s="1"/>
  <c r="A1402" i="4"/>
  <c r="F1402" i="4" s="1"/>
  <c r="A1403" i="4"/>
  <c r="F1403" i="4" s="1"/>
  <c r="A1404" i="4"/>
  <c r="F1404" i="4" s="1"/>
  <c r="A1405" i="4"/>
  <c r="F1405" i="4" s="1"/>
  <c r="A1406" i="4"/>
  <c r="F1406" i="4" s="1"/>
  <c r="A1407" i="4"/>
  <c r="F1407" i="4" s="1"/>
  <c r="A1408" i="4"/>
  <c r="F1408" i="4" s="1"/>
  <c r="A1409" i="4"/>
  <c r="F1409" i="4" s="1"/>
  <c r="A1410" i="4"/>
  <c r="F1410" i="4" s="1"/>
  <c r="A1411" i="4"/>
  <c r="F1411" i="4" s="1"/>
  <c r="A1412" i="4"/>
  <c r="F1412" i="4" s="1"/>
  <c r="A1413" i="4"/>
  <c r="F1413" i="4" s="1"/>
  <c r="A1414" i="4"/>
  <c r="F1414" i="4" s="1"/>
  <c r="A1415" i="4"/>
  <c r="F1415" i="4" s="1"/>
  <c r="A1416" i="4"/>
  <c r="F1416" i="4" s="1"/>
  <c r="A1417" i="4"/>
  <c r="F1417" i="4" s="1"/>
  <c r="A1418" i="4"/>
  <c r="F1418" i="4" s="1"/>
  <c r="A1419" i="4"/>
  <c r="F1419" i="4" s="1"/>
  <c r="A1420" i="4"/>
  <c r="F1420" i="4" s="1"/>
  <c r="A1421" i="4"/>
  <c r="F1421" i="4" s="1"/>
  <c r="A1422" i="4"/>
  <c r="F1422" i="4" s="1"/>
  <c r="A1423" i="4"/>
  <c r="F1423" i="4" s="1"/>
  <c r="A1424" i="4"/>
  <c r="F1424" i="4" s="1"/>
  <c r="A1425" i="4"/>
  <c r="F1425" i="4" s="1"/>
  <c r="A1426" i="4"/>
  <c r="F1426" i="4" s="1"/>
  <c r="A1427" i="4"/>
  <c r="F1427" i="4" s="1"/>
  <c r="A1428" i="4"/>
  <c r="F1428" i="4" s="1"/>
  <c r="A1429" i="4"/>
  <c r="F1429" i="4" s="1"/>
  <c r="A1430" i="4"/>
  <c r="F1430" i="4" s="1"/>
  <c r="A1431" i="4"/>
  <c r="F1431" i="4" s="1"/>
  <c r="A1432" i="4"/>
  <c r="F1432" i="4" s="1"/>
  <c r="A1433" i="4"/>
  <c r="F1433" i="4" s="1"/>
  <c r="A1434" i="4"/>
  <c r="F1434" i="4" s="1"/>
  <c r="A1435" i="4"/>
  <c r="F1435" i="4" s="1"/>
  <c r="A1436" i="4"/>
  <c r="F1436" i="4" s="1"/>
  <c r="A1437" i="4"/>
  <c r="F1437" i="4" s="1"/>
  <c r="A1438" i="4"/>
  <c r="F1438" i="4" s="1"/>
  <c r="A1439" i="4"/>
  <c r="F1439" i="4" s="1"/>
  <c r="A1440" i="4"/>
  <c r="F1440" i="4" s="1"/>
  <c r="A1441" i="4"/>
  <c r="F1441" i="4" s="1"/>
  <c r="A1442" i="4"/>
  <c r="F1442" i="4" s="1"/>
  <c r="A1443" i="4"/>
  <c r="F1443" i="4" s="1"/>
  <c r="A1444" i="4"/>
  <c r="F1444" i="4" s="1"/>
  <c r="A1445" i="4"/>
  <c r="F1445" i="4" s="1"/>
  <c r="A1446" i="4"/>
  <c r="F1446" i="4" s="1"/>
  <c r="A1447" i="4"/>
  <c r="F1447" i="4" s="1"/>
  <c r="A1448" i="4"/>
  <c r="F1448" i="4" s="1"/>
  <c r="A1449" i="4"/>
  <c r="F1449" i="4" s="1"/>
  <c r="A1450" i="4"/>
  <c r="F1450" i="4" s="1"/>
  <c r="A1451" i="4"/>
  <c r="F1451" i="4" s="1"/>
  <c r="A1452" i="4"/>
  <c r="F1452" i="4" s="1"/>
  <c r="A1453" i="4"/>
  <c r="F1453" i="4" s="1"/>
  <c r="A1454" i="4"/>
  <c r="F1454" i="4" s="1"/>
  <c r="A1455" i="4"/>
  <c r="F1455" i="4" s="1"/>
  <c r="A1456" i="4"/>
  <c r="F1456" i="4" s="1"/>
  <c r="A1457" i="4"/>
  <c r="F1457" i="4" s="1"/>
  <c r="A1458" i="4"/>
  <c r="F1458" i="4" s="1"/>
  <c r="A1459" i="4"/>
  <c r="F1459" i="4" s="1"/>
  <c r="A1460" i="4"/>
  <c r="F1460" i="4" s="1"/>
  <c r="A1461" i="4"/>
  <c r="F1461" i="4" s="1"/>
  <c r="A1462" i="4"/>
  <c r="F1462" i="4" s="1"/>
  <c r="A1463" i="4"/>
  <c r="F1463" i="4" s="1"/>
  <c r="A1464" i="4"/>
  <c r="F1464" i="4" s="1"/>
  <c r="A1465" i="4"/>
  <c r="F1465" i="4" s="1"/>
  <c r="A1466" i="4"/>
  <c r="F1466" i="4" s="1"/>
  <c r="A1467" i="4"/>
  <c r="F1467" i="4" s="1"/>
  <c r="A1468" i="4"/>
  <c r="F1468" i="4" s="1"/>
  <c r="A1469" i="4"/>
  <c r="F1469" i="4" s="1"/>
  <c r="A1470" i="4"/>
  <c r="F1470" i="4" s="1"/>
  <c r="A1471" i="4"/>
  <c r="F1471" i="4" s="1"/>
  <c r="A1472" i="4"/>
  <c r="F1472" i="4" s="1"/>
  <c r="A1473" i="4"/>
  <c r="F1473" i="4" s="1"/>
  <c r="A1474" i="4"/>
  <c r="F1474" i="4" s="1"/>
  <c r="A1475" i="4"/>
  <c r="F1475" i="4" s="1"/>
  <c r="A1476" i="4"/>
  <c r="F1476" i="4" s="1"/>
  <c r="A1477" i="4"/>
  <c r="F1477" i="4" s="1"/>
  <c r="A1478" i="4"/>
  <c r="F1478" i="4" s="1"/>
  <c r="A1479" i="4"/>
  <c r="F1479" i="4" s="1"/>
  <c r="A1480" i="4"/>
  <c r="F1480" i="4" s="1"/>
  <c r="A1481" i="4"/>
  <c r="F1481" i="4" s="1"/>
  <c r="A1482" i="4"/>
  <c r="F1482" i="4" s="1"/>
  <c r="A1483" i="4"/>
  <c r="F1483" i="4" s="1"/>
  <c r="A1484" i="4"/>
  <c r="F1484" i="4" s="1"/>
  <c r="A1485" i="4"/>
  <c r="F1485" i="4" s="1"/>
  <c r="A1486" i="4"/>
  <c r="F1486" i="4" s="1"/>
  <c r="A1487" i="4"/>
  <c r="F1487" i="4" s="1"/>
  <c r="A1488" i="4"/>
  <c r="F1488" i="4" s="1"/>
  <c r="A1489" i="4"/>
  <c r="F1489" i="4" s="1"/>
  <c r="A1490" i="4"/>
  <c r="F1490" i="4" s="1"/>
  <c r="A1491" i="4"/>
  <c r="F1491" i="4" s="1"/>
  <c r="A1492" i="4"/>
  <c r="F1492" i="4" s="1"/>
  <c r="A1493" i="4"/>
  <c r="F1493" i="4" s="1"/>
  <c r="A1494" i="4"/>
  <c r="F1494" i="4" s="1"/>
  <c r="A1495" i="4"/>
  <c r="F1495" i="4" s="1"/>
  <c r="A1496" i="4"/>
  <c r="F1496" i="4" s="1"/>
  <c r="A1497" i="4"/>
  <c r="F1497" i="4" s="1"/>
  <c r="A1498" i="4"/>
  <c r="F1498" i="4" s="1"/>
  <c r="A1499" i="4"/>
  <c r="F1499" i="4" s="1"/>
  <c r="A1500" i="4"/>
  <c r="F1500" i="4" s="1"/>
  <c r="A1501" i="4"/>
  <c r="F1501" i="4" s="1"/>
  <c r="A1502" i="4"/>
  <c r="F1502" i="4" s="1"/>
  <c r="A1503" i="4"/>
  <c r="F1503" i="4" s="1"/>
  <c r="A1504" i="4"/>
  <c r="F1504" i="4" s="1"/>
  <c r="A1505" i="4"/>
  <c r="F1505" i="4" s="1"/>
  <c r="A1506" i="4"/>
  <c r="F1506" i="4" s="1"/>
  <c r="A1507" i="4"/>
  <c r="F1507" i="4" s="1"/>
  <c r="A1508" i="4"/>
  <c r="F1508" i="4" s="1"/>
  <c r="A1509" i="4"/>
  <c r="F1509" i="4" s="1"/>
  <c r="A1510" i="4"/>
  <c r="F1510" i="4" s="1"/>
  <c r="A1511" i="4"/>
  <c r="F1511" i="4" s="1"/>
  <c r="A1512" i="4"/>
  <c r="F1512" i="4" s="1"/>
  <c r="A1513" i="4"/>
  <c r="F1513" i="4" s="1"/>
  <c r="A1514" i="4"/>
  <c r="F1514" i="4" s="1"/>
  <c r="A1515" i="4"/>
  <c r="F1515" i="4" s="1"/>
  <c r="A1516" i="4"/>
  <c r="F1516" i="4" s="1"/>
  <c r="A1517" i="4"/>
  <c r="F1517" i="4" s="1"/>
  <c r="A1518" i="4"/>
  <c r="F1518" i="4" s="1"/>
  <c r="A1519" i="4"/>
  <c r="F1519" i="4" s="1"/>
  <c r="A1520" i="4"/>
  <c r="F1520" i="4" s="1"/>
  <c r="A1521" i="4"/>
  <c r="F1521" i="4" s="1"/>
  <c r="A1522" i="4"/>
  <c r="F1522" i="4" s="1"/>
  <c r="A1523" i="4"/>
  <c r="F1523" i="4" s="1"/>
  <c r="A1524" i="4"/>
  <c r="F1524" i="4" s="1"/>
  <c r="A1525" i="4"/>
  <c r="F1525" i="4" s="1"/>
  <c r="A1526" i="4"/>
  <c r="F1526" i="4" s="1"/>
  <c r="A1527" i="4"/>
  <c r="F1527" i="4" s="1"/>
  <c r="A1528" i="4"/>
  <c r="F1528" i="4" s="1"/>
  <c r="A1529" i="4"/>
  <c r="F1529" i="4" s="1"/>
  <c r="A1530" i="4"/>
  <c r="F1530" i="4" s="1"/>
  <c r="A1531" i="4"/>
  <c r="F1531" i="4" s="1"/>
  <c r="A1532" i="4"/>
  <c r="F1532" i="4" s="1"/>
  <c r="A1533" i="4"/>
  <c r="F1533" i="4" s="1"/>
  <c r="A1534" i="4"/>
  <c r="F1534" i="4" s="1"/>
  <c r="A1535" i="4"/>
  <c r="F1535" i="4" s="1"/>
  <c r="A1536" i="4"/>
  <c r="F1536" i="4" s="1"/>
  <c r="A1537" i="4"/>
  <c r="F1537" i="4" s="1"/>
  <c r="A1538" i="4"/>
  <c r="F1538" i="4" s="1"/>
  <c r="A1539" i="4"/>
  <c r="F1539" i="4" s="1"/>
  <c r="A1540" i="4"/>
  <c r="F1540" i="4" s="1"/>
  <c r="A1541" i="4"/>
  <c r="F1541" i="4" s="1"/>
  <c r="A1542" i="4"/>
  <c r="F1542" i="4" s="1"/>
  <c r="A1543" i="4"/>
  <c r="F1543" i="4" s="1"/>
  <c r="A1544" i="4"/>
  <c r="F1544" i="4" s="1"/>
  <c r="A1545" i="4"/>
  <c r="F1545" i="4" s="1"/>
  <c r="A1546" i="4"/>
  <c r="F1546" i="4" s="1"/>
  <c r="A1547" i="4"/>
  <c r="F1547" i="4" s="1"/>
  <c r="A1548" i="4"/>
  <c r="F1548" i="4" s="1"/>
  <c r="A1549" i="4"/>
  <c r="F1549" i="4" s="1"/>
  <c r="A1550" i="4"/>
  <c r="F1550" i="4" s="1"/>
  <c r="A1551" i="4"/>
  <c r="F1551" i="4" s="1"/>
  <c r="A1552" i="4"/>
  <c r="F1552" i="4" s="1"/>
  <c r="A1553" i="4"/>
  <c r="F1553" i="4" s="1"/>
  <c r="A1554" i="4"/>
  <c r="F1554" i="4" s="1"/>
  <c r="A1555" i="4"/>
  <c r="F1555" i="4" s="1"/>
  <c r="A1556" i="4"/>
  <c r="F1556" i="4" s="1"/>
  <c r="A1557" i="4"/>
  <c r="F1557" i="4" s="1"/>
  <c r="A1558" i="4"/>
  <c r="F1558" i="4" s="1"/>
  <c r="A1559" i="4"/>
  <c r="F1559" i="4" s="1"/>
  <c r="A1560" i="4"/>
  <c r="F1560" i="4" s="1"/>
  <c r="A1561" i="4"/>
  <c r="F1561" i="4" s="1"/>
  <c r="A1562" i="4"/>
  <c r="F1562" i="4" s="1"/>
  <c r="A1563" i="4"/>
  <c r="F1563" i="4" s="1"/>
  <c r="A1564" i="4"/>
  <c r="F1564" i="4" s="1"/>
  <c r="A1565" i="4"/>
  <c r="F1565" i="4" s="1"/>
  <c r="A1566" i="4"/>
  <c r="F1566" i="4" s="1"/>
  <c r="A1567" i="4"/>
  <c r="F1567" i="4" s="1"/>
  <c r="A1568" i="4"/>
  <c r="F1568" i="4" s="1"/>
  <c r="A1569" i="4"/>
  <c r="F1569" i="4" s="1"/>
  <c r="A1570" i="4"/>
  <c r="F1570" i="4" s="1"/>
  <c r="A1571" i="4"/>
  <c r="F1571" i="4" s="1"/>
  <c r="A1572" i="4"/>
  <c r="F1572" i="4" s="1"/>
  <c r="A1573" i="4"/>
  <c r="F1573" i="4" s="1"/>
  <c r="A1574" i="4"/>
  <c r="F1574" i="4" s="1"/>
  <c r="A1575" i="4"/>
  <c r="F1575" i="4" s="1"/>
  <c r="A1576" i="4"/>
  <c r="F1576" i="4" s="1"/>
  <c r="A1577" i="4"/>
  <c r="F1577" i="4" s="1"/>
  <c r="A1578" i="4"/>
  <c r="F1578" i="4" s="1"/>
  <c r="A1579" i="4"/>
  <c r="F1579" i="4" s="1"/>
  <c r="A1580" i="4"/>
  <c r="F1580" i="4" s="1"/>
  <c r="A1581" i="4"/>
  <c r="F1581" i="4" s="1"/>
  <c r="A1582" i="4"/>
  <c r="F1582" i="4" s="1"/>
  <c r="A1583" i="4"/>
  <c r="F1583" i="4" s="1"/>
  <c r="A1584" i="4"/>
  <c r="F1584" i="4" s="1"/>
  <c r="A1585" i="4"/>
  <c r="F1585" i="4" s="1"/>
  <c r="A1586" i="4"/>
  <c r="F1586" i="4" s="1"/>
  <c r="A1587" i="4"/>
  <c r="F1587" i="4" s="1"/>
  <c r="A1588" i="4"/>
  <c r="F1588" i="4" s="1"/>
  <c r="A1589" i="4"/>
  <c r="F1589" i="4" s="1"/>
  <c r="A1590" i="4"/>
  <c r="F1590" i="4" s="1"/>
  <c r="A1591" i="4"/>
  <c r="F1591" i="4" s="1"/>
  <c r="A1592" i="4"/>
  <c r="F1592" i="4" s="1"/>
  <c r="A1593" i="4"/>
  <c r="F1593" i="4" s="1"/>
  <c r="A1594" i="4"/>
  <c r="F1594" i="4" s="1"/>
  <c r="A1595" i="4"/>
  <c r="F1595" i="4" s="1"/>
  <c r="A1596" i="4"/>
  <c r="F1596" i="4" s="1"/>
  <c r="A1597" i="4"/>
  <c r="F1597" i="4" s="1"/>
  <c r="A1598" i="4"/>
  <c r="F1598" i="4" s="1"/>
  <c r="A1599" i="4"/>
  <c r="F1599" i="4" s="1"/>
  <c r="A1600" i="4"/>
  <c r="F1600" i="4" s="1"/>
  <c r="A1601" i="4"/>
  <c r="F1601" i="4" s="1"/>
  <c r="A1602" i="4"/>
  <c r="F1602" i="4" s="1"/>
  <c r="A1603" i="4"/>
  <c r="F1603" i="4" s="1"/>
  <c r="A1604" i="4"/>
  <c r="F1604" i="4" s="1"/>
  <c r="A1605" i="4"/>
  <c r="F1605" i="4" s="1"/>
  <c r="A1606" i="4"/>
  <c r="F1606" i="4" s="1"/>
  <c r="A1607" i="4"/>
  <c r="F1607" i="4" s="1"/>
  <c r="A1608" i="4"/>
  <c r="F1608" i="4" s="1"/>
  <c r="A1609" i="4"/>
  <c r="F1609" i="4" s="1"/>
  <c r="A1610" i="4"/>
  <c r="F1610" i="4" s="1"/>
  <c r="A1611" i="4"/>
  <c r="F1611" i="4" s="1"/>
  <c r="A1612" i="4"/>
  <c r="F1612" i="4" s="1"/>
  <c r="A1613" i="4"/>
  <c r="F1613" i="4" s="1"/>
  <c r="A1614" i="4"/>
  <c r="F1614" i="4" s="1"/>
  <c r="A1615" i="4"/>
  <c r="F1615" i="4" s="1"/>
  <c r="A1616" i="4"/>
  <c r="F1616" i="4" s="1"/>
  <c r="A1617" i="4"/>
  <c r="F1617" i="4" s="1"/>
  <c r="A1618" i="4"/>
  <c r="F1618" i="4" s="1"/>
  <c r="A1619" i="4"/>
  <c r="F1619" i="4" s="1"/>
  <c r="A1620" i="4"/>
  <c r="F1620" i="4" s="1"/>
  <c r="A1621" i="4"/>
  <c r="F1621" i="4" s="1"/>
  <c r="A1622" i="4"/>
  <c r="F1622" i="4" s="1"/>
  <c r="A1623" i="4"/>
  <c r="F1623" i="4" s="1"/>
  <c r="A1624" i="4"/>
  <c r="F1624" i="4" s="1"/>
  <c r="A1625" i="4"/>
  <c r="F1625" i="4" s="1"/>
  <c r="A1626" i="4"/>
  <c r="F1626" i="4" s="1"/>
  <c r="A1627" i="4"/>
  <c r="F1627" i="4" s="1"/>
  <c r="A1628" i="4"/>
  <c r="F1628" i="4" s="1"/>
  <c r="A1629" i="4"/>
  <c r="F1629" i="4" s="1"/>
  <c r="A1630" i="4"/>
  <c r="F1630" i="4" s="1"/>
  <c r="A1631" i="4"/>
  <c r="F1631" i="4" s="1"/>
  <c r="A1632" i="4"/>
  <c r="F1632" i="4" s="1"/>
  <c r="A1633" i="4"/>
  <c r="F1633" i="4" s="1"/>
  <c r="A1634" i="4"/>
  <c r="F1634" i="4" s="1"/>
  <c r="A1635" i="4"/>
  <c r="F1635" i="4" s="1"/>
  <c r="A1636" i="4"/>
  <c r="F1636" i="4" s="1"/>
  <c r="A1637" i="4"/>
  <c r="F1637" i="4" s="1"/>
  <c r="A1638" i="4"/>
  <c r="F1638" i="4" s="1"/>
  <c r="A1639" i="4"/>
  <c r="F1639" i="4" s="1"/>
  <c r="A1640" i="4"/>
  <c r="F1640" i="4" s="1"/>
  <c r="A1641" i="4"/>
  <c r="F1641" i="4" s="1"/>
  <c r="A1642" i="4"/>
  <c r="F1642" i="4" s="1"/>
  <c r="A1643" i="4"/>
  <c r="F1643" i="4" s="1"/>
  <c r="A1644" i="4"/>
  <c r="F1644" i="4" s="1"/>
  <c r="A1645" i="4"/>
  <c r="F1645" i="4" s="1"/>
  <c r="A1646" i="4"/>
  <c r="F1646" i="4" s="1"/>
  <c r="A1647" i="4"/>
  <c r="F1647" i="4" s="1"/>
  <c r="A1648" i="4"/>
  <c r="F1648" i="4" s="1"/>
  <c r="A1649" i="4"/>
  <c r="F1649" i="4" s="1"/>
  <c r="A1650" i="4"/>
  <c r="F1650" i="4" s="1"/>
  <c r="A1651" i="4"/>
  <c r="F1651" i="4" s="1"/>
  <c r="A1652" i="4"/>
  <c r="F1652" i="4" s="1"/>
  <c r="A1653" i="4"/>
  <c r="F1653" i="4" s="1"/>
  <c r="A1654" i="4"/>
  <c r="F1654" i="4" s="1"/>
  <c r="A1655" i="4"/>
  <c r="F1655" i="4" s="1"/>
  <c r="A1656" i="4"/>
  <c r="F1656" i="4" s="1"/>
  <c r="A1657" i="4"/>
  <c r="F1657" i="4" s="1"/>
  <c r="A1658" i="4"/>
  <c r="F1658" i="4" s="1"/>
  <c r="A1659" i="4"/>
  <c r="F1659" i="4" s="1"/>
  <c r="A1660" i="4"/>
  <c r="F1660" i="4" s="1"/>
  <c r="A1661" i="4"/>
  <c r="F1661" i="4" s="1"/>
  <c r="A1662" i="4"/>
  <c r="F1662" i="4" s="1"/>
  <c r="A1663" i="4"/>
  <c r="F1663" i="4" s="1"/>
  <c r="A1664" i="4"/>
  <c r="F1664" i="4" s="1"/>
  <c r="A1665" i="4"/>
  <c r="F1665" i="4" s="1"/>
  <c r="A1666" i="4"/>
  <c r="F1666" i="4" s="1"/>
  <c r="A1667" i="4"/>
  <c r="F1667" i="4" s="1"/>
  <c r="A1668" i="4"/>
  <c r="F1668" i="4" s="1"/>
  <c r="A1669" i="4"/>
  <c r="F1669" i="4" s="1"/>
  <c r="A1670" i="4"/>
  <c r="F1670" i="4" s="1"/>
  <c r="A1671" i="4"/>
  <c r="F1671" i="4" s="1"/>
  <c r="A1672" i="4"/>
  <c r="F1672" i="4" s="1"/>
  <c r="A1673" i="4"/>
  <c r="F1673" i="4" s="1"/>
  <c r="A1674" i="4"/>
  <c r="F1674" i="4" s="1"/>
  <c r="A1675" i="4"/>
  <c r="F1675" i="4" s="1"/>
  <c r="A1676" i="4"/>
  <c r="F1676" i="4" s="1"/>
  <c r="A1677" i="4"/>
  <c r="F1677" i="4" s="1"/>
  <c r="A1678" i="4"/>
  <c r="F1678" i="4" s="1"/>
  <c r="A1679" i="4"/>
  <c r="F1679" i="4" s="1"/>
  <c r="A1680" i="4"/>
  <c r="F1680" i="4" s="1"/>
  <c r="A1681" i="4"/>
  <c r="F1681" i="4" s="1"/>
  <c r="A1682" i="4"/>
  <c r="F1682" i="4" s="1"/>
  <c r="A1683" i="4"/>
  <c r="F1683" i="4" s="1"/>
  <c r="A1684" i="4"/>
  <c r="F1684" i="4" s="1"/>
  <c r="A1685" i="4"/>
  <c r="F1685" i="4" s="1"/>
  <c r="A1686" i="4"/>
  <c r="F1686" i="4" s="1"/>
  <c r="A1687" i="4"/>
  <c r="F1687" i="4" s="1"/>
  <c r="A1688" i="4"/>
  <c r="F1688" i="4" s="1"/>
  <c r="A1689" i="4"/>
  <c r="F1689" i="4" s="1"/>
  <c r="A1690" i="4"/>
  <c r="F1690" i="4" s="1"/>
  <c r="A1691" i="4"/>
  <c r="F1691" i="4" s="1"/>
  <c r="A1692" i="4"/>
  <c r="F1692" i="4" s="1"/>
  <c r="A1693" i="4"/>
  <c r="F1693" i="4" s="1"/>
  <c r="A1694" i="4"/>
  <c r="F1694" i="4" s="1"/>
  <c r="A1695" i="4"/>
  <c r="F1695" i="4" s="1"/>
  <c r="A1696" i="4"/>
  <c r="F1696" i="4" s="1"/>
  <c r="A1697" i="4"/>
  <c r="F1697" i="4" s="1"/>
  <c r="A1698" i="4"/>
  <c r="F1698" i="4" s="1"/>
  <c r="A1699" i="4"/>
  <c r="F1699" i="4" s="1"/>
  <c r="A1700" i="4"/>
  <c r="F1700" i="4" s="1"/>
  <c r="A1701" i="4"/>
  <c r="F1701" i="4" s="1"/>
  <c r="A1702" i="4"/>
  <c r="F1702" i="4" s="1"/>
  <c r="A1703" i="4"/>
  <c r="F1703" i="4" s="1"/>
  <c r="A1704" i="4"/>
  <c r="F1704" i="4" s="1"/>
  <c r="A1705" i="4"/>
  <c r="F1705" i="4" s="1"/>
  <c r="A1706" i="4"/>
  <c r="F1706" i="4" s="1"/>
  <c r="A1707" i="4"/>
  <c r="F1707" i="4" s="1"/>
  <c r="A1708" i="4"/>
  <c r="F1708" i="4" s="1"/>
  <c r="A1709" i="4"/>
  <c r="F1709" i="4" s="1"/>
  <c r="A1710" i="4"/>
  <c r="F1710" i="4" s="1"/>
  <c r="A1711" i="4"/>
  <c r="F1711" i="4" s="1"/>
  <c r="A1712" i="4"/>
  <c r="F1712" i="4" s="1"/>
  <c r="A1713" i="4"/>
  <c r="F1713" i="4" s="1"/>
  <c r="A1714" i="4"/>
  <c r="F1714" i="4" s="1"/>
  <c r="A1715" i="4"/>
  <c r="F1715" i="4" s="1"/>
  <c r="A1716" i="4"/>
  <c r="F1716" i="4" s="1"/>
  <c r="A1717" i="4"/>
  <c r="F1717" i="4" s="1"/>
  <c r="A1718" i="4"/>
  <c r="F1718" i="4" s="1"/>
  <c r="A1719" i="4"/>
  <c r="F1719" i="4" s="1"/>
  <c r="A1720" i="4"/>
  <c r="F1720" i="4" s="1"/>
  <c r="A1721" i="4"/>
  <c r="F1721" i="4" s="1"/>
  <c r="A1722" i="4"/>
  <c r="F1722" i="4" s="1"/>
  <c r="A1723" i="4"/>
  <c r="F1723" i="4" s="1"/>
  <c r="A1724" i="4"/>
  <c r="F1724" i="4" s="1"/>
  <c r="A1725" i="4"/>
  <c r="F1725" i="4" s="1"/>
  <c r="A1726" i="4"/>
  <c r="F1726" i="4" s="1"/>
  <c r="A1727" i="4"/>
  <c r="F1727" i="4" s="1"/>
  <c r="A1728" i="4"/>
  <c r="F1728" i="4" s="1"/>
  <c r="A1729" i="4"/>
  <c r="F1729" i="4" s="1"/>
  <c r="A1730" i="4"/>
  <c r="F1730" i="4" s="1"/>
  <c r="A1731" i="4"/>
  <c r="F1731" i="4" s="1"/>
  <c r="A1732" i="4"/>
  <c r="F1732" i="4" s="1"/>
  <c r="A1733" i="4"/>
  <c r="F1733" i="4" s="1"/>
  <c r="A1734" i="4"/>
  <c r="F1734" i="4" s="1"/>
  <c r="A1735" i="4"/>
  <c r="F1735" i="4" s="1"/>
  <c r="A1736" i="4"/>
  <c r="F1736" i="4" s="1"/>
  <c r="A1737" i="4"/>
  <c r="F1737" i="4" s="1"/>
  <c r="A1738" i="4"/>
  <c r="F1738" i="4" s="1"/>
  <c r="A1739" i="4"/>
  <c r="F1739" i="4" s="1"/>
  <c r="A1740" i="4"/>
  <c r="F1740" i="4" s="1"/>
  <c r="A1741" i="4"/>
  <c r="F1741" i="4" s="1"/>
  <c r="A1742" i="4"/>
  <c r="F1742" i="4" s="1"/>
  <c r="A1743" i="4"/>
  <c r="F1743" i="4" s="1"/>
  <c r="A1744" i="4"/>
  <c r="F1744" i="4" s="1"/>
  <c r="A1745" i="4"/>
  <c r="F1745" i="4" s="1"/>
  <c r="A1746" i="4"/>
  <c r="F1746" i="4" s="1"/>
  <c r="A1747" i="4"/>
  <c r="F1747" i="4" s="1"/>
  <c r="A1748" i="4"/>
  <c r="F1748" i="4" s="1"/>
  <c r="A1749" i="4"/>
  <c r="F1749" i="4" s="1"/>
  <c r="A1750" i="4"/>
  <c r="F1750" i="4" s="1"/>
  <c r="A1751" i="4"/>
  <c r="F1751" i="4" s="1"/>
  <c r="A1752" i="4"/>
  <c r="F1752" i="4" s="1"/>
  <c r="A1753" i="4"/>
  <c r="F1753" i="4" s="1"/>
  <c r="A1754" i="4"/>
  <c r="F1754" i="4" s="1"/>
  <c r="A1755" i="4"/>
  <c r="F1755" i="4" s="1"/>
  <c r="A1756" i="4"/>
  <c r="F1756" i="4" s="1"/>
  <c r="A1757" i="4"/>
  <c r="F1757" i="4" s="1"/>
  <c r="A1758" i="4"/>
  <c r="F1758" i="4" s="1"/>
  <c r="A1759" i="4"/>
  <c r="F1759" i="4" s="1"/>
  <c r="A1760" i="4"/>
  <c r="F1760" i="4" s="1"/>
  <c r="A1761" i="4"/>
  <c r="F1761" i="4" s="1"/>
  <c r="A1762" i="4"/>
  <c r="F1762" i="4" s="1"/>
  <c r="A1763" i="4"/>
  <c r="F1763" i="4" s="1"/>
  <c r="A1764" i="4"/>
  <c r="F1764" i="4" s="1"/>
  <c r="A1765" i="4"/>
  <c r="F1765" i="4" s="1"/>
  <c r="A1766" i="4"/>
  <c r="F1766" i="4" s="1"/>
  <c r="A1767" i="4"/>
  <c r="F1767" i="4" s="1"/>
  <c r="A1768" i="4"/>
  <c r="F1768" i="4" s="1"/>
  <c r="A1769" i="4"/>
  <c r="F1769" i="4" s="1"/>
  <c r="A1770" i="4"/>
  <c r="F1770" i="4" s="1"/>
  <c r="A1771" i="4"/>
  <c r="F1771" i="4" s="1"/>
  <c r="A1772" i="4"/>
  <c r="F1772" i="4" s="1"/>
  <c r="A1773" i="4"/>
  <c r="F1773" i="4" s="1"/>
  <c r="A1774" i="4"/>
  <c r="F1774" i="4" s="1"/>
  <c r="A1775" i="4"/>
  <c r="F1775" i="4" s="1"/>
  <c r="A1776" i="4"/>
  <c r="F1776" i="4" s="1"/>
  <c r="A1777" i="4"/>
  <c r="F1777" i="4" s="1"/>
  <c r="A1778" i="4"/>
  <c r="F1778" i="4" s="1"/>
  <c r="A1779" i="4"/>
  <c r="F1779" i="4" s="1"/>
  <c r="A1780" i="4"/>
  <c r="F1780" i="4" s="1"/>
  <c r="A1781" i="4"/>
  <c r="F1781" i="4" s="1"/>
  <c r="A1782" i="4"/>
  <c r="F1782" i="4" s="1"/>
  <c r="A1783" i="4"/>
  <c r="F1783" i="4" s="1"/>
  <c r="A1784" i="4"/>
  <c r="F1784" i="4" s="1"/>
  <c r="A1785" i="4"/>
  <c r="F1785" i="4" s="1"/>
  <c r="A1786" i="4"/>
  <c r="F1786" i="4" s="1"/>
  <c r="A1787" i="4"/>
  <c r="F1787" i="4" s="1"/>
  <c r="A1788" i="4"/>
  <c r="F1788" i="4" s="1"/>
  <c r="A1789" i="4"/>
  <c r="F1789" i="4" s="1"/>
  <c r="A1790" i="4"/>
  <c r="F1790" i="4" s="1"/>
  <c r="A1791" i="4"/>
  <c r="F1791" i="4" s="1"/>
  <c r="A1792" i="4"/>
  <c r="F1792" i="4" s="1"/>
  <c r="A1793" i="4"/>
  <c r="F1793" i="4" s="1"/>
  <c r="A1794" i="4"/>
  <c r="F1794" i="4" s="1"/>
  <c r="A1795" i="4"/>
  <c r="F1795" i="4" s="1"/>
  <c r="A1796" i="4"/>
  <c r="F1796" i="4" s="1"/>
  <c r="A1797" i="4"/>
  <c r="F1797" i="4" s="1"/>
  <c r="A1798" i="4"/>
  <c r="F1798" i="4" s="1"/>
  <c r="A1799" i="4"/>
  <c r="F1799" i="4" s="1"/>
  <c r="A1800" i="4"/>
  <c r="F1800" i="4" s="1"/>
  <c r="A1801" i="4"/>
  <c r="F1801" i="4" s="1"/>
  <c r="A1802" i="4"/>
  <c r="F1802" i="4" s="1"/>
  <c r="A1803" i="4"/>
  <c r="F1803" i="4" s="1"/>
  <c r="A1804" i="4"/>
  <c r="F1804" i="4" s="1"/>
  <c r="A1805" i="4"/>
  <c r="F1805" i="4" s="1"/>
  <c r="A1806" i="4"/>
  <c r="F1806" i="4" s="1"/>
  <c r="A1807" i="4"/>
  <c r="F1807" i="4" s="1"/>
  <c r="A1808" i="4"/>
  <c r="F1808" i="4" s="1"/>
  <c r="A1809" i="4"/>
  <c r="F1809" i="4" s="1"/>
  <c r="A1810" i="4"/>
  <c r="F1810" i="4" s="1"/>
  <c r="A1811" i="4"/>
  <c r="F1811" i="4" s="1"/>
  <c r="A1812" i="4"/>
  <c r="F1812" i="4" s="1"/>
  <c r="A1813" i="4"/>
  <c r="F1813" i="4" s="1"/>
  <c r="A1814" i="4"/>
  <c r="F1814" i="4" s="1"/>
  <c r="A1815" i="4"/>
  <c r="F1815" i="4" s="1"/>
  <c r="A1816" i="4"/>
  <c r="F1816" i="4" s="1"/>
  <c r="A1817" i="4"/>
  <c r="F1817" i="4" s="1"/>
  <c r="A1818" i="4"/>
  <c r="F1818" i="4" s="1"/>
  <c r="A1819" i="4"/>
  <c r="F1819" i="4" s="1"/>
  <c r="A1820" i="4"/>
  <c r="F1820" i="4" s="1"/>
  <c r="A1821" i="4"/>
  <c r="F1821" i="4" s="1"/>
  <c r="A1822" i="4"/>
  <c r="F1822" i="4" s="1"/>
  <c r="A1823" i="4"/>
  <c r="F1823" i="4" s="1"/>
  <c r="A1824" i="4"/>
  <c r="F1824" i="4" s="1"/>
  <c r="A1825" i="4"/>
  <c r="F1825" i="4" s="1"/>
  <c r="A1826" i="4"/>
  <c r="F1826" i="4" s="1"/>
  <c r="A1827" i="4"/>
  <c r="F1827" i="4" s="1"/>
  <c r="A1828" i="4"/>
  <c r="F1828" i="4" s="1"/>
  <c r="A1829" i="4"/>
  <c r="F1829" i="4" s="1"/>
  <c r="A1830" i="4"/>
  <c r="F1830" i="4" s="1"/>
  <c r="A1831" i="4"/>
  <c r="F1831" i="4" s="1"/>
  <c r="A1832" i="4"/>
  <c r="F1832" i="4" s="1"/>
  <c r="A1833" i="4"/>
  <c r="F1833" i="4" s="1"/>
  <c r="A1834" i="4"/>
  <c r="F1834" i="4" s="1"/>
  <c r="A1835" i="4"/>
  <c r="F1835" i="4" s="1"/>
  <c r="A1836" i="4"/>
  <c r="F1836" i="4" s="1"/>
  <c r="A1837" i="4"/>
  <c r="F1837" i="4" s="1"/>
  <c r="A1838" i="4"/>
  <c r="F1838" i="4" s="1"/>
  <c r="A1839" i="4"/>
  <c r="F1839" i="4" s="1"/>
  <c r="A1840" i="4"/>
  <c r="F1840" i="4" s="1"/>
  <c r="A1841" i="4"/>
  <c r="F1841" i="4" s="1"/>
  <c r="A1842" i="4"/>
  <c r="F1842" i="4" s="1"/>
  <c r="A1843" i="4"/>
  <c r="F1843" i="4" s="1"/>
  <c r="A1844" i="4"/>
  <c r="F1844" i="4" s="1"/>
  <c r="A1845" i="4"/>
  <c r="F1845" i="4" s="1"/>
  <c r="A1846" i="4"/>
  <c r="F1846" i="4" s="1"/>
  <c r="A1847" i="4"/>
  <c r="F1847" i="4" s="1"/>
  <c r="A1848" i="4"/>
  <c r="F1848" i="4" s="1"/>
  <c r="A1849" i="4"/>
  <c r="F1849" i="4" s="1"/>
  <c r="A1850" i="4"/>
  <c r="F1850" i="4" s="1"/>
  <c r="A1851" i="4"/>
  <c r="F1851" i="4" s="1"/>
  <c r="A1852" i="4"/>
  <c r="F1852" i="4" s="1"/>
  <c r="A1853" i="4"/>
  <c r="F1853" i="4" s="1"/>
  <c r="A1854" i="4"/>
  <c r="F1854" i="4" s="1"/>
  <c r="A1855" i="4"/>
  <c r="F1855" i="4" s="1"/>
  <c r="A1856" i="4"/>
  <c r="F1856" i="4" s="1"/>
  <c r="A1857" i="4"/>
  <c r="F1857" i="4" s="1"/>
  <c r="A1858" i="4"/>
  <c r="F1858" i="4" s="1"/>
  <c r="A1859" i="4"/>
  <c r="F1859" i="4" s="1"/>
  <c r="A1860" i="4"/>
  <c r="F1860" i="4" s="1"/>
  <c r="A1861" i="4"/>
  <c r="F1861" i="4" s="1"/>
  <c r="A1862" i="4"/>
  <c r="F1862" i="4" s="1"/>
  <c r="A1863" i="4"/>
  <c r="F1863" i="4" s="1"/>
  <c r="A1864" i="4"/>
  <c r="F1864" i="4" s="1"/>
  <c r="A1865" i="4"/>
  <c r="F1865" i="4" s="1"/>
  <c r="A1866" i="4"/>
  <c r="F1866" i="4" s="1"/>
  <c r="A1867" i="4"/>
  <c r="F1867" i="4" s="1"/>
  <c r="A1868" i="4"/>
  <c r="F1868" i="4" s="1"/>
  <c r="A1869" i="4"/>
  <c r="F1869" i="4" s="1"/>
  <c r="A1870" i="4"/>
  <c r="F1870" i="4" s="1"/>
  <c r="A1871" i="4"/>
  <c r="F1871" i="4" s="1"/>
  <c r="A1872" i="4"/>
  <c r="F1872" i="4" s="1"/>
  <c r="A1873" i="4"/>
  <c r="F1873" i="4" s="1"/>
  <c r="A1874" i="4"/>
  <c r="F1874" i="4" s="1"/>
  <c r="A1875" i="4"/>
  <c r="F1875" i="4" s="1"/>
  <c r="A1876" i="4"/>
  <c r="F1876" i="4" s="1"/>
  <c r="A1877" i="4"/>
  <c r="F1877" i="4" s="1"/>
  <c r="A1878" i="4"/>
  <c r="F1878" i="4" s="1"/>
  <c r="A1879" i="4"/>
  <c r="F1879" i="4" s="1"/>
  <c r="A1880" i="4"/>
  <c r="F1880" i="4" s="1"/>
  <c r="A1881" i="4"/>
  <c r="F1881" i="4" s="1"/>
  <c r="A1882" i="4"/>
  <c r="F1882" i="4" s="1"/>
  <c r="A1883" i="4"/>
  <c r="F1883" i="4" s="1"/>
  <c r="A1884" i="4"/>
  <c r="F1884" i="4" s="1"/>
  <c r="A1885" i="4"/>
  <c r="F1885" i="4" s="1"/>
  <c r="A1886" i="4"/>
  <c r="F1886" i="4" s="1"/>
  <c r="A1887" i="4"/>
  <c r="F1887" i="4" s="1"/>
  <c r="A1888" i="4"/>
  <c r="F1888" i="4" s="1"/>
  <c r="A1889" i="4"/>
  <c r="F1889" i="4" s="1"/>
  <c r="A1890" i="4"/>
  <c r="F1890" i="4" s="1"/>
  <c r="A1891" i="4"/>
  <c r="F1891" i="4" s="1"/>
  <c r="A1892" i="4"/>
  <c r="F1892" i="4" s="1"/>
  <c r="A1893" i="4"/>
  <c r="F1893" i="4" s="1"/>
  <c r="A1894" i="4"/>
  <c r="F1894" i="4" s="1"/>
  <c r="A1895" i="4"/>
  <c r="F1895" i="4" s="1"/>
  <c r="A1896" i="4"/>
  <c r="F1896" i="4" s="1"/>
  <c r="A1897" i="4"/>
  <c r="F1897" i="4" s="1"/>
  <c r="A1898" i="4"/>
  <c r="F1898" i="4" s="1"/>
  <c r="A1899" i="4"/>
  <c r="F1899" i="4" s="1"/>
  <c r="A1900" i="4"/>
  <c r="F1900" i="4" s="1"/>
  <c r="A1901" i="4"/>
  <c r="F1901" i="4" s="1"/>
  <c r="A1902" i="4"/>
  <c r="F1902" i="4" s="1"/>
  <c r="A1903" i="4"/>
  <c r="F1903" i="4" s="1"/>
  <c r="A1904" i="4"/>
  <c r="F1904" i="4" s="1"/>
  <c r="A1905" i="4"/>
  <c r="F1905" i="4" s="1"/>
  <c r="A1906" i="4"/>
  <c r="F1906" i="4" s="1"/>
  <c r="A1907" i="4"/>
  <c r="F1907" i="4" s="1"/>
  <c r="A1908" i="4"/>
  <c r="F1908" i="4" s="1"/>
  <c r="A1909" i="4"/>
  <c r="F1909" i="4" s="1"/>
  <c r="A1910" i="4"/>
  <c r="F1910" i="4" s="1"/>
  <c r="A1911" i="4"/>
  <c r="F1911" i="4" s="1"/>
  <c r="A1912" i="4"/>
  <c r="F1912" i="4" s="1"/>
  <c r="A1913" i="4"/>
  <c r="F1913" i="4" s="1"/>
  <c r="A1914" i="4"/>
  <c r="F1914" i="4" s="1"/>
  <c r="A1915" i="4"/>
  <c r="F1915" i="4" s="1"/>
  <c r="A1916" i="4"/>
  <c r="F1916" i="4" s="1"/>
  <c r="A1917" i="4"/>
  <c r="F1917" i="4" s="1"/>
  <c r="A1918" i="4"/>
  <c r="F1918" i="4" s="1"/>
  <c r="A1919" i="4"/>
  <c r="F1919" i="4" s="1"/>
  <c r="A1920" i="4"/>
  <c r="F1920" i="4" s="1"/>
  <c r="A1921" i="4"/>
  <c r="F1921" i="4" s="1"/>
  <c r="A1922" i="4"/>
  <c r="F1922" i="4" s="1"/>
  <c r="A1923" i="4"/>
  <c r="F1923" i="4" s="1"/>
  <c r="A1924" i="4"/>
  <c r="F1924" i="4" s="1"/>
  <c r="A1925" i="4"/>
  <c r="F1925" i="4" s="1"/>
  <c r="A1926" i="4"/>
  <c r="F1926" i="4" s="1"/>
  <c r="A1927" i="4"/>
  <c r="F1927" i="4" s="1"/>
  <c r="A1928" i="4"/>
  <c r="F1928" i="4" s="1"/>
  <c r="A1929" i="4"/>
  <c r="F1929" i="4" s="1"/>
  <c r="A1930" i="4"/>
  <c r="F1930" i="4" s="1"/>
  <c r="A1931" i="4"/>
  <c r="F1931" i="4" s="1"/>
  <c r="A1932" i="4"/>
  <c r="F1932" i="4" s="1"/>
  <c r="A1933" i="4"/>
  <c r="F1933" i="4" s="1"/>
  <c r="A1934" i="4"/>
  <c r="F1934" i="4" s="1"/>
  <c r="A1935" i="4"/>
  <c r="F1935" i="4" s="1"/>
  <c r="A1936" i="4"/>
  <c r="F1936" i="4" s="1"/>
  <c r="A1937" i="4"/>
  <c r="F1937" i="4" s="1"/>
  <c r="A1938" i="4"/>
  <c r="F1938" i="4" s="1"/>
  <c r="A1939" i="4"/>
  <c r="F1939" i="4" s="1"/>
  <c r="A1940" i="4"/>
  <c r="F1940" i="4" s="1"/>
  <c r="A1941" i="4"/>
  <c r="F1941" i="4" s="1"/>
  <c r="A1942" i="4"/>
  <c r="F1942" i="4" s="1"/>
  <c r="A1943" i="4"/>
  <c r="F1943" i="4" s="1"/>
  <c r="A1944" i="4"/>
  <c r="F1944" i="4" s="1"/>
  <c r="A1945" i="4"/>
  <c r="F1945" i="4" s="1"/>
  <c r="A1946" i="4"/>
  <c r="F1946" i="4" s="1"/>
  <c r="A1947" i="4"/>
  <c r="F1947" i="4" s="1"/>
  <c r="A1948" i="4"/>
  <c r="F1948" i="4" s="1"/>
  <c r="A1949" i="4"/>
  <c r="F1949" i="4" s="1"/>
  <c r="A1950" i="4"/>
  <c r="F1950" i="4" s="1"/>
  <c r="A1951" i="4"/>
  <c r="F1951" i="4" s="1"/>
  <c r="A1952" i="4"/>
  <c r="F1952" i="4" s="1"/>
  <c r="A1953" i="4"/>
  <c r="F1953" i="4" s="1"/>
  <c r="A1954" i="4"/>
  <c r="F1954" i="4" s="1"/>
  <c r="A1955" i="4"/>
  <c r="F1955" i="4" s="1"/>
  <c r="A1956" i="4"/>
  <c r="F1956" i="4" s="1"/>
  <c r="A1957" i="4"/>
  <c r="F1957" i="4" s="1"/>
  <c r="A1958" i="4"/>
  <c r="F1958" i="4" s="1"/>
  <c r="A1959" i="4"/>
  <c r="F1959" i="4" s="1"/>
  <c r="A1960" i="4"/>
  <c r="F1960" i="4" s="1"/>
  <c r="A1961" i="4"/>
  <c r="F1961" i="4" s="1"/>
  <c r="A1962" i="4"/>
  <c r="F1962" i="4" s="1"/>
  <c r="A1963" i="4"/>
  <c r="F1963" i="4" s="1"/>
  <c r="A1964" i="4"/>
  <c r="F1964" i="4" s="1"/>
  <c r="A1965" i="4"/>
  <c r="F1965" i="4" s="1"/>
  <c r="A1966" i="4"/>
  <c r="F1966" i="4" s="1"/>
  <c r="A1967" i="4"/>
  <c r="F1967" i="4" s="1"/>
  <c r="A1968" i="4"/>
  <c r="F1968" i="4" s="1"/>
  <c r="A1969" i="4"/>
  <c r="F1969" i="4" s="1"/>
  <c r="A1970" i="4"/>
  <c r="F1970" i="4" s="1"/>
  <c r="A1971" i="4"/>
  <c r="F1971" i="4" s="1"/>
  <c r="A1972" i="4"/>
  <c r="F1972" i="4" s="1"/>
  <c r="A1973" i="4"/>
  <c r="F1973" i="4" s="1"/>
  <c r="A1974" i="4"/>
  <c r="F1974" i="4" s="1"/>
  <c r="A1975" i="4"/>
  <c r="F1975" i="4" s="1"/>
  <c r="A1976" i="4"/>
  <c r="F1976" i="4" s="1"/>
  <c r="A1977" i="4"/>
  <c r="F1977" i="4" s="1"/>
  <c r="A1978" i="4"/>
  <c r="F1978" i="4" s="1"/>
  <c r="A1979" i="4"/>
  <c r="F1979" i="4" s="1"/>
  <c r="A1980" i="4"/>
  <c r="F1980" i="4" s="1"/>
  <c r="A1981" i="4"/>
  <c r="F1981" i="4" s="1"/>
  <c r="A1982" i="4"/>
  <c r="F1982" i="4" s="1"/>
  <c r="A1983" i="4"/>
  <c r="F1983" i="4" s="1"/>
  <c r="A1984" i="4"/>
  <c r="F1984" i="4" s="1"/>
  <c r="A1985" i="4"/>
  <c r="F1985" i="4" s="1"/>
  <c r="A1986" i="4"/>
  <c r="F1986" i="4" s="1"/>
  <c r="A1987" i="4"/>
  <c r="F1987" i="4" s="1"/>
  <c r="A1988" i="4"/>
  <c r="F1988" i="4" s="1"/>
  <c r="A1989" i="4"/>
  <c r="F1989" i="4" s="1"/>
  <c r="A1990" i="4"/>
  <c r="F1990" i="4" s="1"/>
  <c r="A1991" i="4"/>
  <c r="F1991" i="4" s="1"/>
  <c r="A1992" i="4"/>
  <c r="F1992" i="4" s="1"/>
  <c r="A1993" i="4"/>
  <c r="F1993" i="4" s="1"/>
  <c r="A1994" i="4"/>
  <c r="F1994" i="4" s="1"/>
  <c r="A1995" i="4"/>
  <c r="F1995" i="4" s="1"/>
  <c r="A1996" i="4"/>
  <c r="F1996" i="4" s="1"/>
  <c r="A1997" i="4"/>
  <c r="F1997" i="4" s="1"/>
  <c r="A1998" i="4"/>
  <c r="F1998" i="4" s="1"/>
  <c r="A1999" i="4"/>
  <c r="F1999" i="4" s="1"/>
  <c r="A2000" i="4"/>
  <c r="F2000" i="4" s="1"/>
  <c r="A2001" i="4"/>
  <c r="F2001" i="4" s="1"/>
  <c r="A2002" i="4"/>
  <c r="F2002" i="4" s="1"/>
  <c r="A2003" i="4"/>
  <c r="F2003" i="4" s="1"/>
  <c r="A2004" i="4"/>
  <c r="F2004" i="4" s="1"/>
  <c r="A2005" i="4"/>
  <c r="F2005" i="4" s="1"/>
  <c r="A2006" i="4"/>
  <c r="F2006" i="4" s="1"/>
  <c r="A2007" i="4"/>
  <c r="F2007" i="4" s="1"/>
  <c r="A2008" i="4"/>
  <c r="F2008" i="4" s="1"/>
  <c r="A2009" i="4"/>
  <c r="F2009" i="4" s="1"/>
  <c r="A2010" i="4"/>
  <c r="F2010" i="4" s="1"/>
  <c r="A2011" i="4"/>
  <c r="F2011" i="4" s="1"/>
  <c r="A2012" i="4"/>
  <c r="F2012" i="4" s="1"/>
  <c r="A2013" i="4"/>
  <c r="F2013" i="4" s="1"/>
  <c r="A2014" i="4"/>
  <c r="F2014" i="4" s="1"/>
  <c r="A2015" i="4"/>
  <c r="F2015" i="4" s="1"/>
  <c r="A2016" i="4"/>
  <c r="F2016" i="4" s="1"/>
  <c r="A2017" i="4"/>
  <c r="F2017" i="4" s="1"/>
  <c r="A2018" i="4"/>
  <c r="F2018" i="4" s="1"/>
  <c r="A2019" i="4"/>
  <c r="F2019" i="4" s="1"/>
  <c r="A2020" i="4"/>
  <c r="F2020" i="4" s="1"/>
  <c r="A2021" i="4"/>
  <c r="F2021" i="4" s="1"/>
  <c r="A2022" i="4"/>
  <c r="F2022" i="4" s="1"/>
  <c r="A2023" i="4"/>
  <c r="F2023" i="4" s="1"/>
  <c r="A2024" i="4"/>
  <c r="F2024" i="4" s="1"/>
  <c r="A2025" i="4"/>
  <c r="F2025" i="4" s="1"/>
  <c r="A2026" i="4"/>
  <c r="F2026" i="4" s="1"/>
  <c r="A2027" i="4"/>
  <c r="F2027" i="4" s="1"/>
  <c r="A2028" i="4"/>
  <c r="F2028" i="4" s="1"/>
  <c r="A2029" i="4"/>
  <c r="F2029" i="4" s="1"/>
  <c r="A2030" i="4"/>
  <c r="F2030" i="4" s="1"/>
  <c r="A2031" i="4"/>
  <c r="F2031" i="4" s="1"/>
  <c r="A2032" i="4"/>
  <c r="F2032" i="4" s="1"/>
  <c r="A2033" i="4"/>
  <c r="F2033" i="4" s="1"/>
  <c r="A2034" i="4"/>
  <c r="F2034" i="4" s="1"/>
  <c r="A2035" i="4"/>
  <c r="F2035" i="4" s="1"/>
  <c r="A2036" i="4"/>
  <c r="F2036" i="4" s="1"/>
  <c r="A2037" i="4"/>
  <c r="F2037" i="4" s="1"/>
  <c r="A2038" i="4"/>
  <c r="F2038" i="4" s="1"/>
  <c r="A2039" i="4"/>
  <c r="F2039" i="4" s="1"/>
  <c r="A2040" i="4"/>
  <c r="F2040" i="4" s="1"/>
  <c r="A2041" i="4"/>
  <c r="F2041" i="4" s="1"/>
  <c r="A2042" i="4"/>
  <c r="F2042" i="4" s="1"/>
  <c r="A2043" i="4"/>
  <c r="F2043" i="4" s="1"/>
  <c r="A2044" i="4"/>
  <c r="F2044" i="4" s="1"/>
  <c r="A2045" i="4"/>
  <c r="F2045" i="4" s="1"/>
  <c r="A2046" i="4"/>
  <c r="F2046" i="4" s="1"/>
  <c r="A2047" i="4"/>
  <c r="F2047" i="4" s="1"/>
  <c r="A2048" i="4"/>
  <c r="F2048" i="4" s="1"/>
  <c r="A2049" i="4"/>
  <c r="F2049" i="4" s="1"/>
  <c r="A2050" i="4"/>
  <c r="F2050" i="4" s="1"/>
  <c r="A2051" i="4"/>
  <c r="F2051" i="4" s="1"/>
  <c r="A2052" i="4"/>
  <c r="F2052" i="4" s="1"/>
  <c r="A2053" i="4"/>
  <c r="A2054" i="4"/>
  <c r="A2055" i="4"/>
  <c r="A2056" i="4"/>
  <c r="A2057" i="4"/>
  <c r="A2058" i="4"/>
  <c r="A2059" i="4"/>
  <c r="A2060" i="4"/>
  <c r="A2061" i="4"/>
  <c r="A2062" i="4"/>
  <c r="A2063" i="4"/>
  <c r="A2064" i="4"/>
  <c r="A2065" i="4"/>
  <c r="A2066" i="4"/>
  <c r="A2067" i="4"/>
  <c r="A2068" i="4"/>
  <c r="A2069" i="4"/>
  <c r="A2070" i="4"/>
  <c r="A2071" i="4"/>
  <c r="A2072" i="4"/>
  <c r="A2073" i="4"/>
  <c r="A2074" i="4"/>
  <c r="A2075" i="4"/>
  <c r="A2076" i="4"/>
  <c r="A2077" i="4"/>
  <c r="A2078" i="4"/>
  <c r="A2079" i="4"/>
  <c r="A2080" i="4"/>
  <c r="A2081" i="4"/>
  <c r="A2082" i="4"/>
  <c r="A2083" i="4"/>
  <c r="A2084" i="4"/>
  <c r="A2085" i="4"/>
  <c r="A2086" i="4"/>
  <c r="A2087" i="4"/>
  <c r="A2088" i="4"/>
  <c r="A2089" i="4"/>
  <c r="A2090" i="4"/>
  <c r="A2091" i="4"/>
  <c r="A2092" i="4"/>
  <c r="A2093" i="4"/>
  <c r="A2094" i="4"/>
  <c r="A2095" i="4"/>
  <c r="A2096" i="4"/>
  <c r="A2097" i="4"/>
  <c r="A2098" i="4"/>
  <c r="A2099" i="4"/>
  <c r="A2100" i="4"/>
  <c r="A2101" i="4"/>
  <c r="A2102" i="4"/>
  <c r="A2103" i="4"/>
  <c r="A2104" i="4"/>
  <c r="A2105" i="4"/>
  <c r="A2106" i="4"/>
  <c r="A2107" i="4"/>
  <c r="A2108" i="4"/>
  <c r="A2109" i="4"/>
  <c r="A2110" i="4"/>
  <c r="A2111" i="4"/>
  <c r="A2112" i="4"/>
  <c r="A2113" i="4"/>
  <c r="A2114" i="4"/>
  <c r="A2115" i="4"/>
  <c r="A2116" i="4"/>
  <c r="A2117" i="4"/>
  <c r="A2118" i="4"/>
  <c r="A2119" i="4"/>
  <c r="A2120" i="4"/>
  <c r="A2121" i="4"/>
  <c r="A2122" i="4"/>
  <c r="A2123" i="4"/>
  <c r="A2124" i="4"/>
  <c r="A2125" i="4"/>
  <c r="A2126" i="4"/>
  <c r="A2127" i="4"/>
  <c r="A2128" i="4"/>
  <c r="A2129" i="4"/>
  <c r="A2130" i="4"/>
  <c r="A2131" i="4"/>
  <c r="A2132" i="4"/>
  <c r="A2133" i="4"/>
  <c r="A2134" i="4"/>
  <c r="A2135" i="4"/>
  <c r="A2136" i="4"/>
  <c r="A2137" i="4"/>
  <c r="A2138" i="4"/>
  <c r="A2139" i="4"/>
  <c r="A2140" i="4"/>
  <c r="A2141" i="4"/>
  <c r="A2142" i="4"/>
  <c r="A2143" i="4"/>
  <c r="A2144" i="4"/>
  <c r="A2145" i="4"/>
  <c r="A2146" i="4"/>
  <c r="A2147" i="4"/>
  <c r="A2148" i="4"/>
  <c r="A2149" i="4"/>
  <c r="A2150" i="4"/>
  <c r="A2151" i="4"/>
  <c r="A2152" i="4"/>
  <c r="A2153" i="4"/>
  <c r="A2154" i="4"/>
  <c r="A2155" i="4"/>
  <c r="A2156" i="4"/>
  <c r="A2157" i="4"/>
  <c r="A2158" i="4"/>
  <c r="A2159" i="4"/>
  <c r="A2160" i="4"/>
  <c r="A2161" i="4"/>
  <c r="A2162" i="4"/>
  <c r="A2163" i="4"/>
  <c r="A2164" i="4"/>
  <c r="A2165" i="4"/>
  <c r="A2166" i="4"/>
  <c r="A2167" i="4"/>
  <c r="A2168" i="4"/>
  <c r="A2169" i="4"/>
  <c r="A2170" i="4"/>
  <c r="A2171" i="4"/>
  <c r="A2172" i="4"/>
  <c r="A2173" i="4"/>
  <c r="A2174" i="4"/>
  <c r="A2175" i="4"/>
  <c r="A2176" i="4"/>
  <c r="A2177" i="4"/>
  <c r="A2178" i="4"/>
  <c r="A2179" i="4"/>
  <c r="A2180" i="4"/>
  <c r="A2181" i="4"/>
  <c r="A2182" i="4"/>
  <c r="A2183" i="4"/>
  <c r="A2184" i="4"/>
  <c r="A2185" i="4"/>
  <c r="A2186" i="4"/>
  <c r="A2187" i="4"/>
  <c r="A2188" i="4"/>
  <c r="A2189" i="4"/>
  <c r="A2190" i="4"/>
  <c r="A2191" i="4"/>
  <c r="A2192" i="4"/>
  <c r="A2193" i="4"/>
  <c r="A2194" i="4"/>
  <c r="A2195" i="4"/>
  <c r="A2196" i="4"/>
  <c r="A2197" i="4"/>
  <c r="A2198" i="4"/>
  <c r="A2199" i="4"/>
  <c r="A2200" i="4"/>
  <c r="A2201" i="4"/>
  <c r="A2202" i="4"/>
  <c r="A2203" i="4"/>
  <c r="A2204" i="4"/>
  <c r="A2205" i="4"/>
  <c r="A2206" i="4"/>
  <c r="A2207" i="4"/>
  <c r="A2208" i="4"/>
  <c r="A2209" i="4"/>
  <c r="A2210" i="4"/>
  <c r="A2211" i="4"/>
  <c r="A2212" i="4"/>
  <c r="A2213" i="4"/>
  <c r="A2214" i="4"/>
  <c r="A2215" i="4"/>
  <c r="A2216" i="4"/>
  <c r="A2217" i="4"/>
  <c r="A2218" i="4"/>
  <c r="A2219" i="4"/>
  <c r="A2220" i="4"/>
  <c r="A2221" i="4"/>
  <c r="A2222" i="4"/>
  <c r="A2223" i="4"/>
  <c r="A2224" i="4"/>
  <c r="A2225" i="4"/>
  <c r="A2226" i="4"/>
  <c r="A2227" i="4"/>
  <c r="A2228" i="4"/>
  <c r="A2229" i="4"/>
  <c r="A2230" i="4"/>
  <c r="A2231" i="4"/>
  <c r="A2232" i="4"/>
  <c r="A2233" i="4"/>
  <c r="A2234" i="4"/>
  <c r="A2235" i="4"/>
  <c r="A2236" i="4"/>
  <c r="A2237" i="4"/>
  <c r="A2238" i="4"/>
  <c r="A2239" i="4"/>
  <c r="A2240" i="4"/>
  <c r="A2241" i="4"/>
  <c r="A2242" i="4"/>
  <c r="A2243" i="4"/>
  <c r="A2244" i="4"/>
  <c r="A2245" i="4"/>
  <c r="A2246" i="4"/>
  <c r="A2247" i="4"/>
  <c r="A2248" i="4"/>
  <c r="A2249" i="4"/>
  <c r="A2250" i="4"/>
  <c r="A2251" i="4"/>
  <c r="A2252" i="4"/>
  <c r="A2253" i="4"/>
  <c r="A2254" i="4"/>
  <c r="A2255" i="4"/>
  <c r="A2256" i="4"/>
  <c r="A2257" i="4"/>
  <c r="A2258" i="4"/>
  <c r="A2259" i="4"/>
  <c r="A2260" i="4"/>
  <c r="A2261" i="4"/>
  <c r="A2262" i="4"/>
  <c r="A2263" i="4"/>
  <c r="A2264" i="4"/>
  <c r="A2265" i="4"/>
  <c r="A2266" i="4"/>
  <c r="A2267" i="4"/>
  <c r="A2268" i="4"/>
  <c r="A2269" i="4"/>
  <c r="A2270" i="4"/>
  <c r="A2271" i="4"/>
  <c r="A2272" i="4"/>
  <c r="A2273" i="4"/>
  <c r="A2274" i="4"/>
  <c r="A2275" i="4"/>
  <c r="A2276" i="4"/>
  <c r="A2277" i="4"/>
  <c r="A2278" i="4"/>
  <c r="A2279" i="4"/>
  <c r="A2280" i="4"/>
  <c r="A2281" i="4"/>
  <c r="A2282" i="4"/>
  <c r="A2283" i="4"/>
  <c r="A2284" i="4"/>
  <c r="A2285" i="4"/>
  <c r="A2286" i="4"/>
  <c r="A2287" i="4"/>
  <c r="A2288" i="4"/>
  <c r="A2289" i="4"/>
  <c r="A2290" i="4"/>
  <c r="A2291" i="4"/>
  <c r="A2292" i="4"/>
  <c r="A2293" i="4"/>
  <c r="A2294" i="4"/>
  <c r="A2295" i="4"/>
  <c r="A2296" i="4"/>
  <c r="A2297" i="4"/>
  <c r="A2298" i="4"/>
  <c r="A2299" i="4"/>
  <c r="A2300" i="4"/>
  <c r="A2301" i="4"/>
  <c r="A2302" i="4"/>
  <c r="A2303" i="4"/>
  <c r="A2304" i="4"/>
  <c r="A2305" i="4"/>
  <c r="A2306" i="4"/>
  <c r="A2307" i="4"/>
  <c r="A2308" i="4"/>
  <c r="A2309" i="4"/>
  <c r="A2310" i="4"/>
  <c r="A2311" i="4"/>
  <c r="A2312" i="4"/>
  <c r="A2313" i="4"/>
  <c r="A2314" i="4"/>
  <c r="A2315" i="4"/>
  <c r="A2316" i="4"/>
  <c r="A2317" i="4"/>
  <c r="A2318" i="4"/>
  <c r="A2319" i="4"/>
  <c r="A2320" i="4"/>
  <c r="A2321" i="4"/>
  <c r="A2322" i="4"/>
  <c r="A2323" i="4"/>
  <c r="A2324" i="4"/>
  <c r="A2325" i="4"/>
  <c r="A2326" i="4"/>
  <c r="A2327" i="4"/>
  <c r="A2328" i="4"/>
  <c r="A2329" i="4"/>
  <c r="A2330" i="4"/>
  <c r="A2331" i="4"/>
  <c r="A2332" i="4"/>
  <c r="A2333" i="4"/>
  <c r="A2334" i="4"/>
  <c r="A2335" i="4"/>
  <c r="A2336" i="4"/>
  <c r="A2337" i="4"/>
  <c r="A2338" i="4"/>
  <c r="A2339" i="4"/>
  <c r="A2340" i="4"/>
  <c r="A2341" i="4"/>
  <c r="A2342" i="4"/>
  <c r="A2343" i="4"/>
  <c r="A2344" i="4"/>
  <c r="A2345" i="4"/>
  <c r="A2346" i="4"/>
  <c r="A2347" i="4"/>
  <c r="A2348" i="4"/>
  <c r="A2349" i="4"/>
  <c r="A2350" i="4"/>
  <c r="A2351" i="4"/>
  <c r="A2352" i="4"/>
  <c r="A2353" i="4"/>
  <c r="A2354" i="4"/>
  <c r="A2355" i="4"/>
  <c r="A2356" i="4"/>
  <c r="A2357" i="4"/>
  <c r="A2358" i="4"/>
  <c r="A2359" i="4"/>
  <c r="A2360" i="4"/>
  <c r="A2361" i="4"/>
  <c r="A2362" i="4"/>
  <c r="A2363" i="4"/>
  <c r="A2364" i="4"/>
  <c r="A2365" i="4"/>
  <c r="A2366" i="4"/>
  <c r="A2367" i="4"/>
  <c r="A2368" i="4"/>
  <c r="A2369" i="4"/>
  <c r="A2370" i="4"/>
  <c r="A2371" i="4"/>
  <c r="A2372" i="4"/>
  <c r="A2373" i="4"/>
  <c r="A2374" i="4"/>
  <c r="A2375" i="4"/>
  <c r="A2376" i="4"/>
  <c r="A2377" i="4"/>
  <c r="A2378" i="4"/>
  <c r="A2379" i="4"/>
  <c r="A2380" i="4"/>
  <c r="A2381" i="4"/>
  <c r="A2382" i="4"/>
  <c r="A2383" i="4"/>
  <c r="A2384" i="4"/>
  <c r="A2385" i="4"/>
  <c r="A2386" i="4"/>
  <c r="A2387" i="4"/>
  <c r="A2388" i="4"/>
  <c r="A2389" i="4"/>
  <c r="A2390" i="4"/>
  <c r="A2391" i="4"/>
  <c r="A2392" i="4"/>
  <c r="A2393" i="4"/>
  <c r="A2394" i="4"/>
  <c r="A2395" i="4"/>
  <c r="A2396" i="4"/>
  <c r="A2397" i="4"/>
  <c r="A2398" i="4"/>
  <c r="A2399" i="4"/>
  <c r="A2400" i="4"/>
  <c r="A2401" i="4"/>
  <c r="A2402" i="4"/>
  <c r="A2403" i="4"/>
  <c r="A2404" i="4"/>
  <c r="A2405" i="4"/>
  <c r="A2406" i="4"/>
  <c r="A2407" i="4"/>
  <c r="A2408" i="4"/>
  <c r="A2409" i="4"/>
  <c r="A2410" i="4"/>
  <c r="A2411" i="4"/>
  <c r="A2412" i="4"/>
  <c r="A2413" i="4"/>
  <c r="A2414" i="4"/>
  <c r="A2415" i="4"/>
  <c r="A2416" i="4"/>
  <c r="A2417" i="4"/>
  <c r="A2418" i="4"/>
  <c r="A2419" i="4"/>
  <c r="A2420" i="4"/>
  <c r="A2421" i="4"/>
  <c r="A2422" i="4"/>
  <c r="A2423" i="4"/>
  <c r="A2424" i="4"/>
  <c r="A2425" i="4"/>
  <c r="A2426" i="4"/>
  <c r="A2427" i="4"/>
  <c r="A2428" i="4"/>
  <c r="A2429" i="4"/>
  <c r="A2430" i="4"/>
  <c r="A2431" i="4"/>
  <c r="A2432" i="4"/>
  <c r="A2433" i="4"/>
  <c r="A2434" i="4"/>
  <c r="A2435" i="4"/>
  <c r="A2436" i="4"/>
  <c r="A2437" i="4"/>
  <c r="A2438" i="4"/>
  <c r="A2439" i="4"/>
  <c r="A2440" i="4"/>
  <c r="A2441" i="4"/>
  <c r="A2442" i="4"/>
  <c r="A2443" i="4"/>
  <c r="A2444" i="4"/>
  <c r="A2445" i="4"/>
  <c r="A2446" i="4"/>
  <c r="A2447" i="4"/>
  <c r="A2448" i="4"/>
  <c r="A2449" i="4"/>
  <c r="A2450" i="4"/>
  <c r="A2451" i="4"/>
  <c r="A2452" i="4"/>
  <c r="A2453" i="4"/>
  <c r="A2454" i="4"/>
  <c r="A2455" i="4"/>
  <c r="A2456" i="4"/>
  <c r="A2457" i="4"/>
  <c r="A2458" i="4"/>
  <c r="A2459" i="4"/>
  <c r="A2460" i="4"/>
  <c r="A2461" i="4"/>
  <c r="A2462" i="4"/>
  <c r="A2463" i="4"/>
  <c r="A2464" i="4"/>
  <c r="A2465" i="4"/>
  <c r="A2466" i="4"/>
  <c r="A2467" i="4"/>
  <c r="A2468" i="4"/>
  <c r="A2469" i="4"/>
  <c r="A2470" i="4"/>
  <c r="A2471" i="4"/>
  <c r="A2472" i="4"/>
  <c r="A2473" i="4"/>
  <c r="A2474" i="4"/>
  <c r="A2475" i="4"/>
  <c r="A2476" i="4"/>
  <c r="A2477" i="4"/>
  <c r="A2478" i="4"/>
  <c r="A2479" i="4"/>
  <c r="A2480" i="4"/>
  <c r="A2481" i="4"/>
  <c r="A2482" i="4"/>
  <c r="A2483" i="4"/>
  <c r="A2484" i="4"/>
  <c r="A2485" i="4"/>
  <c r="A2486" i="4"/>
  <c r="A2487" i="4"/>
  <c r="A2488" i="4"/>
  <c r="A2489" i="4"/>
  <c r="A2490" i="4"/>
  <c r="A2491" i="4"/>
  <c r="A2492" i="4"/>
  <c r="A2493" i="4"/>
  <c r="A2494" i="4"/>
  <c r="A2495" i="4"/>
  <c r="A2496" i="4"/>
  <c r="A2497" i="4"/>
  <c r="A2498" i="4"/>
  <c r="A2499" i="4"/>
  <c r="A2500" i="4"/>
  <c r="A2501" i="4"/>
  <c r="A2502" i="4"/>
  <c r="A2503" i="4"/>
  <c r="A2504" i="4"/>
  <c r="A2505" i="4"/>
  <c r="A2506" i="4"/>
  <c r="A2507" i="4"/>
  <c r="A2508" i="4"/>
  <c r="A2509" i="4"/>
  <c r="A2510" i="4"/>
  <c r="A2511" i="4"/>
  <c r="A2512" i="4"/>
  <c r="A2513" i="4"/>
  <c r="A2514" i="4"/>
  <c r="A2515" i="4"/>
  <c r="A2516" i="4"/>
  <c r="A2517" i="4"/>
  <c r="A2518" i="4"/>
  <c r="A2519" i="4"/>
  <c r="A2520" i="4"/>
  <c r="A2521" i="4"/>
  <c r="A2522" i="4"/>
  <c r="A2523" i="4"/>
  <c r="A2524" i="4"/>
  <c r="A2525" i="4"/>
  <c r="A2526" i="4"/>
  <c r="A2527" i="4"/>
  <c r="A2528" i="4"/>
  <c r="A2529" i="4"/>
  <c r="A2530" i="4"/>
  <c r="A2531" i="4"/>
  <c r="A2532" i="4"/>
  <c r="A2533" i="4"/>
  <c r="A2534" i="4"/>
  <c r="A2535" i="4"/>
  <c r="A2536" i="4"/>
  <c r="A2537" i="4"/>
  <c r="A2538" i="4"/>
  <c r="A2539" i="4"/>
  <c r="A2540" i="4"/>
  <c r="A2541" i="4"/>
  <c r="A2542" i="4"/>
  <c r="A2543" i="4"/>
  <c r="A2544" i="4"/>
  <c r="A2545" i="4"/>
  <c r="A2546" i="4"/>
  <c r="A2547" i="4"/>
  <c r="A2548" i="4"/>
  <c r="A2549" i="4"/>
  <c r="A2550" i="4"/>
  <c r="A2551" i="4"/>
  <c r="A2552" i="4"/>
  <c r="A2553" i="4"/>
  <c r="A2554" i="4"/>
  <c r="A2555" i="4"/>
  <c r="A2556" i="4"/>
  <c r="A2557" i="4"/>
  <c r="A2558" i="4"/>
  <c r="A2559" i="4"/>
  <c r="A2560" i="4"/>
  <c r="A2561" i="4"/>
  <c r="A2562" i="4"/>
  <c r="A2563" i="4"/>
  <c r="A2564" i="4"/>
  <c r="A2565" i="4"/>
  <c r="A2566" i="4"/>
  <c r="A2567" i="4"/>
  <c r="A2568" i="4"/>
  <c r="A2569" i="4"/>
  <c r="A2570" i="4"/>
  <c r="A2571" i="4"/>
  <c r="A2572" i="4"/>
  <c r="A2573" i="4"/>
  <c r="A2574" i="4"/>
  <c r="A2575" i="4"/>
  <c r="A2576" i="4"/>
  <c r="A2577" i="4"/>
  <c r="A2578" i="4"/>
  <c r="A2579" i="4"/>
  <c r="A2580" i="4"/>
  <c r="A2581" i="4"/>
  <c r="A2582" i="4"/>
  <c r="A2583" i="4"/>
  <c r="A2584" i="4"/>
  <c r="A2585" i="4"/>
  <c r="A2586" i="4"/>
  <c r="A2587" i="4"/>
  <c r="A2588" i="4"/>
  <c r="A2589" i="4"/>
  <c r="A2590" i="4"/>
  <c r="A2591" i="4"/>
  <c r="A2592" i="4"/>
  <c r="A2593" i="4"/>
  <c r="A2594" i="4"/>
  <c r="A2595" i="4"/>
  <c r="A2596" i="4"/>
  <c r="A2597" i="4"/>
  <c r="A2598" i="4"/>
  <c r="A2599" i="4"/>
  <c r="A2600" i="4"/>
  <c r="A2601" i="4"/>
  <c r="A2602" i="4"/>
  <c r="A2603" i="4"/>
  <c r="A2604" i="4"/>
  <c r="A2605" i="4"/>
  <c r="A2606" i="4"/>
  <c r="A2607" i="4"/>
  <c r="A2608" i="4"/>
  <c r="A2609" i="4"/>
  <c r="A2610" i="4"/>
  <c r="A2611" i="4"/>
  <c r="A2612" i="4"/>
  <c r="A2613" i="4"/>
  <c r="A2614" i="4"/>
  <c r="A2615" i="4"/>
  <c r="A2616" i="4"/>
  <c r="A2617" i="4"/>
  <c r="A2618" i="4"/>
  <c r="A2619" i="4"/>
  <c r="A2620" i="4"/>
  <c r="A2621" i="4"/>
  <c r="A2622" i="4"/>
  <c r="A2623" i="4"/>
  <c r="A2624" i="4"/>
  <c r="A2625" i="4"/>
  <c r="A2626" i="4"/>
  <c r="A2627" i="4"/>
  <c r="A2628" i="4"/>
  <c r="A2629" i="4"/>
  <c r="A2630" i="4"/>
  <c r="A2631" i="4"/>
  <c r="A2632" i="4"/>
  <c r="A2633" i="4"/>
  <c r="A2634" i="4"/>
  <c r="A2635" i="4"/>
  <c r="A2636" i="4"/>
  <c r="A2637" i="4"/>
  <c r="A2638" i="4"/>
  <c r="A2639" i="4"/>
  <c r="A2640" i="4"/>
  <c r="A2641" i="4"/>
  <c r="A2642" i="4"/>
  <c r="A2643" i="4"/>
  <c r="A2644" i="4"/>
  <c r="A2645" i="4"/>
  <c r="A2646" i="4"/>
  <c r="A2647" i="4"/>
  <c r="A2648" i="4"/>
  <c r="A2649" i="4"/>
  <c r="A2650" i="4"/>
  <c r="A2651" i="4"/>
  <c r="A2652" i="4"/>
  <c r="A2653" i="4"/>
  <c r="A2654" i="4"/>
  <c r="A2655" i="4"/>
  <c r="A2656" i="4"/>
  <c r="A2657" i="4"/>
  <c r="A2658" i="4"/>
  <c r="A2659" i="4"/>
  <c r="A2660" i="4"/>
  <c r="A2661" i="4"/>
  <c r="A2662" i="4"/>
  <c r="A2663" i="4"/>
  <c r="A2664" i="4"/>
  <c r="A2665" i="4"/>
  <c r="A2666" i="4"/>
  <c r="A2667" i="4"/>
  <c r="A2668" i="4"/>
  <c r="A2669" i="4"/>
  <c r="A2670" i="4"/>
  <c r="A2671" i="4"/>
  <c r="A2672" i="4"/>
  <c r="A2673" i="4"/>
  <c r="A2674" i="4"/>
  <c r="A2675" i="4"/>
  <c r="A2676" i="4"/>
  <c r="A2677" i="4"/>
  <c r="A2678" i="4"/>
  <c r="A2679" i="4"/>
  <c r="A2680" i="4"/>
  <c r="A2681" i="4"/>
  <c r="A2682" i="4"/>
  <c r="A2683" i="4"/>
  <c r="A2684" i="4"/>
  <c r="A2685" i="4"/>
  <c r="A2686" i="4"/>
  <c r="A2687" i="4"/>
  <c r="A2688" i="4"/>
  <c r="A2689" i="4"/>
  <c r="A2690" i="4"/>
  <c r="A2691" i="4"/>
  <c r="A2692" i="4"/>
  <c r="A2693" i="4"/>
  <c r="A2694" i="4"/>
  <c r="A2695" i="4"/>
  <c r="A2696" i="4"/>
  <c r="A2697" i="4"/>
  <c r="A2698" i="4"/>
  <c r="A2699" i="4"/>
  <c r="A2700" i="4"/>
  <c r="A2701" i="4"/>
  <c r="A2702" i="4"/>
  <c r="A2703" i="4"/>
  <c r="A2704" i="4"/>
  <c r="A2705" i="4"/>
  <c r="A2706" i="4"/>
  <c r="A2707" i="4"/>
  <c r="A2708" i="4"/>
  <c r="A2709" i="4"/>
  <c r="A2710" i="4"/>
  <c r="A2711" i="4"/>
  <c r="A2712" i="4"/>
  <c r="A2713" i="4"/>
  <c r="A2714" i="4"/>
  <c r="A2715" i="4"/>
  <c r="A2716" i="4"/>
  <c r="A2717" i="4"/>
  <c r="A2718" i="4"/>
  <c r="A2719" i="4"/>
  <c r="A2720" i="4"/>
  <c r="A2721" i="4"/>
  <c r="A2722" i="4"/>
  <c r="A2723" i="4"/>
  <c r="A2724" i="4"/>
  <c r="A2725" i="4"/>
  <c r="A2726" i="4"/>
  <c r="A2727" i="4"/>
  <c r="A2728" i="4"/>
  <c r="A2729" i="4"/>
  <c r="A2730" i="4"/>
  <c r="A2731" i="4"/>
  <c r="A2732" i="4"/>
  <c r="A2733" i="4"/>
  <c r="A2734" i="4"/>
  <c r="A2735" i="4"/>
  <c r="A2736" i="4"/>
  <c r="A2737" i="4"/>
  <c r="A2738" i="4"/>
  <c r="A2739" i="4"/>
  <c r="A2740" i="4"/>
  <c r="A2741" i="4"/>
  <c r="A2742" i="4"/>
  <c r="A2743" i="4"/>
  <c r="A2744" i="4"/>
  <c r="A2745" i="4"/>
  <c r="A2746" i="4"/>
  <c r="A2747" i="4"/>
  <c r="A2748" i="4"/>
  <c r="A2749" i="4"/>
  <c r="A2750" i="4"/>
  <c r="A2751" i="4"/>
  <c r="A2752" i="4"/>
  <c r="A2753" i="4"/>
  <c r="A2754" i="4"/>
  <c r="A2755" i="4"/>
  <c r="A2756" i="4"/>
  <c r="A2757" i="4"/>
  <c r="A2758" i="4"/>
  <c r="A2759" i="4"/>
  <c r="A2760" i="4"/>
  <c r="A2761" i="4"/>
  <c r="A2762" i="4"/>
  <c r="A2763" i="4"/>
  <c r="A2764" i="4"/>
  <c r="A2765" i="4"/>
  <c r="A2766" i="4"/>
  <c r="A2767" i="4"/>
  <c r="A2768" i="4"/>
  <c r="A2769" i="4"/>
  <c r="A2770" i="4"/>
  <c r="A2771" i="4"/>
  <c r="A2772" i="4"/>
  <c r="A2773" i="4"/>
  <c r="A2774" i="4"/>
  <c r="A2775" i="4"/>
  <c r="A2776" i="4"/>
  <c r="A2777" i="4"/>
  <c r="A2778" i="4"/>
  <c r="A2779" i="4"/>
  <c r="A2780" i="4"/>
  <c r="A2781" i="4"/>
  <c r="A2782" i="4"/>
  <c r="A2783" i="4"/>
  <c r="A2784" i="4"/>
  <c r="A2785" i="4"/>
  <c r="A2786" i="4"/>
  <c r="A2787" i="4"/>
  <c r="A2788" i="4"/>
  <c r="A2789" i="4"/>
  <c r="A2790" i="4"/>
  <c r="A2791" i="4"/>
  <c r="A2792" i="4"/>
  <c r="A2793" i="4"/>
  <c r="A2794" i="4"/>
  <c r="A2795" i="4"/>
  <c r="A2796" i="4"/>
  <c r="A2797" i="4"/>
  <c r="A2798" i="4"/>
  <c r="A2799" i="4"/>
  <c r="A2800" i="4"/>
  <c r="A2801" i="4"/>
  <c r="A2802" i="4"/>
  <c r="A2803" i="4"/>
  <c r="A2804" i="4"/>
  <c r="A2805" i="4"/>
  <c r="A2806" i="4"/>
  <c r="A2807" i="4"/>
  <c r="A2808" i="4"/>
  <c r="A2809" i="4"/>
  <c r="A2810" i="4"/>
  <c r="A2811" i="4"/>
  <c r="A2812" i="4"/>
  <c r="A2813" i="4"/>
  <c r="A2814" i="4"/>
  <c r="A2815" i="4"/>
  <c r="A2816" i="4"/>
  <c r="A2817" i="4"/>
  <c r="A2818" i="4"/>
  <c r="A2819" i="4"/>
  <c r="A2820" i="4"/>
  <c r="A2821" i="4"/>
  <c r="A2822" i="4"/>
  <c r="A2823" i="4"/>
  <c r="A2824" i="4"/>
  <c r="A2825" i="4"/>
  <c r="A2826" i="4"/>
  <c r="A2827" i="4"/>
  <c r="A2828" i="4"/>
  <c r="A2829" i="4"/>
  <c r="A2830" i="4"/>
  <c r="A2831" i="4"/>
  <c r="A2832" i="4"/>
  <c r="A2833" i="4"/>
  <c r="A2834" i="4"/>
  <c r="A2835" i="4"/>
  <c r="A2836" i="4"/>
  <c r="A2837" i="4"/>
  <c r="A2838" i="4"/>
  <c r="A2839" i="4"/>
  <c r="A2840" i="4"/>
  <c r="A2841" i="4"/>
  <c r="A2842" i="4"/>
  <c r="A2843" i="4"/>
  <c r="A2844" i="4"/>
  <c r="A2845" i="4"/>
  <c r="A2846" i="4"/>
  <c r="A2847" i="4"/>
  <c r="A2848" i="4"/>
  <c r="A2849" i="4"/>
  <c r="A2850" i="4"/>
  <c r="A2851" i="4"/>
  <c r="A2852" i="4"/>
  <c r="A2853" i="4"/>
  <c r="A2854" i="4"/>
  <c r="A2855" i="4"/>
  <c r="A2856" i="4"/>
  <c r="A2857" i="4"/>
  <c r="A2858" i="4"/>
  <c r="A2859" i="4"/>
  <c r="A2860" i="4"/>
  <c r="A2861" i="4"/>
  <c r="A2862" i="4"/>
  <c r="A2863" i="4"/>
  <c r="A2864" i="4"/>
  <c r="A2865" i="4"/>
  <c r="A2866" i="4"/>
  <c r="A2867" i="4"/>
  <c r="A2868" i="4"/>
  <c r="A2869" i="4"/>
  <c r="A2870" i="4"/>
  <c r="A2871" i="4"/>
  <c r="A2872" i="4"/>
  <c r="A2873" i="4"/>
  <c r="A2874" i="4"/>
  <c r="A2875" i="4"/>
  <c r="A2876" i="4"/>
  <c r="A2877" i="4"/>
  <c r="A2878" i="4"/>
  <c r="A2879" i="4"/>
  <c r="A2880" i="4"/>
  <c r="A2881" i="4"/>
  <c r="A2882" i="4"/>
  <c r="A2883" i="4"/>
  <c r="A2884" i="4"/>
  <c r="A2885" i="4"/>
  <c r="A2886" i="4"/>
  <c r="A2887" i="4"/>
  <c r="A2888" i="4"/>
  <c r="A2889" i="4"/>
  <c r="A2890" i="4"/>
  <c r="A2891" i="4"/>
  <c r="A2892" i="4"/>
  <c r="A2893" i="4"/>
  <c r="A2894" i="4"/>
  <c r="A2895" i="4"/>
  <c r="A2896" i="4"/>
  <c r="A2897" i="4"/>
  <c r="A2898" i="4"/>
  <c r="A2899" i="4"/>
  <c r="A2900" i="4"/>
  <c r="A2901" i="4"/>
  <c r="A2902" i="4"/>
  <c r="A2903" i="4"/>
  <c r="A2904" i="4"/>
  <c r="A2905" i="4"/>
  <c r="A2906" i="4"/>
  <c r="A2907" i="4"/>
  <c r="A2908" i="4"/>
  <c r="A2909" i="4"/>
  <c r="A2910" i="4"/>
  <c r="A2911" i="4"/>
  <c r="A2912" i="4"/>
  <c r="A2913" i="4"/>
  <c r="A2914" i="4"/>
  <c r="A2915" i="4"/>
  <c r="A2916" i="4"/>
  <c r="A2917" i="4"/>
  <c r="A2918" i="4"/>
  <c r="A2919" i="4"/>
  <c r="A2920" i="4"/>
  <c r="A2921" i="4"/>
  <c r="A2922" i="4"/>
  <c r="A2923" i="4"/>
  <c r="A2924" i="4"/>
  <c r="A2925" i="4"/>
  <c r="A2926" i="4"/>
  <c r="A2927" i="4"/>
  <c r="A2928" i="4"/>
  <c r="A2929" i="4"/>
  <c r="A2930" i="4"/>
  <c r="A2931" i="4"/>
  <c r="A2932" i="4"/>
  <c r="A2933" i="4"/>
  <c r="A2934" i="4"/>
  <c r="A2935" i="4"/>
  <c r="A2936" i="4"/>
  <c r="A2937" i="4"/>
  <c r="A2938" i="4"/>
  <c r="A2939" i="4"/>
  <c r="A2940" i="4"/>
  <c r="A2941" i="4"/>
  <c r="A2942" i="4"/>
  <c r="A2943" i="4"/>
  <c r="A2944" i="4"/>
  <c r="A2945" i="4"/>
  <c r="A2946" i="4"/>
  <c r="A2947" i="4"/>
  <c r="A2948" i="4"/>
  <c r="A2949" i="4"/>
  <c r="A2950" i="4"/>
  <c r="A2951" i="4"/>
  <c r="A2952" i="4"/>
  <c r="A2953" i="4"/>
  <c r="A2954" i="4"/>
  <c r="A2955" i="4"/>
  <c r="A2956" i="4"/>
  <c r="A2957" i="4"/>
  <c r="A2958" i="4"/>
  <c r="A2959" i="4"/>
  <c r="A2960" i="4"/>
  <c r="A2961" i="4"/>
  <c r="A2962" i="4"/>
  <c r="A2963" i="4"/>
  <c r="A2964" i="4"/>
  <c r="A2965" i="4"/>
  <c r="A2966" i="4"/>
  <c r="A2967" i="4"/>
  <c r="A2968" i="4"/>
  <c r="A2969" i="4"/>
  <c r="A2970" i="4"/>
  <c r="A2971" i="4"/>
  <c r="A2972" i="4"/>
  <c r="A2973" i="4"/>
  <c r="A2974" i="4"/>
  <c r="A2975" i="4"/>
  <c r="A2976" i="4"/>
  <c r="A2977" i="4"/>
  <c r="A2978" i="4"/>
  <c r="A2979" i="4"/>
  <c r="A2980" i="4"/>
  <c r="A2981" i="4"/>
  <c r="A2982" i="4"/>
  <c r="A2983" i="4"/>
  <c r="A2984" i="4"/>
  <c r="A2985" i="4"/>
  <c r="A2986" i="4"/>
  <c r="A2987" i="4"/>
  <c r="A2988" i="4"/>
  <c r="A2989" i="4"/>
  <c r="A2990" i="4"/>
  <c r="A2991" i="4"/>
  <c r="A2992" i="4"/>
  <c r="A2993" i="4"/>
  <c r="A2994" i="4"/>
  <c r="A2995" i="4"/>
  <c r="A2996" i="4"/>
  <c r="A2997" i="4"/>
  <c r="A2998" i="4"/>
  <c r="A2999" i="4"/>
  <c r="A3000" i="4"/>
  <c r="A3001" i="4"/>
  <c r="A3002" i="4"/>
  <c r="A3003" i="4"/>
  <c r="A3004" i="4"/>
  <c r="A3005" i="4"/>
  <c r="A3006" i="4"/>
  <c r="A3007" i="4"/>
  <c r="A3008" i="4"/>
  <c r="A3009" i="4"/>
  <c r="A3010" i="4"/>
  <c r="A3011" i="4"/>
  <c r="A3012" i="4"/>
  <c r="A3013" i="4"/>
  <c r="A3014" i="4"/>
  <c r="A3015" i="4"/>
  <c r="A3016" i="4"/>
  <c r="A3017" i="4"/>
  <c r="A3018" i="4"/>
  <c r="A3019" i="4"/>
  <c r="A3020" i="4"/>
  <c r="A3021" i="4"/>
  <c r="A3022" i="4"/>
  <c r="A3023" i="4"/>
  <c r="A3024" i="4"/>
  <c r="A3025" i="4"/>
  <c r="A3026" i="4"/>
  <c r="A3027" i="4"/>
  <c r="A3028" i="4"/>
  <c r="A3029" i="4"/>
  <c r="A3030" i="4"/>
  <c r="A3031" i="4"/>
  <c r="A3032" i="4"/>
  <c r="A3033" i="4"/>
  <c r="A3034" i="4"/>
  <c r="A3035" i="4"/>
  <c r="A3036" i="4"/>
  <c r="A3037" i="4"/>
  <c r="A3038" i="4"/>
  <c r="A3039" i="4"/>
  <c r="A3040" i="4"/>
  <c r="A3041" i="4"/>
  <c r="A3042" i="4"/>
  <c r="A3043" i="4"/>
  <c r="A3044" i="4"/>
  <c r="A3045" i="4"/>
  <c r="A3046" i="4"/>
  <c r="A3047" i="4"/>
  <c r="A3048" i="4"/>
  <c r="A3049" i="4"/>
  <c r="A3050" i="4"/>
  <c r="A3051" i="4"/>
  <c r="A3052" i="4"/>
  <c r="A3053" i="4"/>
  <c r="A3054" i="4"/>
  <c r="A3055" i="4"/>
  <c r="A3056" i="4"/>
  <c r="A3057" i="4"/>
  <c r="A3058" i="4"/>
  <c r="A3059" i="4"/>
  <c r="A3060" i="4"/>
  <c r="A3061" i="4"/>
  <c r="A3062" i="4"/>
  <c r="A3063" i="4"/>
  <c r="A3064" i="4"/>
  <c r="A3065" i="4"/>
  <c r="A3066" i="4"/>
  <c r="A3067" i="4"/>
  <c r="A3068" i="4"/>
  <c r="A3069" i="4"/>
  <c r="A3070" i="4"/>
  <c r="A3071" i="4"/>
  <c r="A3072" i="4"/>
  <c r="A3073" i="4"/>
  <c r="A3074" i="4"/>
  <c r="A3075" i="4"/>
  <c r="A3076" i="4"/>
  <c r="A3077" i="4"/>
  <c r="A3078" i="4"/>
  <c r="A3079" i="4"/>
  <c r="A3080" i="4"/>
  <c r="A3081" i="4"/>
  <c r="A3082" i="4"/>
  <c r="A3083" i="4"/>
  <c r="A3084" i="4"/>
  <c r="A3085" i="4"/>
  <c r="A3086" i="4"/>
  <c r="A3087" i="4"/>
  <c r="A3088" i="4"/>
  <c r="A3089" i="4"/>
  <c r="A3090" i="4"/>
  <c r="A3091" i="4"/>
  <c r="A3092" i="4"/>
  <c r="A3093" i="4"/>
  <c r="A3094" i="4"/>
  <c r="A3095" i="4"/>
  <c r="A3096" i="4"/>
  <c r="A3097" i="4"/>
  <c r="A3098" i="4"/>
  <c r="A3099" i="4"/>
  <c r="A3100" i="4"/>
  <c r="A3101" i="4"/>
  <c r="A3102" i="4"/>
  <c r="A3103" i="4"/>
  <c r="A3104" i="4"/>
  <c r="A3105" i="4"/>
  <c r="A3106" i="4"/>
  <c r="A3107" i="4"/>
  <c r="A3108" i="4"/>
  <c r="A3109" i="4"/>
  <c r="A3110" i="4"/>
  <c r="A3111" i="4"/>
  <c r="A3112" i="4"/>
  <c r="A3113" i="4"/>
  <c r="A3114" i="4"/>
  <c r="A3115" i="4"/>
  <c r="A3116" i="4"/>
  <c r="A3117" i="4"/>
  <c r="A3118" i="4"/>
  <c r="A3119" i="4"/>
  <c r="A3120" i="4"/>
  <c r="A3121" i="4"/>
  <c r="A3122" i="4"/>
  <c r="A5" i="4"/>
  <c r="C318" i="2" l="1"/>
  <c r="E315" i="2"/>
  <c r="D314" i="2"/>
  <c r="C311" i="2"/>
  <c r="E309" i="2"/>
  <c r="D308" i="2"/>
  <c r="C307" i="2"/>
  <c r="E254" i="2"/>
  <c r="D253" i="2"/>
  <c r="C252" i="2"/>
  <c r="E250" i="2"/>
  <c r="D249" i="2"/>
  <c r="C248" i="2"/>
  <c r="E7" i="2"/>
  <c r="E314" i="2"/>
  <c r="D307" i="2"/>
  <c r="E253" i="2"/>
  <c r="D248" i="2"/>
  <c r="F5" i="4"/>
  <c r="E317" i="2"/>
  <c r="D315" i="2"/>
  <c r="C314" i="2"/>
  <c r="E310" i="2"/>
  <c r="D309" i="2"/>
  <c r="C308" i="2"/>
  <c r="E306" i="2"/>
  <c r="D254" i="2"/>
  <c r="C253" i="2"/>
  <c r="E251" i="2"/>
  <c r="D250" i="2"/>
  <c r="C249" i="2"/>
  <c r="E247" i="2"/>
  <c r="D7" i="2"/>
  <c r="D318" i="2"/>
  <c r="E308" i="2"/>
  <c r="D252" i="2"/>
  <c r="E249" i="2"/>
  <c r="E318" i="2"/>
  <c r="D317" i="2"/>
  <c r="C315" i="2"/>
  <c r="E311" i="2"/>
  <c r="D310" i="2"/>
  <c r="C309" i="2"/>
  <c r="E307" i="2"/>
  <c r="D306" i="2"/>
  <c r="C254" i="2"/>
  <c r="E252" i="2"/>
  <c r="D251" i="2"/>
  <c r="C250" i="2"/>
  <c r="E248" i="2"/>
  <c r="D247" i="2"/>
  <c r="C7" i="2"/>
  <c r="C317" i="2"/>
  <c r="C310" i="2"/>
  <c r="C306" i="2"/>
  <c r="C251" i="2"/>
  <c r="C247" i="2"/>
  <c r="D311" i="2"/>
  <c r="D2" i="2"/>
  <c r="D4" i="2"/>
  <c r="C4" i="2"/>
  <c r="C3" i="2"/>
  <c r="C2" i="2"/>
  <c r="D3" i="2"/>
  <c r="E5" i="2"/>
  <c r="E9" i="2"/>
  <c r="E13" i="2"/>
  <c r="E17" i="2"/>
  <c r="E21" i="2"/>
  <c r="E25" i="2"/>
  <c r="E29" i="2"/>
  <c r="E33" i="2"/>
  <c r="E37" i="2"/>
  <c r="E41" i="2"/>
  <c r="E45" i="2"/>
  <c r="E49" i="2"/>
  <c r="E53" i="2"/>
  <c r="E57" i="2"/>
  <c r="E61" i="2"/>
  <c r="E65" i="2"/>
  <c r="E69" i="2"/>
  <c r="E73" i="2"/>
  <c r="E77" i="2"/>
  <c r="E81" i="2"/>
  <c r="E85" i="2"/>
  <c r="E89" i="2"/>
  <c r="E93" i="2"/>
  <c r="E97" i="2"/>
  <c r="E101" i="2"/>
  <c r="E105" i="2"/>
  <c r="E109" i="2"/>
  <c r="E113" i="2"/>
  <c r="E117" i="2"/>
  <c r="E121" i="2"/>
  <c r="E125" i="2"/>
  <c r="E129" i="2"/>
  <c r="E133" i="2"/>
  <c r="E137" i="2"/>
  <c r="E141" i="2"/>
  <c r="E145" i="2"/>
  <c r="E149" i="2"/>
  <c r="E153" i="2"/>
  <c r="E157" i="2"/>
  <c r="E161" i="2"/>
  <c r="E165" i="2"/>
  <c r="E169" i="2"/>
  <c r="E173" i="2"/>
  <c r="E177" i="2"/>
  <c r="E181" i="2"/>
  <c r="E185" i="2"/>
  <c r="E189" i="2"/>
  <c r="E193" i="2"/>
  <c r="E197" i="2"/>
  <c r="E201" i="2"/>
  <c r="E205" i="2"/>
  <c r="E209" i="2"/>
  <c r="E213" i="2"/>
  <c r="E217" i="2"/>
  <c r="E221" i="2"/>
  <c r="E225" i="2"/>
  <c r="E229" i="2"/>
  <c r="E233" i="2"/>
  <c r="E237" i="2"/>
  <c r="E241" i="2"/>
  <c r="E245" i="2"/>
  <c r="E257" i="2"/>
  <c r="E261" i="2"/>
  <c r="E265" i="2"/>
  <c r="E269" i="2"/>
  <c r="E273" i="2"/>
  <c r="E277" i="2"/>
  <c r="E281" i="2"/>
  <c r="E285" i="2"/>
  <c r="E289" i="2"/>
  <c r="E293" i="2"/>
  <c r="E297" i="2"/>
  <c r="E301" i="2"/>
  <c r="E305" i="2"/>
  <c r="E313" i="2"/>
  <c r="E321" i="2"/>
  <c r="E325" i="2"/>
  <c r="E329" i="2"/>
  <c r="E333" i="2"/>
  <c r="E337" i="2"/>
  <c r="E341" i="2"/>
  <c r="E6" i="2"/>
  <c r="E10" i="2"/>
  <c r="E14" i="2"/>
  <c r="E18" i="2"/>
  <c r="E22" i="2"/>
  <c r="E26" i="2"/>
  <c r="E30" i="2"/>
  <c r="E34" i="2"/>
  <c r="E38" i="2"/>
  <c r="E42" i="2"/>
  <c r="E46" i="2"/>
  <c r="E50" i="2"/>
  <c r="E54" i="2"/>
  <c r="E58" i="2"/>
  <c r="E62" i="2"/>
  <c r="E66" i="2"/>
  <c r="E70" i="2"/>
  <c r="E74" i="2"/>
  <c r="E78" i="2"/>
  <c r="E82" i="2"/>
  <c r="E86" i="2"/>
  <c r="E90" i="2"/>
  <c r="E94" i="2"/>
  <c r="E98" i="2"/>
  <c r="E102" i="2"/>
  <c r="E106" i="2"/>
  <c r="E110" i="2"/>
  <c r="E114" i="2"/>
  <c r="E118" i="2"/>
  <c r="E122" i="2"/>
  <c r="E126" i="2"/>
  <c r="E130" i="2"/>
  <c r="E134" i="2"/>
  <c r="E138" i="2"/>
  <c r="E142" i="2"/>
  <c r="E146" i="2"/>
  <c r="E150" i="2"/>
  <c r="E154" i="2"/>
  <c r="E158" i="2"/>
  <c r="E162" i="2"/>
  <c r="E166" i="2"/>
  <c r="E170" i="2"/>
  <c r="E174" i="2"/>
  <c r="E178" i="2"/>
  <c r="E182" i="2"/>
  <c r="E186" i="2"/>
  <c r="E190" i="2"/>
  <c r="E194" i="2"/>
  <c r="E198" i="2"/>
  <c r="E202" i="2"/>
  <c r="E206" i="2"/>
  <c r="E210" i="2"/>
  <c r="E214" i="2"/>
  <c r="E218" i="2"/>
  <c r="E222" i="2"/>
  <c r="E226" i="2"/>
  <c r="E230" i="2"/>
  <c r="E234" i="2"/>
  <c r="E238" i="2"/>
  <c r="E242" i="2"/>
  <c r="E246" i="2"/>
  <c r="E258" i="2"/>
  <c r="E262" i="2"/>
  <c r="E266" i="2"/>
  <c r="E270" i="2"/>
  <c r="E274" i="2"/>
  <c r="E278" i="2"/>
  <c r="E282" i="2"/>
  <c r="E286" i="2"/>
  <c r="E290" i="2"/>
  <c r="E294" i="2"/>
  <c r="E298" i="2"/>
  <c r="E302" i="2"/>
  <c r="E322" i="2"/>
  <c r="E326" i="2"/>
  <c r="E330" i="2"/>
  <c r="E334" i="2"/>
  <c r="E338" i="2"/>
  <c r="E342" i="2"/>
  <c r="E11" i="2"/>
  <c r="E15" i="2"/>
  <c r="E19" i="2"/>
  <c r="E23" i="2"/>
  <c r="E27" i="2"/>
  <c r="E31" i="2"/>
  <c r="E35" i="2"/>
  <c r="E39" i="2"/>
  <c r="E43" i="2"/>
  <c r="E47" i="2"/>
  <c r="E51" i="2"/>
  <c r="E55" i="2"/>
  <c r="E59" i="2"/>
  <c r="E63" i="2"/>
  <c r="E67" i="2"/>
  <c r="E71" i="2"/>
  <c r="E75" i="2"/>
  <c r="E79" i="2"/>
  <c r="E83" i="2"/>
  <c r="E87" i="2"/>
  <c r="E91" i="2"/>
  <c r="E95" i="2"/>
  <c r="E99" i="2"/>
  <c r="E103" i="2"/>
  <c r="E107" i="2"/>
  <c r="E111" i="2"/>
  <c r="E115" i="2"/>
  <c r="E119" i="2"/>
  <c r="E123" i="2"/>
  <c r="E127" i="2"/>
  <c r="E131" i="2"/>
  <c r="E135" i="2"/>
  <c r="E139" i="2"/>
  <c r="E143" i="2"/>
  <c r="E147" i="2"/>
  <c r="E151" i="2"/>
  <c r="E155" i="2"/>
  <c r="E159" i="2"/>
  <c r="E163" i="2"/>
  <c r="E167" i="2"/>
  <c r="E171" i="2"/>
  <c r="E175" i="2"/>
  <c r="E179" i="2"/>
  <c r="E183" i="2"/>
  <c r="E187" i="2"/>
  <c r="E191" i="2"/>
  <c r="E195" i="2"/>
  <c r="E199" i="2"/>
  <c r="E203" i="2"/>
  <c r="E207" i="2"/>
  <c r="E211" i="2"/>
  <c r="E215" i="2"/>
  <c r="E219" i="2"/>
  <c r="E223" i="2"/>
  <c r="E227" i="2"/>
  <c r="E231" i="2"/>
  <c r="E235" i="2"/>
  <c r="E239" i="2"/>
  <c r="E243" i="2"/>
  <c r="E255" i="2"/>
  <c r="E259" i="2"/>
  <c r="E263" i="2"/>
  <c r="E267" i="2"/>
  <c r="E271" i="2"/>
  <c r="E275" i="2"/>
  <c r="E279" i="2"/>
  <c r="E283" i="2"/>
  <c r="E287" i="2"/>
  <c r="E291" i="2"/>
  <c r="E295" i="2"/>
  <c r="E299" i="2"/>
  <c r="E303" i="2"/>
  <c r="E319" i="2"/>
  <c r="E323" i="2"/>
  <c r="E327" i="2"/>
  <c r="E331" i="2"/>
  <c r="E335" i="2"/>
  <c r="E339" i="2"/>
  <c r="E343" i="2"/>
  <c r="E8" i="2"/>
  <c r="E24" i="2"/>
  <c r="E40" i="2"/>
  <c r="E56" i="2"/>
  <c r="E72" i="2"/>
  <c r="E88" i="2"/>
  <c r="E104" i="2"/>
  <c r="E120" i="2"/>
  <c r="E136" i="2"/>
  <c r="E152" i="2"/>
  <c r="E168" i="2"/>
  <c r="E184" i="2"/>
  <c r="E200" i="2"/>
  <c r="E216" i="2"/>
  <c r="E232" i="2"/>
  <c r="E264" i="2"/>
  <c r="E280" i="2"/>
  <c r="E296" i="2"/>
  <c r="E312" i="2"/>
  <c r="E328" i="2"/>
  <c r="E344" i="2"/>
  <c r="E348" i="2"/>
  <c r="E352" i="2"/>
  <c r="E356" i="2"/>
  <c r="E360" i="2"/>
  <c r="E364" i="2"/>
  <c r="E368" i="2"/>
  <c r="E372" i="2"/>
  <c r="E376" i="2"/>
  <c r="E380" i="2"/>
  <c r="E384" i="2"/>
  <c r="E388" i="2"/>
  <c r="E392" i="2"/>
  <c r="E396" i="2"/>
  <c r="E400" i="2"/>
  <c r="E404" i="2"/>
  <c r="E408" i="2"/>
  <c r="E412" i="2"/>
  <c r="E416" i="2"/>
  <c r="E420" i="2"/>
  <c r="E424" i="2"/>
  <c r="E428" i="2"/>
  <c r="E432" i="2"/>
  <c r="E436" i="2"/>
  <c r="E440" i="2"/>
  <c r="E444" i="2"/>
  <c r="E448" i="2"/>
  <c r="E452" i="2"/>
  <c r="E456" i="2"/>
  <c r="E460" i="2"/>
  <c r="E464" i="2"/>
  <c r="E468" i="2"/>
  <c r="E472" i="2"/>
  <c r="E476" i="2"/>
  <c r="E480" i="2"/>
  <c r="E484" i="2"/>
  <c r="E488" i="2"/>
  <c r="E492" i="2"/>
  <c r="E496" i="2"/>
  <c r="E500" i="2"/>
  <c r="E504" i="2"/>
  <c r="E508" i="2"/>
  <c r="E512" i="2"/>
  <c r="E516" i="2"/>
  <c r="E520" i="2"/>
  <c r="E524" i="2"/>
  <c r="E528" i="2"/>
  <c r="E532" i="2"/>
  <c r="E536" i="2"/>
  <c r="E540" i="2"/>
  <c r="E544" i="2"/>
  <c r="E548" i="2"/>
  <c r="E552" i="2"/>
  <c r="E556" i="2"/>
  <c r="E560" i="2"/>
  <c r="E564" i="2"/>
  <c r="E568" i="2"/>
  <c r="E572" i="2"/>
  <c r="E576" i="2"/>
  <c r="E580" i="2"/>
  <c r="E584" i="2"/>
  <c r="E588" i="2"/>
  <c r="E592" i="2"/>
  <c r="E596" i="2"/>
  <c r="E600" i="2"/>
  <c r="E12" i="2"/>
  <c r="E28" i="2"/>
  <c r="E44" i="2"/>
  <c r="E60" i="2"/>
  <c r="E76" i="2"/>
  <c r="E92" i="2"/>
  <c r="E108" i="2"/>
  <c r="E124" i="2"/>
  <c r="E140" i="2"/>
  <c r="E156" i="2"/>
  <c r="E172" i="2"/>
  <c r="E188" i="2"/>
  <c r="E204" i="2"/>
  <c r="E220" i="2"/>
  <c r="E236" i="2"/>
  <c r="E268" i="2"/>
  <c r="E284" i="2"/>
  <c r="E300" i="2"/>
  <c r="E316" i="2"/>
  <c r="E332" i="2"/>
  <c r="E345" i="2"/>
  <c r="E349" i="2"/>
  <c r="E353" i="2"/>
  <c r="E357" i="2"/>
  <c r="E361" i="2"/>
  <c r="E365" i="2"/>
  <c r="E369" i="2"/>
  <c r="E373" i="2"/>
  <c r="E377" i="2"/>
  <c r="E381" i="2"/>
  <c r="E385" i="2"/>
  <c r="E389" i="2"/>
  <c r="E393" i="2"/>
  <c r="E397" i="2"/>
  <c r="E401" i="2"/>
  <c r="E405" i="2"/>
  <c r="E409" i="2"/>
  <c r="E413" i="2"/>
  <c r="E417" i="2"/>
  <c r="E421" i="2"/>
  <c r="E425" i="2"/>
  <c r="E429" i="2"/>
  <c r="E433" i="2"/>
  <c r="E437" i="2"/>
  <c r="E441" i="2"/>
  <c r="E445" i="2"/>
  <c r="E449" i="2"/>
  <c r="E453" i="2"/>
  <c r="E457" i="2"/>
  <c r="E461" i="2"/>
  <c r="E465" i="2"/>
  <c r="E469" i="2"/>
  <c r="E473" i="2"/>
  <c r="E477" i="2"/>
  <c r="E481" i="2"/>
  <c r="E485" i="2"/>
  <c r="E489" i="2"/>
  <c r="E493" i="2"/>
  <c r="E497" i="2"/>
  <c r="E501" i="2"/>
  <c r="E505" i="2"/>
  <c r="E509" i="2"/>
  <c r="E513" i="2"/>
  <c r="E517" i="2"/>
  <c r="E521" i="2"/>
  <c r="E525" i="2"/>
  <c r="E529" i="2"/>
  <c r="E533" i="2"/>
  <c r="E537" i="2"/>
  <c r="E541" i="2"/>
  <c r="E545" i="2"/>
  <c r="E549" i="2"/>
  <c r="E553" i="2"/>
  <c r="E557" i="2"/>
  <c r="E561" i="2"/>
  <c r="E565" i="2"/>
  <c r="E569" i="2"/>
  <c r="E573" i="2"/>
  <c r="E577" i="2"/>
  <c r="E581" i="2"/>
  <c r="E585" i="2"/>
  <c r="E589" i="2"/>
  <c r="E593" i="2"/>
  <c r="E597" i="2"/>
  <c r="E16" i="2"/>
  <c r="E32" i="2"/>
  <c r="E48" i="2"/>
  <c r="E64" i="2"/>
  <c r="E80" i="2"/>
  <c r="E96" i="2"/>
  <c r="E112" i="2"/>
  <c r="E128" i="2"/>
  <c r="E144" i="2"/>
  <c r="E160" i="2"/>
  <c r="E176" i="2"/>
  <c r="E192" i="2"/>
  <c r="E208" i="2"/>
  <c r="E224" i="2"/>
  <c r="E240" i="2"/>
  <c r="E256" i="2"/>
  <c r="E272" i="2"/>
  <c r="E288" i="2"/>
  <c r="E304" i="2"/>
  <c r="E320" i="2"/>
  <c r="E336" i="2"/>
  <c r="E346" i="2"/>
  <c r="E350" i="2"/>
  <c r="E354" i="2"/>
  <c r="E358" i="2"/>
  <c r="E362" i="2"/>
  <c r="E366" i="2"/>
  <c r="E370" i="2"/>
  <c r="E374" i="2"/>
  <c r="E378" i="2"/>
  <c r="E382" i="2"/>
  <c r="E386" i="2"/>
  <c r="E390" i="2"/>
  <c r="E394" i="2"/>
  <c r="E398" i="2"/>
  <c r="E402" i="2"/>
  <c r="E406" i="2"/>
  <c r="E410" i="2"/>
  <c r="E414" i="2"/>
  <c r="E418" i="2"/>
  <c r="E422" i="2"/>
  <c r="E426" i="2"/>
  <c r="E430" i="2"/>
  <c r="E434" i="2"/>
  <c r="E438" i="2"/>
  <c r="E442" i="2"/>
  <c r="E446" i="2"/>
  <c r="E450" i="2"/>
  <c r="E454" i="2"/>
  <c r="E458" i="2"/>
  <c r="E462" i="2"/>
  <c r="E466" i="2"/>
  <c r="E470" i="2"/>
  <c r="E474" i="2"/>
  <c r="E478" i="2"/>
  <c r="E482" i="2"/>
  <c r="E486" i="2"/>
  <c r="E490" i="2"/>
  <c r="E494" i="2"/>
  <c r="E498" i="2"/>
  <c r="E502" i="2"/>
  <c r="E506" i="2"/>
  <c r="E510" i="2"/>
  <c r="E514" i="2"/>
  <c r="E518" i="2"/>
  <c r="E522" i="2"/>
  <c r="E526" i="2"/>
  <c r="E530" i="2"/>
  <c r="E534" i="2"/>
  <c r="E538" i="2"/>
  <c r="E542" i="2"/>
  <c r="E546" i="2"/>
  <c r="E550" i="2"/>
  <c r="E554" i="2"/>
  <c r="E558" i="2"/>
  <c r="E562" i="2"/>
  <c r="E566" i="2"/>
  <c r="E570" i="2"/>
  <c r="E574" i="2"/>
  <c r="E578" i="2"/>
  <c r="E582" i="2"/>
  <c r="E586" i="2"/>
  <c r="E590" i="2"/>
  <c r="E594" i="2"/>
  <c r="E598" i="2"/>
  <c r="E20" i="2"/>
  <c r="E84" i="2"/>
  <c r="E148" i="2"/>
  <c r="E212" i="2"/>
  <c r="E276" i="2"/>
  <c r="E340" i="2"/>
  <c r="E359" i="2"/>
  <c r="E375" i="2"/>
  <c r="E391" i="2"/>
  <c r="E407" i="2"/>
  <c r="E423" i="2"/>
  <c r="E439" i="2"/>
  <c r="E455" i="2"/>
  <c r="E471" i="2"/>
  <c r="E487" i="2"/>
  <c r="E503" i="2"/>
  <c r="E519" i="2"/>
  <c r="E535" i="2"/>
  <c r="E551" i="2"/>
  <c r="E567" i="2"/>
  <c r="E583" i="2"/>
  <c r="E599" i="2"/>
  <c r="E604" i="2"/>
  <c r="E608" i="2"/>
  <c r="E612" i="2"/>
  <c r="E616" i="2"/>
  <c r="E620" i="2"/>
  <c r="E624" i="2"/>
  <c r="E628" i="2"/>
  <c r="E632" i="2"/>
  <c r="E636" i="2"/>
  <c r="E640" i="2"/>
  <c r="E644" i="2"/>
  <c r="E648" i="2"/>
  <c r="E652" i="2"/>
  <c r="E656" i="2"/>
  <c r="E660" i="2"/>
  <c r="E36" i="2"/>
  <c r="E100" i="2"/>
  <c r="E164" i="2"/>
  <c r="E228" i="2"/>
  <c r="E292" i="2"/>
  <c r="E347" i="2"/>
  <c r="E363" i="2"/>
  <c r="E379" i="2"/>
  <c r="E395" i="2"/>
  <c r="E411" i="2"/>
  <c r="E427" i="2"/>
  <c r="E443" i="2"/>
  <c r="E459" i="2"/>
  <c r="E475" i="2"/>
  <c r="E491" i="2"/>
  <c r="E507" i="2"/>
  <c r="E523" i="2"/>
  <c r="E539" i="2"/>
  <c r="E555" i="2"/>
  <c r="E571" i="2"/>
  <c r="E587" i="2"/>
  <c r="E601" i="2"/>
  <c r="E605" i="2"/>
  <c r="E609" i="2"/>
  <c r="E613" i="2"/>
  <c r="E617" i="2"/>
  <c r="E621" i="2"/>
  <c r="E625" i="2"/>
  <c r="E629" i="2"/>
  <c r="E633" i="2"/>
  <c r="E637" i="2"/>
  <c r="E641" i="2"/>
  <c r="E645" i="2"/>
  <c r="E649" i="2"/>
  <c r="E653" i="2"/>
  <c r="E657" i="2"/>
  <c r="E661" i="2"/>
  <c r="E665" i="2"/>
  <c r="E669" i="2"/>
  <c r="E673" i="2"/>
  <c r="E677" i="2"/>
  <c r="E681" i="2"/>
  <c r="E685" i="2"/>
  <c r="E689" i="2"/>
  <c r="E693" i="2"/>
  <c r="E697" i="2"/>
  <c r="E701" i="2"/>
  <c r="E705" i="2"/>
  <c r="E709" i="2"/>
  <c r="E713" i="2"/>
  <c r="E717" i="2"/>
  <c r="E721" i="2"/>
  <c r="E725" i="2"/>
  <c r="E729" i="2"/>
  <c r="E733" i="2"/>
  <c r="E737" i="2"/>
  <c r="E741" i="2"/>
  <c r="E745" i="2"/>
  <c r="E749" i="2"/>
  <c r="E753" i="2"/>
  <c r="E757" i="2"/>
  <c r="E761" i="2"/>
  <c r="E765" i="2"/>
  <c r="E769" i="2"/>
  <c r="E773" i="2"/>
  <c r="E777" i="2"/>
  <c r="E781" i="2"/>
  <c r="E132" i="2"/>
  <c r="E196" i="2"/>
  <c r="E260" i="2"/>
  <c r="E355" i="2"/>
  <c r="E387" i="2"/>
  <c r="E419" i="2"/>
  <c r="E451" i="2"/>
  <c r="E483" i="2"/>
  <c r="E515" i="2"/>
  <c r="E547" i="2"/>
  <c r="E579" i="2"/>
  <c r="E595" i="2"/>
  <c r="E611" i="2"/>
  <c r="E619" i="2"/>
  <c r="E623" i="2"/>
  <c r="E631" i="2"/>
  <c r="E639" i="2"/>
  <c r="E651" i="2"/>
  <c r="E52" i="2"/>
  <c r="E116" i="2"/>
  <c r="E180" i="2"/>
  <c r="E244" i="2"/>
  <c r="E351" i="2"/>
  <c r="E367" i="2"/>
  <c r="E383" i="2"/>
  <c r="E399" i="2"/>
  <c r="E415" i="2"/>
  <c r="E431" i="2"/>
  <c r="E447" i="2"/>
  <c r="E463" i="2"/>
  <c r="E479" i="2"/>
  <c r="E495" i="2"/>
  <c r="E511" i="2"/>
  <c r="E527" i="2"/>
  <c r="E543" i="2"/>
  <c r="E559" i="2"/>
  <c r="E575" i="2"/>
  <c r="E591" i="2"/>
  <c r="E602" i="2"/>
  <c r="E606" i="2"/>
  <c r="E610" i="2"/>
  <c r="E614" i="2"/>
  <c r="E618" i="2"/>
  <c r="E622" i="2"/>
  <c r="E626" i="2"/>
  <c r="E630" i="2"/>
  <c r="E634" i="2"/>
  <c r="E638" i="2"/>
  <c r="E642" i="2"/>
  <c r="E646" i="2"/>
  <c r="E650" i="2"/>
  <c r="E654" i="2"/>
  <c r="E658" i="2"/>
  <c r="E662" i="2"/>
  <c r="E666" i="2"/>
  <c r="E670" i="2"/>
  <c r="E674" i="2"/>
  <c r="E678" i="2"/>
  <c r="E682" i="2"/>
  <c r="E686" i="2"/>
  <c r="E690" i="2"/>
  <c r="E694" i="2"/>
  <c r="E698" i="2"/>
  <c r="E702" i="2"/>
  <c r="E706" i="2"/>
  <c r="E710" i="2"/>
  <c r="E714" i="2"/>
  <c r="E718" i="2"/>
  <c r="E722" i="2"/>
  <c r="E726" i="2"/>
  <c r="E730" i="2"/>
  <c r="E734" i="2"/>
  <c r="E738" i="2"/>
  <c r="E742" i="2"/>
  <c r="E746" i="2"/>
  <c r="E750" i="2"/>
  <c r="E754" i="2"/>
  <c r="E758" i="2"/>
  <c r="E762" i="2"/>
  <c r="E766" i="2"/>
  <c r="E770" i="2"/>
  <c r="E774" i="2"/>
  <c r="E778" i="2"/>
  <c r="E782" i="2"/>
  <c r="E68" i="2"/>
  <c r="E324" i="2"/>
  <c r="E371" i="2"/>
  <c r="E403" i="2"/>
  <c r="E435" i="2"/>
  <c r="E467" i="2"/>
  <c r="E499" i="2"/>
  <c r="E531" i="2"/>
  <c r="E563" i="2"/>
  <c r="E603" i="2"/>
  <c r="E607" i="2"/>
  <c r="E615" i="2"/>
  <c r="E627" i="2"/>
  <c r="E635" i="2"/>
  <c r="E643" i="2"/>
  <c r="E647" i="2"/>
  <c r="E655" i="2"/>
  <c r="E659" i="2"/>
  <c r="E668" i="2"/>
  <c r="E676" i="2"/>
  <c r="E684" i="2"/>
  <c r="E692" i="2"/>
  <c r="E700" i="2"/>
  <c r="E708" i="2"/>
  <c r="E716" i="2"/>
  <c r="E724" i="2"/>
  <c r="E732" i="2"/>
  <c r="E740" i="2"/>
  <c r="E748" i="2"/>
  <c r="E756" i="2"/>
  <c r="E764" i="2"/>
  <c r="E772" i="2"/>
  <c r="E780" i="2"/>
  <c r="E759" i="2"/>
  <c r="E775" i="2"/>
  <c r="E783" i="2"/>
  <c r="E776" i="2"/>
  <c r="E675" i="2"/>
  <c r="E707" i="2"/>
  <c r="E731" i="2"/>
  <c r="E755" i="2"/>
  <c r="E779" i="2"/>
  <c r="E663" i="2"/>
  <c r="E671" i="2"/>
  <c r="E679" i="2"/>
  <c r="E687" i="2"/>
  <c r="E695" i="2"/>
  <c r="E703" i="2"/>
  <c r="E711" i="2"/>
  <c r="E719" i="2"/>
  <c r="E727" i="2"/>
  <c r="E735" i="2"/>
  <c r="E743" i="2"/>
  <c r="E751" i="2"/>
  <c r="E767" i="2"/>
  <c r="E768" i="2"/>
  <c r="E667" i="2"/>
  <c r="E715" i="2"/>
  <c r="E739" i="2"/>
  <c r="E763" i="2"/>
  <c r="E664" i="2"/>
  <c r="E672" i="2"/>
  <c r="E680" i="2"/>
  <c r="E688" i="2"/>
  <c r="E696" i="2"/>
  <c r="E704" i="2"/>
  <c r="E712" i="2"/>
  <c r="E720" i="2"/>
  <c r="E728" i="2"/>
  <c r="E736" i="2"/>
  <c r="E744" i="2"/>
  <c r="E752" i="2"/>
  <c r="E760" i="2"/>
  <c r="E683" i="2"/>
  <c r="E691" i="2"/>
  <c r="E699" i="2"/>
  <c r="E723" i="2"/>
  <c r="E747" i="2"/>
  <c r="E771" i="2"/>
  <c r="D5" i="2"/>
  <c r="C5" i="2"/>
  <c r="C11" i="2"/>
  <c r="D10" i="2"/>
  <c r="C9" i="2"/>
  <c r="D8" i="2"/>
  <c r="D6" i="2"/>
  <c r="D11" i="2"/>
  <c r="C10" i="2"/>
  <c r="D9" i="2"/>
  <c r="C8" i="2"/>
  <c r="C6" i="2"/>
  <c r="C749" i="2"/>
  <c r="D783" i="2"/>
  <c r="D782" i="2"/>
  <c r="D781" i="2"/>
  <c r="D780" i="2"/>
  <c r="D779" i="2"/>
  <c r="D778" i="2"/>
  <c r="D777" i="2"/>
  <c r="D776" i="2"/>
  <c r="D775" i="2"/>
  <c r="D774" i="2"/>
  <c r="C773" i="2"/>
  <c r="C771" i="2"/>
  <c r="C769" i="2"/>
  <c r="C767" i="2"/>
  <c r="C765" i="2"/>
  <c r="C763" i="2"/>
  <c r="C761" i="2"/>
  <c r="C759" i="2"/>
  <c r="C757" i="2"/>
  <c r="C755" i="2"/>
  <c r="C753" i="2"/>
  <c r="C751" i="2"/>
  <c r="D18" i="2"/>
  <c r="D21" i="2"/>
  <c r="D23" i="2"/>
  <c r="D26" i="2"/>
  <c r="D28" i="2"/>
  <c r="D30" i="2"/>
  <c r="D33" i="2"/>
  <c r="D35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D12" i="2"/>
  <c r="D13" i="2"/>
  <c r="D14" i="2"/>
  <c r="D15" i="2"/>
  <c r="D16" i="2"/>
  <c r="D17" i="2"/>
  <c r="D19" i="2"/>
  <c r="D20" i="2"/>
  <c r="D22" i="2"/>
  <c r="D24" i="2"/>
  <c r="D25" i="2"/>
  <c r="D27" i="2"/>
  <c r="D29" i="2"/>
  <c r="D31" i="2"/>
  <c r="D32" i="2"/>
  <c r="D34" i="2"/>
  <c r="D36" i="2"/>
  <c r="D37" i="2"/>
  <c r="D38" i="2"/>
  <c r="D39" i="2"/>
  <c r="D40" i="2"/>
  <c r="D41" i="2"/>
  <c r="D43" i="2"/>
  <c r="D45" i="2"/>
  <c r="C37" i="2"/>
  <c r="C38" i="2"/>
  <c r="C39" i="2"/>
  <c r="C40" i="2"/>
  <c r="C41" i="2"/>
  <c r="C42" i="2"/>
  <c r="C43" i="2"/>
  <c r="C44" i="2"/>
  <c r="C45" i="2"/>
  <c r="D42" i="2"/>
  <c r="D44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2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D61" i="2"/>
  <c r="D63" i="2"/>
  <c r="D64" i="2"/>
  <c r="D66" i="2"/>
  <c r="D67" i="2"/>
  <c r="D69" i="2"/>
  <c r="D71" i="2"/>
  <c r="D74" i="2"/>
  <c r="D76" i="2"/>
  <c r="D78" i="2"/>
  <c r="D80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D65" i="2"/>
  <c r="D68" i="2"/>
  <c r="D70" i="2"/>
  <c r="D72" i="2"/>
  <c r="D73" i="2"/>
  <c r="D75" i="2"/>
  <c r="D77" i="2"/>
  <c r="D79" i="2"/>
  <c r="D81" i="2"/>
  <c r="D82" i="2"/>
  <c r="D83" i="2"/>
  <c r="D84" i="2"/>
  <c r="D85" i="2"/>
  <c r="D86" i="2"/>
  <c r="D87" i="2"/>
  <c r="D88" i="2"/>
  <c r="D89" i="2"/>
  <c r="D90" i="2"/>
  <c r="D9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46" i="2"/>
  <c r="C255" i="2"/>
  <c r="C256" i="2"/>
  <c r="C257" i="2"/>
  <c r="C258" i="2"/>
  <c r="C259" i="2"/>
  <c r="C260" i="2"/>
  <c r="C261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C274" i="2"/>
  <c r="C275" i="2"/>
  <c r="C276" i="2"/>
  <c r="C277" i="2"/>
  <c r="C278" i="2"/>
  <c r="C279" i="2"/>
  <c r="C280" i="2"/>
  <c r="C281" i="2"/>
  <c r="C282" i="2"/>
  <c r="C283" i="2"/>
  <c r="C284" i="2"/>
  <c r="C285" i="2"/>
  <c r="C286" i="2"/>
  <c r="C287" i="2"/>
  <c r="C288" i="2"/>
  <c r="C289" i="2"/>
  <c r="C290" i="2"/>
  <c r="C291" i="2"/>
  <c r="C292" i="2"/>
  <c r="C293" i="2"/>
  <c r="C294" i="2"/>
  <c r="C295" i="2"/>
  <c r="C296" i="2"/>
  <c r="C297" i="2"/>
  <c r="C298" i="2"/>
  <c r="C299" i="2"/>
  <c r="C300" i="2"/>
  <c r="C301" i="2"/>
  <c r="C302" i="2"/>
  <c r="C303" i="2"/>
  <c r="C304" i="2"/>
  <c r="C305" i="2"/>
  <c r="C312" i="2"/>
  <c r="C313" i="2"/>
  <c r="C316" i="2"/>
  <c r="C319" i="2"/>
  <c r="C320" i="2"/>
  <c r="C321" i="2"/>
  <c r="C322" i="2"/>
  <c r="C323" i="2"/>
  <c r="C324" i="2"/>
  <c r="C325" i="2"/>
  <c r="C326" i="2"/>
  <c r="C327" i="2"/>
  <c r="C328" i="2"/>
  <c r="C329" i="2"/>
  <c r="C330" i="2"/>
  <c r="C331" i="2"/>
  <c r="C332" i="2"/>
  <c r="C333" i="2"/>
  <c r="C334" i="2"/>
  <c r="C335" i="2"/>
  <c r="C336" i="2"/>
  <c r="C337" i="2"/>
  <c r="C338" i="2"/>
  <c r="C339" i="2"/>
  <c r="C340" i="2"/>
  <c r="C341" i="2"/>
  <c r="C342" i="2"/>
  <c r="C343" i="2"/>
  <c r="C344" i="2"/>
  <c r="C345" i="2"/>
  <c r="C346" i="2"/>
  <c r="C347" i="2"/>
  <c r="C348" i="2"/>
  <c r="C349" i="2"/>
  <c r="C350" i="2"/>
  <c r="C351" i="2"/>
  <c r="C352" i="2"/>
  <c r="C353" i="2"/>
  <c r="C354" i="2"/>
  <c r="C355" i="2"/>
  <c r="C356" i="2"/>
  <c r="C357" i="2"/>
  <c r="C358" i="2"/>
  <c r="C359" i="2"/>
  <c r="C360" i="2"/>
  <c r="C361" i="2"/>
  <c r="C362" i="2"/>
  <c r="C363" i="2"/>
  <c r="C364" i="2"/>
  <c r="C365" i="2"/>
  <c r="C366" i="2"/>
  <c r="C367" i="2"/>
  <c r="C368" i="2"/>
  <c r="C369" i="2"/>
  <c r="C370" i="2"/>
  <c r="C371" i="2"/>
  <c r="C372" i="2"/>
  <c r="C373" i="2"/>
  <c r="C374" i="2"/>
  <c r="C375" i="2"/>
  <c r="C376" i="2"/>
  <c r="C377" i="2"/>
  <c r="C378" i="2"/>
  <c r="C379" i="2"/>
  <c r="C380" i="2"/>
  <c r="C381" i="2"/>
  <c r="C382" i="2"/>
  <c r="C383" i="2"/>
  <c r="C384" i="2"/>
  <c r="C385" i="2"/>
  <c r="C386" i="2"/>
  <c r="C387" i="2"/>
  <c r="C388" i="2"/>
  <c r="C389" i="2"/>
  <c r="C390" i="2"/>
  <c r="C391" i="2"/>
  <c r="C392" i="2"/>
  <c r="C393" i="2"/>
  <c r="C394" i="2"/>
  <c r="C395" i="2"/>
  <c r="C396" i="2"/>
  <c r="C397" i="2"/>
  <c r="C398" i="2"/>
  <c r="C399" i="2"/>
  <c r="C400" i="2"/>
  <c r="C401" i="2"/>
  <c r="C402" i="2"/>
  <c r="C403" i="2"/>
  <c r="C404" i="2"/>
  <c r="C405" i="2"/>
  <c r="C406" i="2"/>
  <c r="C407" i="2"/>
  <c r="C408" i="2"/>
  <c r="C409" i="2"/>
  <c r="C410" i="2"/>
  <c r="C411" i="2"/>
  <c r="C412" i="2"/>
  <c r="C413" i="2"/>
  <c r="C414" i="2"/>
  <c r="C415" i="2"/>
  <c r="C416" i="2"/>
  <c r="C417" i="2"/>
  <c r="C418" i="2"/>
  <c r="C419" i="2"/>
  <c r="C420" i="2"/>
  <c r="C421" i="2"/>
  <c r="C422" i="2"/>
  <c r="C423" i="2"/>
  <c r="C424" i="2"/>
  <c r="C425" i="2"/>
  <c r="C426" i="2"/>
  <c r="C427" i="2"/>
  <c r="C428" i="2"/>
  <c r="C429" i="2"/>
  <c r="C430" i="2"/>
  <c r="C431" i="2"/>
  <c r="C432" i="2"/>
  <c r="C433" i="2"/>
  <c r="C434" i="2"/>
  <c r="C435" i="2"/>
  <c r="C436" i="2"/>
  <c r="C437" i="2"/>
  <c r="C438" i="2"/>
  <c r="C439" i="2"/>
  <c r="C440" i="2"/>
  <c r="C441" i="2"/>
  <c r="C442" i="2"/>
  <c r="C443" i="2"/>
  <c r="C444" i="2"/>
  <c r="C445" i="2"/>
  <c r="C446" i="2"/>
  <c r="C447" i="2"/>
  <c r="C448" i="2"/>
  <c r="C449" i="2"/>
  <c r="C450" i="2"/>
  <c r="C451" i="2"/>
  <c r="C452" i="2"/>
  <c r="C453" i="2"/>
  <c r="C454" i="2"/>
  <c r="C455" i="2"/>
  <c r="C456" i="2"/>
  <c r="C457" i="2"/>
  <c r="C458" i="2"/>
  <c r="C459" i="2"/>
  <c r="C460" i="2"/>
  <c r="C461" i="2"/>
  <c r="C462" i="2"/>
  <c r="C463" i="2"/>
  <c r="C464" i="2"/>
  <c r="C465" i="2"/>
  <c r="C466" i="2"/>
  <c r="C467" i="2"/>
  <c r="C468" i="2"/>
  <c r="C469" i="2"/>
  <c r="C470" i="2"/>
  <c r="C471" i="2"/>
  <c r="C472" i="2"/>
  <c r="C473" i="2"/>
  <c r="C474" i="2"/>
  <c r="C475" i="2"/>
  <c r="C476" i="2"/>
  <c r="C477" i="2"/>
  <c r="C478" i="2"/>
  <c r="C479" i="2"/>
  <c r="C480" i="2"/>
  <c r="C481" i="2"/>
  <c r="C482" i="2"/>
  <c r="C483" i="2"/>
  <c r="C484" i="2"/>
  <c r="C485" i="2"/>
  <c r="C486" i="2"/>
  <c r="C487" i="2"/>
  <c r="C488" i="2"/>
  <c r="C489" i="2"/>
  <c r="C490" i="2"/>
  <c r="C491" i="2"/>
  <c r="C492" i="2"/>
  <c r="C493" i="2"/>
  <c r="C494" i="2"/>
  <c r="C495" i="2"/>
  <c r="C496" i="2"/>
  <c r="C497" i="2"/>
  <c r="C498" i="2"/>
  <c r="C499" i="2"/>
  <c r="C500" i="2"/>
  <c r="C501" i="2"/>
  <c r="C502" i="2"/>
  <c r="C503" i="2"/>
  <c r="C504" i="2"/>
  <c r="C505" i="2"/>
  <c r="C506" i="2"/>
  <c r="C507" i="2"/>
  <c r="C508" i="2"/>
  <c r="C509" i="2"/>
  <c r="C510" i="2"/>
  <c r="C511" i="2"/>
  <c r="C512" i="2"/>
  <c r="C513" i="2"/>
  <c r="C514" i="2"/>
  <c r="C515" i="2"/>
  <c r="C516" i="2"/>
  <c r="C517" i="2"/>
  <c r="C518" i="2"/>
  <c r="C519" i="2"/>
  <c r="C520" i="2"/>
  <c r="C521" i="2"/>
  <c r="C522" i="2"/>
  <c r="C523" i="2"/>
  <c r="C524" i="2"/>
  <c r="C525" i="2"/>
  <c r="C526" i="2"/>
  <c r="C527" i="2"/>
  <c r="C528" i="2"/>
  <c r="C529" i="2"/>
  <c r="C530" i="2"/>
  <c r="C531" i="2"/>
  <c r="C532" i="2"/>
  <c r="C533" i="2"/>
  <c r="C534" i="2"/>
  <c r="C535" i="2"/>
  <c r="C536" i="2"/>
  <c r="C537" i="2"/>
  <c r="C538" i="2"/>
  <c r="C539" i="2"/>
  <c r="C540" i="2"/>
  <c r="C541" i="2"/>
  <c r="C542" i="2"/>
  <c r="C543" i="2"/>
  <c r="C544" i="2"/>
  <c r="C545" i="2"/>
  <c r="C546" i="2"/>
  <c r="C547" i="2"/>
  <c r="C548" i="2"/>
  <c r="C549" i="2"/>
  <c r="C550" i="2"/>
  <c r="C551" i="2"/>
  <c r="C552" i="2"/>
  <c r="C553" i="2"/>
  <c r="C554" i="2"/>
  <c r="C555" i="2"/>
  <c r="C556" i="2"/>
  <c r="C557" i="2"/>
  <c r="C558" i="2"/>
  <c r="C559" i="2"/>
  <c r="C560" i="2"/>
  <c r="C561" i="2"/>
  <c r="C562" i="2"/>
  <c r="C563" i="2"/>
  <c r="C564" i="2"/>
  <c r="C565" i="2"/>
  <c r="C566" i="2"/>
  <c r="C567" i="2"/>
  <c r="C568" i="2"/>
  <c r="C569" i="2"/>
  <c r="C570" i="2"/>
  <c r="C571" i="2"/>
  <c r="C572" i="2"/>
  <c r="C573" i="2"/>
  <c r="C574" i="2"/>
  <c r="C575" i="2"/>
  <c r="C576" i="2"/>
  <c r="C577" i="2"/>
  <c r="C578" i="2"/>
  <c r="C579" i="2"/>
  <c r="C580" i="2"/>
  <c r="C581" i="2"/>
  <c r="C582" i="2"/>
  <c r="C583" i="2"/>
  <c r="C584" i="2"/>
  <c r="C585" i="2"/>
  <c r="C586" i="2"/>
  <c r="C587" i="2"/>
  <c r="C588" i="2"/>
  <c r="C589" i="2"/>
  <c r="C590" i="2"/>
  <c r="C591" i="2"/>
  <c r="C592" i="2"/>
  <c r="C593" i="2"/>
  <c r="C594" i="2"/>
  <c r="C595" i="2"/>
  <c r="C596" i="2"/>
  <c r="C597" i="2"/>
  <c r="C598" i="2"/>
  <c r="C599" i="2"/>
  <c r="C600" i="2"/>
  <c r="C601" i="2"/>
  <c r="C602" i="2"/>
  <c r="C603" i="2"/>
  <c r="C604" i="2"/>
  <c r="C605" i="2"/>
  <c r="C606" i="2"/>
  <c r="C607" i="2"/>
  <c r="C608" i="2"/>
  <c r="C609" i="2"/>
  <c r="C610" i="2"/>
  <c r="C611" i="2"/>
  <c r="C612" i="2"/>
  <c r="C613" i="2"/>
  <c r="C614" i="2"/>
  <c r="C615" i="2"/>
  <c r="C616" i="2"/>
  <c r="C617" i="2"/>
  <c r="C618" i="2"/>
  <c r="C619" i="2"/>
  <c r="C620" i="2"/>
  <c r="C621" i="2"/>
  <c r="C622" i="2"/>
  <c r="C623" i="2"/>
  <c r="C624" i="2"/>
  <c r="C625" i="2"/>
  <c r="C626" i="2"/>
  <c r="C627" i="2"/>
  <c r="C628" i="2"/>
  <c r="C629" i="2"/>
  <c r="C630" i="2"/>
  <c r="C631" i="2"/>
  <c r="C632" i="2"/>
  <c r="C633" i="2"/>
  <c r="C634" i="2"/>
  <c r="C635" i="2"/>
  <c r="C636" i="2"/>
  <c r="C637" i="2"/>
  <c r="C638" i="2"/>
  <c r="C639" i="2"/>
  <c r="C640" i="2"/>
  <c r="C641" i="2"/>
  <c r="C642" i="2"/>
  <c r="C643" i="2"/>
  <c r="C644" i="2"/>
  <c r="C645" i="2"/>
  <c r="C646" i="2"/>
  <c r="C647" i="2"/>
  <c r="C648" i="2"/>
  <c r="C649" i="2"/>
  <c r="C650" i="2"/>
  <c r="C651" i="2"/>
  <c r="C652" i="2"/>
  <c r="C653" i="2"/>
  <c r="C654" i="2"/>
  <c r="C655" i="2"/>
  <c r="C656" i="2"/>
  <c r="C657" i="2"/>
  <c r="C658" i="2"/>
  <c r="C659" i="2"/>
  <c r="C660" i="2"/>
  <c r="C661" i="2"/>
  <c r="C662" i="2"/>
  <c r="C663" i="2"/>
  <c r="C664" i="2"/>
  <c r="C665" i="2"/>
  <c r="C666" i="2"/>
  <c r="C667" i="2"/>
  <c r="C668" i="2"/>
  <c r="C669" i="2"/>
  <c r="C670" i="2"/>
  <c r="C671" i="2"/>
  <c r="C672" i="2"/>
  <c r="C673" i="2"/>
  <c r="C674" i="2"/>
  <c r="C675" i="2"/>
  <c r="C676" i="2"/>
  <c r="C677" i="2"/>
  <c r="C678" i="2"/>
  <c r="C679" i="2"/>
  <c r="C680" i="2"/>
  <c r="C681" i="2"/>
  <c r="C682" i="2"/>
  <c r="C683" i="2"/>
  <c r="C684" i="2"/>
  <c r="C685" i="2"/>
  <c r="C686" i="2"/>
  <c r="C687" i="2"/>
  <c r="C688" i="2"/>
  <c r="C689" i="2"/>
  <c r="C690" i="2"/>
  <c r="C691" i="2"/>
  <c r="C692" i="2"/>
  <c r="C693" i="2"/>
  <c r="C694" i="2"/>
  <c r="C695" i="2"/>
  <c r="C696" i="2"/>
  <c r="C697" i="2"/>
  <c r="C698" i="2"/>
  <c r="C699" i="2"/>
  <c r="C700" i="2"/>
  <c r="C701" i="2"/>
  <c r="C702" i="2"/>
  <c r="C703" i="2"/>
  <c r="C704" i="2"/>
  <c r="C705" i="2"/>
  <c r="C706" i="2"/>
  <c r="C707" i="2"/>
  <c r="C708" i="2"/>
  <c r="C709" i="2"/>
  <c r="C710" i="2"/>
  <c r="C711" i="2"/>
  <c r="C712" i="2"/>
  <c r="C713" i="2"/>
  <c r="C714" i="2"/>
  <c r="C715" i="2"/>
  <c r="C716" i="2"/>
  <c r="C717" i="2"/>
  <c r="C718" i="2"/>
  <c r="C719" i="2"/>
  <c r="C720" i="2"/>
  <c r="C721" i="2"/>
  <c r="C722" i="2"/>
  <c r="C723" i="2"/>
  <c r="C724" i="2"/>
  <c r="C725" i="2"/>
  <c r="C726" i="2"/>
  <c r="C727" i="2"/>
  <c r="C728" i="2"/>
  <c r="C729" i="2"/>
  <c r="C730" i="2"/>
  <c r="C731" i="2"/>
  <c r="C732" i="2"/>
  <c r="C733" i="2"/>
  <c r="C734" i="2"/>
  <c r="C735" i="2"/>
  <c r="C736" i="2"/>
  <c r="C737" i="2"/>
  <c r="C738" i="2"/>
  <c r="C739" i="2"/>
  <c r="C740" i="2"/>
  <c r="C741" i="2"/>
  <c r="C742" i="2"/>
  <c r="C743" i="2"/>
  <c r="C744" i="2"/>
  <c r="C745" i="2"/>
  <c r="C746" i="2"/>
  <c r="C747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12" i="2"/>
  <c r="D313" i="2"/>
  <c r="D316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C783" i="2"/>
  <c r="C782" i="2"/>
  <c r="C781" i="2"/>
  <c r="C780" i="2"/>
  <c r="C779" i="2"/>
  <c r="C778" i="2"/>
  <c r="C777" i="2"/>
  <c r="C776" i="2"/>
  <c r="C775" i="2"/>
  <c r="C774" i="2"/>
  <c r="C772" i="2"/>
  <c r="C770" i="2"/>
  <c r="C768" i="2"/>
  <c r="C766" i="2"/>
  <c r="C764" i="2"/>
  <c r="C762" i="2"/>
  <c r="C760" i="2"/>
  <c r="C758" i="2"/>
  <c r="C756" i="2"/>
  <c r="C754" i="2"/>
  <c r="C752" i="2"/>
  <c r="C750" i="2"/>
  <c r="C748" i="2"/>
</calcChain>
</file>

<file path=xl/sharedStrings.xml><?xml version="1.0" encoding="utf-8"?>
<sst xmlns="http://schemas.openxmlformats.org/spreadsheetml/2006/main" count="7732" uniqueCount="3213">
  <si>
    <t>CODIGO</t>
  </si>
  <si>
    <t>DESCRIPCION</t>
  </si>
  <si>
    <t>PRECIO</t>
  </si>
  <si>
    <t>FOTO "CONTROL + H"</t>
  </si>
  <si>
    <t>ARTICULO</t>
  </si>
  <si>
    <t>ACCESORIO CLIP P/MOLLE NIVEL 2 N2-5M FUN</t>
  </si>
  <si>
    <t>AEROSOL GAS SABRE 150499 - 60 GRS AB</t>
  </si>
  <si>
    <t>AEROSOL GAS SABRE 150500 - 120 GRS AB</t>
  </si>
  <si>
    <t>AEROSOL GAS SMITH AND WESSON 22 GR MIN</t>
  </si>
  <si>
    <t>AMBO 46/54 RER</t>
  </si>
  <si>
    <t>ANTIPARRA 3000MS/19.00 GLA</t>
  </si>
  <si>
    <t>ANTIPARRA 3000RM/19.00 GLA</t>
  </si>
  <si>
    <t>ANTIPARRA SPORT 3000BM/19.00 GLA</t>
  </si>
  <si>
    <t>BAND ARG GENDARMERIA NACIONAL</t>
  </si>
  <si>
    <t>BANDERA ARG  BAJA VISIB BARG BI</t>
  </si>
  <si>
    <t>BANDERA ARG BORD LARGA BI</t>
  </si>
  <si>
    <t>BANDERA S.CRUZ  RER 077 RER</t>
  </si>
  <si>
    <t>BANDOLERA DE CUERO LABRADA 1042 TB</t>
  </si>
  <si>
    <t>BAQUETA GRUESO CALIBRE 8 1002 KAE</t>
  </si>
  <si>
    <t>BARBIJO CORDON BICOLOR RER</t>
  </si>
  <si>
    <t>BASE ACRIL. 3 TRES ESTRELLAS 2X10 RER</t>
  </si>
  <si>
    <t>BASE ACRIL. 4 CUATRO ESTRELLAS 2X10 RER</t>
  </si>
  <si>
    <t>BASE DE TELA</t>
  </si>
  <si>
    <t>BASTON ACERO EXT. FUNDA POLIA C RER</t>
  </si>
  <si>
    <t>BASTON EXTENSIBLE CROM. C/ROMPEVID 5736-</t>
  </si>
  <si>
    <t>BASTON EXTENSIBLE POLICE NEGRO CROM IMP</t>
  </si>
  <si>
    <t>BASTON EXTENSIBLE POLICE RER</t>
  </si>
  <si>
    <t>BASTON FLEXIBLE 45 CM RER209</t>
  </si>
  <si>
    <t>BERMUDA CARGO GAB NEGRA 34/48 RER</t>
  </si>
  <si>
    <t>BERMUDA NEGRA / AZUL UCAR RER</t>
  </si>
  <si>
    <t>BICI ELECTRICA ROBSTEP 4.4 BLUE E-BIKE</t>
  </si>
  <si>
    <t>BINOCULARES PROFESIONAL 25X60 L690 LUG</t>
  </si>
  <si>
    <t>BINOCULARES TASCO 10X25 RER</t>
  </si>
  <si>
    <t>BOINA LANA AZUL 5581-26-2/3</t>
  </si>
  <si>
    <t>BOINA PA¥O NEGRA RER</t>
  </si>
  <si>
    <t>BOINA PANA AZUL RER</t>
  </si>
  <si>
    <t>BOLSA DE DESCARTE MOLLE KAE</t>
  </si>
  <si>
    <t>BOLSA DORMIR MUMMY 300 MIC</t>
  </si>
  <si>
    <t>BOLSO MALETIN  PORTA PIST. RRD31 BLK</t>
  </si>
  <si>
    <t>BOLSO MOCHILA BET   ETCH02</t>
  </si>
  <si>
    <t>BOLSO/MORRAL MOLLE MOL-12 KAE</t>
  </si>
  <si>
    <t>BOMB AMER GAB AZUL 34/48 RER</t>
  </si>
  <si>
    <t>BOMB AMER GAB AZUL 50/54 RER</t>
  </si>
  <si>
    <t>BOMB AMER GAB AZUL 56/60 RER</t>
  </si>
  <si>
    <t>BOMB AMER GAB GRIS 34/48 RER</t>
  </si>
  <si>
    <t>BOMB AMER GAB GRIS 50/54 RER</t>
  </si>
  <si>
    <t>BOMB AMER GAB GRIS 56/60 RER</t>
  </si>
  <si>
    <t>BOMB AMER GAB GRIS 62/66 RER</t>
  </si>
  <si>
    <t>BOMB AMER GAB NEGRA 34/48 RER</t>
  </si>
  <si>
    <t>BOMB AMER GAB NEGRA 50/54 RER</t>
  </si>
  <si>
    <t>BOMB AMER GAB NEGRA 56/60 RER</t>
  </si>
  <si>
    <t>BOMB AMER GAB NEGRA 62/66 RER</t>
  </si>
  <si>
    <t>BOMB AMER RIP AZUL 34/48 RER</t>
  </si>
  <si>
    <t>BOMB AMER RIP AZUL 50/54 RER</t>
  </si>
  <si>
    <t>BOMB AMER RIP AZUL 56/60 RER</t>
  </si>
  <si>
    <t>BOMB AMER RIP AZUL NOCHE 50/54 RER</t>
  </si>
  <si>
    <t>BOMB AMER RIP AZUL NOCHE 56/60 RER</t>
  </si>
  <si>
    <t>BOMB AMER RIP DIGITAL GRIS 34/48 RER</t>
  </si>
  <si>
    <t>BOMB AMER RIP DIGITAL GRIS 50/54 RER</t>
  </si>
  <si>
    <t>BOMB AMER RIP DIGITAL GRIS 56/60 RER</t>
  </si>
  <si>
    <t>BOMB AMER RIP INFANTERIA 34/48 RER</t>
  </si>
  <si>
    <t>BOMB AMER RIP INFANTERIA 50/54 RER</t>
  </si>
  <si>
    <t>BOMB AMER RIP INFANTERIA 56/60 RER</t>
  </si>
  <si>
    <t>BOMB AMER RIP NEGRA 34/48 RER</t>
  </si>
  <si>
    <t>BOMB AMER RIP NEGRA 62/66 RER</t>
  </si>
  <si>
    <t>BOMB AMER RIP REQUISA 34/48 RER</t>
  </si>
  <si>
    <t>BOMB AMER RIP REQUISA 50/54 RER</t>
  </si>
  <si>
    <t>BOMB AMER RIP REQUISA 56/60 RER</t>
  </si>
  <si>
    <t>BOMB BOMBER AZUL 34/48 RER</t>
  </si>
  <si>
    <t>BOMB BOMBER AZUL 50/54 RER</t>
  </si>
  <si>
    <t>BOMB CLAS GAB AZUL 36/48 RER</t>
  </si>
  <si>
    <t>BOMB CLAS GAB AZUL 50/54 RER</t>
  </si>
  <si>
    <t>BOMB CLAS GAB AZUL 56/60 RER</t>
  </si>
  <si>
    <t>BOMB CLAS GAB AZUL 62/68 RER</t>
  </si>
  <si>
    <t>BOMB CLAS GAB BOLS RURAL AZUL 50/54</t>
  </si>
  <si>
    <t>BOMB CLAS GAB DAMA AZUL 34/48 RER</t>
  </si>
  <si>
    <t>BOMB CLAS GAB DAMA AZUL 50/54 RER</t>
  </si>
  <si>
    <t>BOMB CLAS GAB DAMA NEGRA 34/48 RER</t>
  </si>
  <si>
    <t>BOMB CLAS GAB GRIS 34/48 RER</t>
  </si>
  <si>
    <t>BOMB CLAS GAB GRIS 50/54 RER</t>
  </si>
  <si>
    <t>BOMB CLAS GAB GRIS 56/60 RER</t>
  </si>
  <si>
    <t>BOMB CLAS GAB NEGRA 34/48 RER</t>
  </si>
  <si>
    <t>BOMB CLAS GAB NEGRA 50/54 RER</t>
  </si>
  <si>
    <t>BOMB CLAS GAB NEGRA 62/66 RER</t>
  </si>
  <si>
    <t>BOMB CLAS GAB PENIT FEDERAL 34/48 RER</t>
  </si>
  <si>
    <t>BOMB CLAS GAB PENIT FEDERAL 50/54 RER</t>
  </si>
  <si>
    <t>BOMB CLAS RIP AZUL 36/48 RER</t>
  </si>
  <si>
    <t>BOMB CLAS RIP AZUL 50/54 RER</t>
  </si>
  <si>
    <t>BOMB CLAS RIP AZUL 56/60 RER</t>
  </si>
  <si>
    <t>BOMB CLAS RIP AZUL 62/66 RER</t>
  </si>
  <si>
    <t>BOMB CLAS RIP AZUL NEUQUEN 34/48 RER</t>
  </si>
  <si>
    <t>BOMB CLAS RIP AZUL NEUQUEN 50/54 RER</t>
  </si>
  <si>
    <t>BOMB CLAS RIP AZUL NEUQUEN 56/60 RER</t>
  </si>
  <si>
    <t>BOMB CLAS RIP AZUL NEUQUEN 62/66 RER</t>
  </si>
  <si>
    <t>BOMB CLAS RIP BEIGE 34/48 RER</t>
  </si>
  <si>
    <t>BOMB CLAS RIP BEIGE 50/54 RER</t>
  </si>
  <si>
    <t>BOMB CLAS RIP BEIGE 56/60 RER</t>
  </si>
  <si>
    <t>BOMB CLAS RIP DAMA AZUL 34/48 RER</t>
  </si>
  <si>
    <t>BOMB CLAS RIP DAMA AZUL 50/54 RER</t>
  </si>
  <si>
    <t>BOMB CLAS RIP DAMA NEGRA 36/48 RER</t>
  </si>
  <si>
    <t>BOMB CLAS RIP DAMA NEGRA 50/56 RER</t>
  </si>
  <si>
    <t>BOMB CLAS RIP DIGITAL BEIGE 34/48 RER</t>
  </si>
  <si>
    <t>BOMB CLAS RIP DIGITAL BEIGE 50/54 RER</t>
  </si>
  <si>
    <t>BOMB CLAS RIP DIGITAL BEIGE 56/60 RER</t>
  </si>
  <si>
    <t>BOMB CLAS RIP DIGITAL BEIGE 62/66 RER</t>
  </si>
  <si>
    <t>BOMB CLAS RIP EJERCITO 34/48 RER</t>
  </si>
  <si>
    <t>BOMB CLAS RIP EJERCITO 56/60 RER</t>
  </si>
  <si>
    <t>BOMB CLAS RIP GN VERDE 34/48 EM</t>
  </si>
  <si>
    <t>BOMB CLAS RIP GN VERDE 50/54 EM</t>
  </si>
  <si>
    <t>BOMB CLAS RIP GRIS 34/48 RER</t>
  </si>
  <si>
    <t>BOMB CLAS RIP GRIS 50/54 RER</t>
  </si>
  <si>
    <t>BOMB CLAS RIP GRIS 56/60 RER</t>
  </si>
  <si>
    <t>BOMB CLAS RIP INFANTERIA 34/48 RER</t>
  </si>
  <si>
    <t>BOMB CLAS RIP INFANTERIA 50/54 RER</t>
  </si>
  <si>
    <t>BOMB CLAS RIP INFANTERIA 56/60 RER</t>
  </si>
  <si>
    <t>BOMB CLAS RIP MIMET 2 COL GRIS 34/48 RER</t>
  </si>
  <si>
    <t>BOMB CLAS RIP MIMET 2 COL GRIS 50/54 RER</t>
  </si>
  <si>
    <t>BOMB CLAS RIP MIMET RURAL 34/48 RER</t>
  </si>
  <si>
    <t>BOMB CLAS RIP MIMET RURAL 50/54 RER</t>
  </si>
  <si>
    <t>BOMB CLAS RIP MULTICAM 34/48 RER</t>
  </si>
  <si>
    <t>BOMB CLAS RIP NEGRA 34/48 RER</t>
  </si>
  <si>
    <t>BOMB CLAS RIP NEGRA 50/54 RER</t>
  </si>
  <si>
    <t>BOMB CLAS RIP NEGRA 56/60 RER</t>
  </si>
  <si>
    <t>BOMB CLAS RIP NEGRA 62/66 RER</t>
  </si>
  <si>
    <t>BOMB CLAS RIP REQUISA 34/48 RER</t>
  </si>
  <si>
    <t>BOMB CLAS RIP REQUISA 50/54 RER</t>
  </si>
  <si>
    <t>BOMB CLAS RIP VERDE 36/48 RER</t>
  </si>
  <si>
    <t>BOMB CLAS RIP VERDE 50/54 RER</t>
  </si>
  <si>
    <t>BOMB CLAS RIP VIAL TMAN 56/60 RER</t>
  </si>
  <si>
    <t>BOMB CONDOR RIP AZUL 36/48 RER</t>
  </si>
  <si>
    <t>BOMB CONDOR RIP AZUL 50/54 RER</t>
  </si>
  <si>
    <t>BOMB CONDOR RIP AZUL 56/60 RER</t>
  </si>
  <si>
    <t>BOMB CONDOR RIP NEGRA 36/48 RER</t>
  </si>
  <si>
    <t>BOMB CONDOR RIP NEGRA 50/54 RER</t>
  </si>
  <si>
    <t>BOMB CONDOR RIP NEGRA 56/60 RER</t>
  </si>
  <si>
    <t>BOMB HAGANA RIP AZUL 36/48 RER</t>
  </si>
  <si>
    <t>BOMB HAGANA RIP DIGITAL VERDE 36/48 RER</t>
  </si>
  <si>
    <t>BOMB HAGANA RIP NEGRA 36/48 RER</t>
  </si>
  <si>
    <t>BOMB HAGANA RIP NEGRA 50/54 RER</t>
  </si>
  <si>
    <t>BOMB JAZAK GAB AZUL 34/48 RER</t>
  </si>
  <si>
    <t>BOMB JAZAK GAB AZUL 50/54 RER</t>
  </si>
  <si>
    <t>BOMB JAZAK GAB AZUL 56/60 RER</t>
  </si>
  <si>
    <t>BOMB JAZAK GAB NEGRA 34/48 RER</t>
  </si>
  <si>
    <t>BOMB JAZAK GAB NEGRA 50/54 RER</t>
  </si>
  <si>
    <t>BOMB JAZAK GAB NEGRA 56/60 RER</t>
  </si>
  <si>
    <t>BOMB JAZAK RIP AZUL 34/48 RER</t>
  </si>
  <si>
    <t>BOMB JAZAK RIP AZUL 50/54 RER</t>
  </si>
  <si>
    <t>BOMB JAZAK RIP AZUL 56/60 RER</t>
  </si>
  <si>
    <t>BOMB JAZAK RIP GRIS 50/54 RER</t>
  </si>
  <si>
    <t>BOMB JAZAK RIP INFANTERIA 34/48 RER</t>
  </si>
  <si>
    <t>BOMB JAZAK RIP INFANTERIA 50/54 RER</t>
  </si>
  <si>
    <t>BOMB JAZAK RIP NEGRO 34/48 RER</t>
  </si>
  <si>
    <t>BOMB JAZAK RIP NEGRO 50/54 RER</t>
  </si>
  <si>
    <t>BOMB JAZAK RIP NEGRO 56/60 RER</t>
  </si>
  <si>
    <t>BOMB KADIMA GAB AZUL 34/48 RER</t>
  </si>
  <si>
    <t>BOMB KADIMA GAB AZUL 50/54 RER</t>
  </si>
  <si>
    <t>BOMB KADIMA GAB NEGRA 34/48 RER</t>
  </si>
  <si>
    <t>BOMB KADIMA GAB NEGRA 50/54 RER</t>
  </si>
  <si>
    <t>BOMB TERMICA AZUL 36/48 RER</t>
  </si>
  <si>
    <t>BOMB TERMICA AZUL 50/54 RER</t>
  </si>
  <si>
    <t>BOMB TERMICA AZUL 56/60 RER</t>
  </si>
  <si>
    <t>BOMB TERMICA NEGRA 34/48 RER</t>
  </si>
  <si>
    <t>BOMB TERMICA NEGRA 50/54 RER</t>
  </si>
  <si>
    <t>BOMB TERMICA NEGRA 56/60 RER</t>
  </si>
  <si>
    <t>BONNY RIP BEIGE RER</t>
  </si>
  <si>
    <t>BORCEGUI ALTA MONTA¥A RER</t>
  </si>
  <si>
    <t>BORCEGUI COMANDO RERDA ART60 CIERRE CAR</t>
  </si>
  <si>
    <t>BORCEGUI CON PELUCHE CC</t>
  </si>
  <si>
    <t>BORCEGUI CUERO  CLASICO RER</t>
  </si>
  <si>
    <t>BORCEGUI TACTICO RERDA LMGE CC</t>
  </si>
  <si>
    <t>BORCEGUI TACTICO RERDA T. ESPECIAL RER</t>
  </si>
  <si>
    <t>BORCEGUI TODO CUERO RERDA RER</t>
  </si>
  <si>
    <t>BOTIN AMERICANO RER</t>
  </si>
  <si>
    <t>BOTIN CLASICO RER</t>
  </si>
  <si>
    <t>BOTIN DE TRABAJO PUNTA ACERO NEGRO AFU</t>
  </si>
  <si>
    <t>BOTIN PRUSIANO MARRON RER</t>
  </si>
  <si>
    <t>BOTIN PRUSIANO NEGRO RER</t>
  </si>
  <si>
    <t>BRAZALATE G.N RER</t>
  </si>
  <si>
    <t>BRAZALETE PARACAIDISTA CUERDA</t>
  </si>
  <si>
    <t>BRAZALETE PARACOR SILVAT+BRUJ+PEDERN RER</t>
  </si>
  <si>
    <t>BREECHES AZUL 34/48 RER</t>
  </si>
  <si>
    <t>BREECHES AZUL 50/54 RER</t>
  </si>
  <si>
    <t>BREECHES NEGRO 34/48 RER</t>
  </si>
  <si>
    <t>BREECHES NEGRO 50/54 RER</t>
  </si>
  <si>
    <t>BRUJULA COMPASS 5734-3,48/3</t>
  </si>
  <si>
    <t>BRUJULA METAL MILITAR RER</t>
  </si>
  <si>
    <t>BRUJULA RER</t>
  </si>
  <si>
    <t>BUZO FRIZA AZUL CON CIERRE 3XS/2XL RER</t>
  </si>
  <si>
    <t>BUZO FRIZA NEGRO CON CIERRE 3XS/2XL RER</t>
  </si>
  <si>
    <t>BUZO FRIZA POLICIA CIENTIFICA RER</t>
  </si>
  <si>
    <t>CACHAS 11.25 BALLESTER  10431 RER</t>
  </si>
  <si>
    <t>CACHAS ANATOMICAS BERSA  10442 RER</t>
  </si>
  <si>
    <t>CACHAS ANATOMICAS TAURUS KAE</t>
  </si>
  <si>
    <t>CACHAS BROWNING HI-POWER 10421 KAE</t>
  </si>
  <si>
    <t>CAMISA MC BAT AZUL CORBATA 34/44 RER</t>
  </si>
  <si>
    <t>CAMISA MC BAT AZUL CORBATA 46/50 RER</t>
  </si>
  <si>
    <t>CAMISA MC BAT AZUL CORBATA 52/56 RER</t>
  </si>
  <si>
    <t>CAMISA MC BAT AZUL SOLAPA 34/44 RER</t>
  </si>
  <si>
    <t>CAMISA MC BAT AZUL SOLAPA 46/50 RER</t>
  </si>
  <si>
    <t>CAMISA MC BAT AZUL SOLAPA 52/56 RER</t>
  </si>
  <si>
    <t>CAMISA MC BAT BEIGE LMGE 46/50 RER</t>
  </si>
  <si>
    <t>CAMISA MC BAT BEIGE LMGE 58/62 RER</t>
  </si>
  <si>
    <t>CAMISA MC BAT BLANCA CORB TUCU 46/50 RER</t>
  </si>
  <si>
    <t>CAMISA MC BAT BLANCA CORB TUCU 52/56 RER</t>
  </si>
  <si>
    <t>CAMISA MC BAT BLANCA SIR JONS 34/44 RER</t>
  </si>
  <si>
    <t>CAMISA MC BAT BLANCA SOLAPA 34/44 RER</t>
  </si>
  <si>
    <t>CAMISA MC BAT BLANCA SOLAPA 46/50 RER</t>
  </si>
  <si>
    <t>CAMISA MC BAT BLANCA SOLAPA 52/56 RER</t>
  </si>
  <si>
    <t>CAMISA MC BAT BLANCA SOLAPA 58/62 RER</t>
  </si>
  <si>
    <t>CAMISA MC BAT CEL CORBATA 34/44 RER</t>
  </si>
  <si>
    <t>CAMISA MC BAT CEL CORBATA 46/50 RER</t>
  </si>
  <si>
    <t>CAMISA MC BAT CEL CORBATA 52/56 RER</t>
  </si>
  <si>
    <t>CAMISA MC BAT CEL CORBATA 58/62 RER</t>
  </si>
  <si>
    <t>CAMISA MC BAT CEL NQN CESC COR 34/44 RER</t>
  </si>
  <si>
    <t>CAMISA MC BAT CEL NQN CESC COR 46/50 RER</t>
  </si>
  <si>
    <t>CAMISA MC BAT CEL NQN CESC COR 52/56 RER</t>
  </si>
  <si>
    <t>CAMISA MC BAT CEL NQN CORB 34/44 RER</t>
  </si>
  <si>
    <t>CAMISA MC BAT CEL NQN CORB 46/50 RER</t>
  </si>
  <si>
    <t>CAMISA MC BAT CEL NQN SOLAP 46/50 RER</t>
  </si>
  <si>
    <t>CAMISA MC BAT CEL NQN SOLAP 52/56 RER</t>
  </si>
  <si>
    <t>CAMISA MC BAT CEL SIR JONS 34/44 RER</t>
  </si>
  <si>
    <t>CAMISA MC BAT CEL SOLAPA 34/44 RER</t>
  </si>
  <si>
    <t>CAMISA MC BAT CEL SOLAPA 46/50 RER</t>
  </si>
  <si>
    <t>CAMISA MC BAT CEL SOLAPA 52/56 RER</t>
  </si>
  <si>
    <t>CAMISA MC BAT CEL SOLAPA 58/62 RER</t>
  </si>
  <si>
    <t>CAMISA MC BAT CELESTE ITAL 32/44 RER</t>
  </si>
  <si>
    <t>CAMISA MC BAT CELESTE ITAL 46/50 RER</t>
  </si>
  <si>
    <t>CAMISA MC BAT GRIS CORBATA 34/44 RER</t>
  </si>
  <si>
    <t>CAMISA MC BAT GRIS CORBATA 46/50 RER</t>
  </si>
  <si>
    <t>CAMISA MC BAT GRIS SOLAPA 34/44 RER</t>
  </si>
  <si>
    <t>CAMISA MC BAT GRIS SOLAPA 46/50 RER</t>
  </si>
  <si>
    <t>CAMISA MC BAT GRIS SOLAPA 52/56 RER</t>
  </si>
  <si>
    <t>CAMISA MC BAT GRIS TORC CORB 34/44 RER</t>
  </si>
  <si>
    <t>CAMISA MC BAT GRIS TORC CORB 46/50 RER</t>
  </si>
  <si>
    <t>CAMISA MC BAT GRIS TORC CORB 52/56 RER</t>
  </si>
  <si>
    <t>CAMISA MC BAT GRIS TORC SOLAPA 34/44 RER</t>
  </si>
  <si>
    <t>CAMISA MC BAT GRIS TORC SOLAPA 46/50 RER</t>
  </si>
  <si>
    <t>CAMISA MC BAT NEGRA CON FUELLE 36/44 RER</t>
  </si>
  <si>
    <t>CAMISA MC BAT NEGRA CON FUELLE 46/52 RER</t>
  </si>
  <si>
    <t>CAMISA MC BAT NEGRA CORBATA 34/44 RER</t>
  </si>
  <si>
    <t>CAMISA MC BAT NEGRA CORBATA 46/50 RER</t>
  </si>
  <si>
    <t>CAMISA MC BAT NEGRA CORBATA 52/56 RER</t>
  </si>
  <si>
    <t>CAMISA MC BAT NEGRA SOLAPA 34/44 RER</t>
  </si>
  <si>
    <t>CAMISA MC BAT NEGRA SOLAPA 46/50 RER</t>
  </si>
  <si>
    <t>CAMISA ML BAT AZUL 52/56 RER</t>
  </si>
  <si>
    <t>CAMISA ML BAT BEIGE LMGE 34/44 RER</t>
  </si>
  <si>
    <t>CAMISA ML BAT BEIGE LMGE 46/50 RER</t>
  </si>
  <si>
    <t>CAMISA ML BAT BLANCA 34/44 RER</t>
  </si>
  <si>
    <t>CAMISA ML BAT BLANCA 46/50 RER</t>
  </si>
  <si>
    <t>CAMISA ML BAT BLANCA 52/56 RER</t>
  </si>
  <si>
    <t>CAMISA ML BAT BLANCA 58/66 RER</t>
  </si>
  <si>
    <t>CAMISA ML BAT CEL NQN 34/44 RER</t>
  </si>
  <si>
    <t>CAMISA ML BAT CEL NQN 46/50 RER</t>
  </si>
  <si>
    <t>CAMISA ML BAT CEL NQN C/ESC 46/50 RER</t>
  </si>
  <si>
    <t>CAMISA ML BAT CELESTE 34/44 RER</t>
  </si>
  <si>
    <t>CAMISA ML BAT CELESTE 46/50 RER</t>
  </si>
  <si>
    <t>CAMISA ML BAT CELESTE 52/56 RER</t>
  </si>
  <si>
    <t>CAMISA ML BAT CELESTE 58/62 RER</t>
  </si>
  <si>
    <t>CAMISA ML BAT CELESTE 64/66 RER</t>
  </si>
  <si>
    <t>CAMISA ML BAT CELESTE VIP 34/44 RER</t>
  </si>
  <si>
    <t>CAMISA ML BAT CELESTE VIP 46/50 RER</t>
  </si>
  <si>
    <t>CAMISA ML BAT CELESTE VIP 52/56 RER</t>
  </si>
  <si>
    <t>CAMISA ML BAT CELESTE VIP 58/66 RER</t>
  </si>
  <si>
    <t>CAMISA ML BAT CLTE ITAL 32/44 RER</t>
  </si>
  <si>
    <t>CAMISA ML BAT CLTE ITAL 46/50 RER</t>
  </si>
  <si>
    <t>CAMISA ML BAT CLTE ITAL 52/56 RER</t>
  </si>
  <si>
    <t>CAMISA ML BAT GRIS 34/44 RER</t>
  </si>
  <si>
    <t>CAMISA ML BAT GRIS 46/50 RER</t>
  </si>
  <si>
    <t>CAMISA ML BAT GRIS 52/56 RER</t>
  </si>
  <si>
    <t>CAMISA ML BAT GRIS TORC 34/44 RER</t>
  </si>
  <si>
    <t>CAMISA ML BAT GRIS TORC 46/50 RER</t>
  </si>
  <si>
    <t>CAMISA ML BAT GRIS TORC 52/56 RER</t>
  </si>
  <si>
    <t>CAMISA ML BAT NEGRA 34/44 RER</t>
  </si>
  <si>
    <t>CAMISA ML BAT NEGRA 46/50 RER</t>
  </si>
  <si>
    <t>CAMISA ML BAT NEGRA 52/56 RER</t>
  </si>
  <si>
    <t>CAMISA ML BAT NEGRA C/FUELLE 34/44 RER</t>
  </si>
  <si>
    <t>CAMISA ML BAT NEGRA C/FUELLE 46/50 RER</t>
  </si>
  <si>
    <t>CAMISA ML CUELLO BLAN MAO RER</t>
  </si>
  <si>
    <t>CAMISA ML GAB GRIS ACERO SPF 34/44 RER</t>
  </si>
  <si>
    <t>CAMISA ML GAB GRIS ACERO SPF 46/50 RER</t>
  </si>
  <si>
    <t>CAMISA ML RIP AZUL 34/44 RER</t>
  </si>
  <si>
    <t>CAMISA ML RIP AZUL 46/50 RER</t>
  </si>
  <si>
    <t>CAMISA ML RIP AZUL 52/56 RER</t>
  </si>
  <si>
    <t>CAMISA ML RIP GRIS 52/56 RER</t>
  </si>
  <si>
    <t>CAMISA ML RIP GRIS 58/62 RER</t>
  </si>
  <si>
    <t>CAMISA ML RIP NEGRA 34/44 RER</t>
  </si>
  <si>
    <t>CAMISA ML RIP VERDE 34/44 RER</t>
  </si>
  <si>
    <t>CAMOING CATRE STEEL RER</t>
  </si>
  <si>
    <t>CAMP ALPHA MJB34000 BUBBLE D 3XL RER</t>
  </si>
  <si>
    <t>CAMP ALPHA MJC2000C4 45/P 2XL LUG</t>
  </si>
  <si>
    <t>CAMP ALPHA MJI43910C1 LUG</t>
  </si>
  <si>
    <t>CAMP ALPHA MJM113132C1 SUMMIT 3XL RER</t>
  </si>
  <si>
    <t>CAMP ALPHA MJM21000C4 MA-1 3XL RER</t>
  </si>
  <si>
    <t>CAMP ALPHA MJM21000C4 MA-1 LUG</t>
  </si>
  <si>
    <t>CAMP ALPHA MJM22000C4 45/P 3XL LUG</t>
  </si>
  <si>
    <t>CAMP ALPHA MJN31000 XXL LUG</t>
  </si>
  <si>
    <t>CAMP ALPHA MJN4451C1 N-2B SONIC LUG</t>
  </si>
  <si>
    <t>CAMP ALPHA MVF43901C1 FEROCITY 2XL RER</t>
  </si>
  <si>
    <t>CAMP BERNA VESTIR/VIVO AZ/NE WKB682 GYG</t>
  </si>
  <si>
    <t>CAMP CORTA CUELLO DESMONT AZUL EM</t>
  </si>
  <si>
    <t>CAMP CORTA CUELLO DESMONT GRIS EM</t>
  </si>
  <si>
    <t>CAMP CORTA CUELLO DESMONT NEGRA EM</t>
  </si>
  <si>
    <t>CAMP DESM OFERTA RER</t>
  </si>
  <si>
    <t>CAMP GOLAN  POLAR CIENTIFICA RER</t>
  </si>
  <si>
    <t>CAMP INVEST AZUL RER</t>
  </si>
  <si>
    <t>CAMP INVEST AZUL T.E. 3XL/4XL RER</t>
  </si>
  <si>
    <t>CAMP INVEST GRIS BI</t>
  </si>
  <si>
    <t>CAMP INVEST NEGRA RER</t>
  </si>
  <si>
    <t>CAMP INVEST NEGRA T.E. 3XL/4XL RER</t>
  </si>
  <si>
    <t>CAMP MJB39000 RER</t>
  </si>
  <si>
    <t>CAMP MJM21000 XXL RER</t>
  </si>
  <si>
    <t>CAMP MJM22000 RER</t>
  </si>
  <si>
    <t>CAMP MONTREAL AZ INFLA/POLAR LB2022 GYG</t>
  </si>
  <si>
    <t>CAMP MONTREAL NE INFLA/POLARLB2022 GYG</t>
  </si>
  <si>
    <t>CAMP MVF43901 FEROCITY VEST RER</t>
  </si>
  <si>
    <t>CAMP NEO SOFT SHELL AZUL 2XS/2XL RER</t>
  </si>
  <si>
    <t>CAMP NEO SOFT SHELL AZUL 3XL/5XL RER</t>
  </si>
  <si>
    <t>CAMP NEO SOFT SHELL GRIS 2XS/2XL RER</t>
  </si>
  <si>
    <t>CAMP NEO SOFT SHELL GRIS 3XL/5XL RER</t>
  </si>
  <si>
    <t>CAMP NEO SOFT SHELL NEGRA 2XS/2XL RER</t>
  </si>
  <si>
    <t>CAMP NEO SOFT SHELL NEGRA 3XL/5XL RER</t>
  </si>
  <si>
    <t>CAMP PALMAJ AZUL 3XL/4XL RER</t>
  </si>
  <si>
    <t>CAMP PALMAJ AZUL 3XS/2XL RER</t>
  </si>
  <si>
    <t>CAMP PALMAJ CIENTIFICA RER</t>
  </si>
  <si>
    <t>CAMP PALMAJ GRIS 2XS/2XL RER</t>
  </si>
  <si>
    <t>CAMP PALMAJ GRIS 3XL/5XL RER</t>
  </si>
  <si>
    <t>CAMP PALMAJ NEGRA 2XS/2XL RER</t>
  </si>
  <si>
    <t>CAMP PALMAJ NEGRA 3XL/6XL RER</t>
  </si>
  <si>
    <t>CAMP PLUMA AZUL ULTRA LIGTH ORIG RER</t>
  </si>
  <si>
    <t>CAMP PLUMA SIN CAPU NEGRA ARD</t>
  </si>
  <si>
    <t>CAMP POL TUCUMAN URBANA  2XS/2XL RER</t>
  </si>
  <si>
    <t>CAMP POL TUCUMAN URBANA 3XL/5XL RER</t>
  </si>
  <si>
    <t>CAMP POLAR AMERICANA AZUL RER</t>
  </si>
  <si>
    <t>CAMP POLAR AMERICANA GRIS RER</t>
  </si>
  <si>
    <t>CAMP POLAR AMERICANA NEGRA RER</t>
  </si>
  <si>
    <t>CAMP POLAR HARVA AZUL/NEGRO (4 USOS</t>
  </si>
  <si>
    <t>CAMP POLAR HARVA GRIS/NEGRO (4 USOS</t>
  </si>
  <si>
    <t>CAMP POLICIA SANTA CRUZ 2COL 2XS/2XL RER</t>
  </si>
  <si>
    <t>CAMP REVERS NEGRO/AZUL ALFHA RER</t>
  </si>
  <si>
    <t>CAMP REVERS NEGRO/GRIS  ALFHA RER</t>
  </si>
  <si>
    <t>CAMP RURAL NYLON SOFT IMPER. NELB102 GYG</t>
  </si>
  <si>
    <t>CAMP SOFT AZUL RER</t>
  </si>
  <si>
    <t>CAMP SOFT JAYAL AZUL 2XS/2XL</t>
  </si>
  <si>
    <t>CAMP SOFT JAYAL AZUL 3XL/6XL</t>
  </si>
  <si>
    <t>CAMP SOFT JAYAL NEGRA 2XS/2XL</t>
  </si>
  <si>
    <t>CAMP SOFTSHEL FRACTION AZUL 2XS/3XL RER</t>
  </si>
  <si>
    <t>CAMP SOFTSHEL FRACTION VERDE RER</t>
  </si>
  <si>
    <t>CAMP SOFTSHEL PREMIUM AZUL 2XS/2XL RER</t>
  </si>
  <si>
    <t>CAMP SOFTSHEL PREMIUM AZUL 3XL/6XL RER</t>
  </si>
  <si>
    <t>CAMP SOFTSHEL PREMIUM NEGRA 2XS/2XL RER</t>
  </si>
  <si>
    <t>CAMP SOFTSHEL PREMIUM NEGRA 3XL/6XL RER</t>
  </si>
  <si>
    <t>CAMP TERMICO AZUL CUELLO 2XS/2XL RER</t>
  </si>
  <si>
    <t>CAMP TERMICO GRIS CUELLO 2XS/2XL RER</t>
  </si>
  <si>
    <t>CAMP USPALLATA SOFT NEGRA LB1209 GYG</t>
  </si>
  <si>
    <t>CAMP VERDE FLUOR TUCUMAN RER</t>
  </si>
  <si>
    <t>CAMP VERDE POLAR LMGE RER</t>
  </si>
  <si>
    <t>CAMP WJS43901 SARAH RER</t>
  </si>
  <si>
    <t>CAMPERA PLUMA LB CON CAPUCHA ART.106 RER</t>
  </si>
  <si>
    <t>CAMPERA PLUMA NE OPACO S/CAP ART.202 RER</t>
  </si>
  <si>
    <t>CAMPING FAROL WOLL 009 RER</t>
  </si>
  <si>
    <t>CANANA PORTA CART 8T T660 TB</t>
  </si>
  <si>
    <t>CANANA PORTA CART CULATA 8T T661 TB</t>
  </si>
  <si>
    <t>CAPA  PONCHO PARA LLUVIA RER</t>
  </si>
  <si>
    <t>CAPA AGUA 2 RER</t>
  </si>
  <si>
    <t>CAPA PARA AGUA AMARILLA RER</t>
  </si>
  <si>
    <t>CARDIGAN AZUL LMGE RER</t>
  </si>
  <si>
    <t>CARGADOR BERSA THUNDER 10070 RER</t>
  </si>
  <si>
    <t>CARGADOR BHP 10012 RER</t>
  </si>
  <si>
    <t>CARPA 6 PERSONAS IMP</t>
  </si>
  <si>
    <t>CARPA DOME 150X200 RER</t>
  </si>
  <si>
    <t>CARPA DOME 210X210 RER</t>
  </si>
  <si>
    <t>CARPA DOME 240X210 RER</t>
  </si>
  <si>
    <t>CARPA DOME 3 9003 MIC</t>
  </si>
  <si>
    <t>CARPA EASYCAMP 2 PERSONAS RDT052 MIC</t>
  </si>
  <si>
    <t>CARPA EASYCAMP 4 PERSONAS RDT054 MIC</t>
  </si>
  <si>
    <t>CARPA NAWATA 4 9004 MIC</t>
  </si>
  <si>
    <t>CARPA SUPER EASY II 9002 MIC</t>
  </si>
  <si>
    <t>CASQ AMER REVER RIP STOP</t>
  </si>
  <si>
    <t>CASQ ARMADO  VERDE</t>
  </si>
  <si>
    <t>CASQ ARMADO AZUL</t>
  </si>
  <si>
    <t>CASQ GAB AZUL IMPORTADO CON TRABA</t>
  </si>
  <si>
    <t>CASQ GRIS BORD NEUQUEN</t>
  </si>
  <si>
    <t>CASQ NEGRO BORD NEUQUEN</t>
  </si>
  <si>
    <t>CASQ REVER GABARD.</t>
  </si>
  <si>
    <t>CASQ REVERS VIAL TMAN</t>
  </si>
  <si>
    <t>CASQ RIP AZUL C/OJALILLOS IMP</t>
  </si>
  <si>
    <t>CASQ RIP AZUL CRIO GENERAL VISERA BORD</t>
  </si>
  <si>
    <t>CASQ RIP AZUL SUBCRIO/CRIO VISERA BORD</t>
  </si>
  <si>
    <t>CASQ RIP DIGITAL ACU</t>
  </si>
  <si>
    <t>CASQ RIP GRIS ABROJO</t>
  </si>
  <si>
    <t>CASQ RIP INFANTERIA CON ABROJO</t>
  </si>
  <si>
    <t>CASQ RIP NEGRO ABROJO</t>
  </si>
  <si>
    <t>CASQ RIP NEGRO C/OJALILLOS IMP</t>
  </si>
  <si>
    <t>CASQ RIP NEGRO NQUEN. VISERA BORDADA RER</t>
  </si>
  <si>
    <t>CASQ RIP NEGRO SUBCRIO/CRIO VISERA BORD</t>
  </si>
  <si>
    <t>CASQ RIP REQUISA</t>
  </si>
  <si>
    <t>CHALECO ARNES ISRAELI MOLLE RRD1 BLK</t>
  </si>
  <si>
    <t>CHALECO ARNES VIAL VERDE GN RRD2b BLK</t>
  </si>
  <si>
    <t>CHALECO BANDOLERA C/CARTEL NARA 2020 HAI</t>
  </si>
  <si>
    <t>CHALECO BOMBERO C/REFLECIVA RER</t>
  </si>
  <si>
    <t>CHALECO C/V LANA NEGRO MILIT EMTRI007 EM</t>
  </si>
  <si>
    <t>CHALECO CARRIER  LISO CON P/ELEMENT RER</t>
  </si>
  <si>
    <t>CHALECO CARRIER SIN PORTA ELEMENTOS RER</t>
  </si>
  <si>
    <t>CHALECO DE TRANSPORTE RIV / RRD5 RER</t>
  </si>
  <si>
    <t>CHALECO FLUOR VERDE ECONOMICO NQN LUG</t>
  </si>
  <si>
    <t>CHALECO FUNDA ALPHA BALISTICA RRD42 BLK</t>
  </si>
  <si>
    <t>CHALECO FUNDA BALIST MOLLE RRD4 BLK</t>
  </si>
  <si>
    <t>CHALECO FUNDA BALISTICA BASICA RRD6 BLK</t>
  </si>
  <si>
    <t>CHALECO FUNDA BALISTICA COMPL RRD7 BLK</t>
  </si>
  <si>
    <t>CHALECO LANA AZUL MILTAR RER</t>
  </si>
  <si>
    <t>CHALECO PORTA PLACAS C/PORTA ELEM. ETCH</t>
  </si>
  <si>
    <t>CHALECO RHIN UNIQLO SOFT NEG LBH817 GYG</t>
  </si>
  <si>
    <t>CHALECO TACTICO RRD3 BLK</t>
  </si>
  <si>
    <t>CHAQUETILLA POLICIA/PENIT 176N0110 FC</t>
  </si>
  <si>
    <t>CHOMBA MC CIERRE AZ 3XL/5XL RER</t>
  </si>
  <si>
    <t>CHOMBA MC CIERRE AZ 3XS/2XL RER</t>
  </si>
  <si>
    <t>CHOMBA MC CIERRE BOMBERO 3XS/2XL RER</t>
  </si>
  <si>
    <t>CHOMBA MC CIERRE CIENTIFICA RER</t>
  </si>
  <si>
    <t>CHOMBA MC CIERRE GR 3XL/5XL RER</t>
  </si>
  <si>
    <t>CHOMBA MC CIERRE GR 3XS/2XL RER</t>
  </si>
  <si>
    <t>CHOMBA MC CIERRE NE + ESTAM 3XS/2XL RER</t>
  </si>
  <si>
    <t>CHOMBA MC CIERRE NE 3XL/5XL RER</t>
  </si>
  <si>
    <t>CHOMBA MC CIERRE NE 3XS/2XL RER</t>
  </si>
  <si>
    <t>CHOMBA MC POLO AZ + BAND 3XL/4XL RER</t>
  </si>
  <si>
    <t>CHOMBA MC POLO AZ + BAND 3XS/2XL RER</t>
  </si>
  <si>
    <t>CHOMBA MC POLO BLANCA 3XL/5XL RER</t>
  </si>
  <si>
    <t>CHOMBA MC POLO BLANCA 3XS/2XL RER</t>
  </si>
  <si>
    <t>CHOMBA MC POLO GRIS + BAND 3XS/2XL RER</t>
  </si>
  <si>
    <t>CHOMBA MC POLO NEGRA 3XL/5XL RER</t>
  </si>
  <si>
    <t>CHOMBA MC POLO NEGRA 3XS/2XL RER</t>
  </si>
  <si>
    <t>CHOMBA ML CIERRE AZ 3XL/5XL RER</t>
  </si>
  <si>
    <t>CHOMBA ML CIERRE AZ 3XS/2XL RER</t>
  </si>
  <si>
    <t>CHOMBA ML CIERRE CIENTIFICA RER</t>
  </si>
  <si>
    <t>CHOMBA ML CIERRE GR 3XL/6XL RER</t>
  </si>
  <si>
    <t>CHOMBA ML CIERRE GR 3XS/2XL RER</t>
  </si>
  <si>
    <t>CHOMBA ML CIERRE NE 3XS/2XL RER</t>
  </si>
  <si>
    <t>CHOMBA ML COMBAT RRD INFANTERIA RER</t>
  </si>
  <si>
    <t>CHOMBA ML POLO BLANCA LMGE RER</t>
  </si>
  <si>
    <t>CINTA LAUREADA AMARILLA RER</t>
  </si>
  <si>
    <t>CINTO DELTA XTL 549 BEIGE XTR</t>
  </si>
  <si>
    <t>CINTO DELTA XTL 549 NEGRO XTR</t>
  </si>
  <si>
    <t>CINTO DELTA XTL 549 VERDE XTR</t>
  </si>
  <si>
    <t>CINTURON AMERIC GRIS T650 TB</t>
  </si>
  <si>
    <t>CINTURON AMERIC NEGRO T650 MAZ TB</t>
  </si>
  <si>
    <t>CINTURON AMERIC TRIPLE SEG 018 H CUA RER</t>
  </si>
  <si>
    <t>CINTURON AMERIC VERDE T650 TB RER</t>
  </si>
  <si>
    <t>CINTURON CUERO OFICAL SIN DADO 1050 TB</t>
  </si>
  <si>
    <t>CINTURON CUERO OFICIAL CON DADO 1033 TB</t>
  </si>
  <si>
    <t>CINTURON CUERO TROPA 1032 TB</t>
  </si>
  <si>
    <t>CINTURON GALA POLICIA DORA S/HEBILLA</t>
  </si>
  <si>
    <t>CINTURON GALA POLICIA NEGRO S/HEBILLA</t>
  </si>
  <si>
    <t>CINTURON INTERNO DE TELA T655 TB</t>
  </si>
  <si>
    <t>CINTURON NEGRO C/CUCHILLO 162 LUG</t>
  </si>
  <si>
    <t>CINTURON POLIA NATO NEGRO RIBET T669 TB</t>
  </si>
  <si>
    <t>CINTURON RERDA DOBLEACCION GRIS RER</t>
  </si>
  <si>
    <t>CINTURON TACTICO C/HEBILLA METALICA 5575</t>
  </si>
  <si>
    <t>CINTURON TACTICO HEBILLA COBRA 5576-1,6/</t>
  </si>
  <si>
    <t>COCINA MARMITA CSW1004 RER</t>
  </si>
  <si>
    <t>COCINA MARMITA RER</t>
  </si>
  <si>
    <t>CONJ DE LIMPIEZA Y JARDINERIA</t>
  </si>
  <si>
    <t>CONJ DEPORTIVO AGENTES INFOPE RER</t>
  </si>
  <si>
    <t>CONJ DEPORTIVO AUXILIAR IUSP RER</t>
  </si>
  <si>
    <t>CONJ DEPORTIVO TECNICO IUSP RER</t>
  </si>
  <si>
    <t>CONJ GRIS/AZ INVIE LMGE NUEVO MODELO RER</t>
  </si>
  <si>
    <t>CONJ GRIS/AZ VERA LMGE NUEVO MODELO RER</t>
  </si>
  <si>
    <t>CONJ GRIS/AZUL LMGE BORD RER</t>
  </si>
  <si>
    <t>CONJ MASCARA NEOPRENE Y GAFAS RER</t>
  </si>
  <si>
    <t>CONSERVADORA 34LTS FAMILIAR 1008 MIC</t>
  </si>
  <si>
    <t>CORBATA BEIGE UNIFORME JLC</t>
  </si>
  <si>
    <t>CORBATA UNIFORME AZUL JLC</t>
  </si>
  <si>
    <t>CORBATA UNIFORME GRIS JLC</t>
  </si>
  <si>
    <t>CORDON EDECAN CON LAPIZ BORDO AZZ</t>
  </si>
  <si>
    <t>CORREA DE TRES PUNTOS RRD9 BLK</t>
  </si>
  <si>
    <t>CORREA PAR REFLECTIVA LED ABROJ 43X3CM 4</t>
  </si>
  <si>
    <t>CORREA PARA ESCOPETA GALON ANCHO RER</t>
  </si>
  <si>
    <t>CORREA TACTICA MILITAR 1 PUNTO 5643-1,8/</t>
  </si>
  <si>
    <t>CORTAPLUMAS CAMUFLADO 20 FNC LUG</t>
  </si>
  <si>
    <t>CUBIERTOS PLEGABLE METAL LUG</t>
  </si>
  <si>
    <t>CUCHILLO 19CM KARAMBIT NEGRO 17/4,24</t>
  </si>
  <si>
    <t>CUCHILLO 23 CM TACTICO C / PRC LUG</t>
  </si>
  <si>
    <t>CUCHILLO 23 CM TACTICO M/METAL NEGRO LUG</t>
  </si>
  <si>
    <t>CUCHILLO 23CM TACTICO PRC LUG</t>
  </si>
  <si>
    <t>CUCHILLO 25 CM TACTICO M ROJO/GRIS LUG</t>
  </si>
  <si>
    <t>CUCHILLO 30CM CAMU BOSQUE   16-305/3,6</t>
  </si>
  <si>
    <t>CUCHILLO CAMI C/ESTUCHE MILITAR PRC LUG</t>
  </si>
  <si>
    <t>CUCHILLO COLUMBIA  001013 RER</t>
  </si>
  <si>
    <t>CUCHILLO COLUMBIA C/FUNDA RIGIDA IMP</t>
  </si>
  <si>
    <t>CUCHILLO CON FUNDA VERDE 6 TK063 6-7,7/2</t>
  </si>
  <si>
    <t>CUCHILLO CORTAPLUMA 7024/6 RER</t>
  </si>
  <si>
    <t>CUCHILLO CORTAPLUMA MULTIUSO RER</t>
  </si>
  <si>
    <t>CUCHILLO CORTAPLUMA NAVAJA187 RER</t>
  </si>
  <si>
    <t>CUCHILLO DAGA</t>
  </si>
  <si>
    <t>CUCHILLO GERBER 18 CM RER</t>
  </si>
  <si>
    <t>CUCHILLO NAVAJA</t>
  </si>
  <si>
    <t>CUCHILLO NAVAJA 27CM NF5458 LUG</t>
  </si>
  <si>
    <t>CUCHILLO NAVAJA SAMURAI 2000 RER</t>
  </si>
  <si>
    <t>CUCHILLO NEGRO C/FUNDA Y AFILADOR IMP</t>
  </si>
  <si>
    <t>CUELLO POLAR NEGRO CON PECHERA RER</t>
  </si>
  <si>
    <t>DESODORANTE PARA CALZADO RER</t>
  </si>
  <si>
    <t>DRAGONA DORADA AZZ</t>
  </si>
  <si>
    <t>ESC BORD CATACPOL</t>
  </si>
  <si>
    <t>ESC BORD G.N.  (BRAZO)</t>
  </si>
  <si>
    <t>ESC BORD JUJUY POLICIA BB TVS434-2</t>
  </si>
  <si>
    <t>ESC BORD MZA B CIVICO    BARG</t>
  </si>
  <si>
    <t>ESC BORD MZA BANDA DE MUSICA GUSTAVO BAR</t>
  </si>
  <si>
    <t>ESC BORD MZA BOINA  INFANTERIA     BARG</t>
  </si>
  <si>
    <t>ESC BORD MZA BOINA CABALLERIA     BARG</t>
  </si>
  <si>
    <t>ESC BORD MZA BOINA CANES</t>
  </si>
  <si>
    <t>ESC BORD MZA BOINA GEOP</t>
  </si>
  <si>
    <t>ESC BORD MZA BOINA GES       BARG</t>
  </si>
  <si>
    <t>ESC BORD MZA BOINA LICEO LMGE BARG</t>
  </si>
  <si>
    <t>ESC BORD MZA BOINA MOTORIZADA   BARG</t>
  </si>
  <si>
    <t>ESC BORD MZA BOINA TRASLADO</t>
  </si>
  <si>
    <t>ESC BORD MZA BOINA U-TRAN TVS 540-0</t>
  </si>
  <si>
    <t>ESC BORD MZA BOMBEROS          BARG</t>
  </si>
  <si>
    <t>ESC BORD MZA BRAZO GES</t>
  </si>
  <si>
    <t>ESC BORD MZA CABALLERIA TV 424-14</t>
  </si>
  <si>
    <t>ESC BORD MZA CUSTODIA</t>
  </si>
  <si>
    <t>ESC BORD MZA DEFENSA CIVIL</t>
  </si>
  <si>
    <t>ESC BORD MZA DIRECCION DE INVESTIGA</t>
  </si>
  <si>
    <t>ESC BORD MZA INFANTERIA BAJA V. TV</t>
  </si>
  <si>
    <t>ESC BORD MZA IUSP BEIGE CUERPO INSTR.</t>
  </si>
  <si>
    <t>ESC BORD MZA IUSP PENITENCIARIO</t>
  </si>
  <si>
    <t>ESC BORD MZA JEFATURA DEPART.CORRED BARG</t>
  </si>
  <si>
    <t>ESC BORD MZA JEFATURA DEPARTAMENT</t>
  </si>
  <si>
    <t>ESC BORD MZA MOTORIZADA B VISIB.  BARG</t>
  </si>
  <si>
    <t>ESC BORD MZA MUSICA BOINA</t>
  </si>
  <si>
    <t>ESC BORD MZA OF. JEFES  Y SUP</t>
  </si>
  <si>
    <t>ESC BORD MZA PENIT ALMAF. BD</t>
  </si>
  <si>
    <t>ESC BORD MZA PENIT BOINA SERP BAJA VIS</t>
  </si>
  <si>
    <t>ESC BORD MZA PENIT INFOPE         BARG</t>
  </si>
  <si>
    <t>ESC BORD MZA PENIT. CONDOR  BARG</t>
  </si>
  <si>
    <t>ESC BORD MZA PENIT. GEOP</t>
  </si>
  <si>
    <t>ESC BORD MZA PENIT.OFICIAL SUPER</t>
  </si>
  <si>
    <t>ESC BORD MZA PENIT.SEG.EXT NEGROS T</t>
  </si>
  <si>
    <t>ESC BORD MZA POL BEIGE</t>
  </si>
  <si>
    <t>ESC BORD MZA POL MOTORIZADA AZ/DOR BARG</t>
  </si>
  <si>
    <t>ESC BORD MZA POL VIEJO MODELO   BARG</t>
  </si>
  <si>
    <t>ESC BORD MZA POLICIA CIENTIFICA</t>
  </si>
  <si>
    <t>ESC BORD MZA RURAL  MANGA TVS</t>
  </si>
  <si>
    <t>ESC BORD MZA TRANVIA</t>
  </si>
  <si>
    <t>ESC BORD MZA UCAR BOINA   UCAR</t>
  </si>
  <si>
    <t>ESC BORD MZA UCAR MANGA BB TVS424-0</t>
  </si>
  <si>
    <t>ESC BORD MZA UEP JUNIN</t>
  </si>
  <si>
    <t>ESC BORD MZA UEP RIVADAVIA</t>
  </si>
  <si>
    <t>ESC BORD MZA UEP SAN CARLOS</t>
  </si>
  <si>
    <t>ESC BORD MZA UEP SAN MARTIN</t>
  </si>
  <si>
    <t>ESC BORD MZA UEP SAN RAFAEL</t>
  </si>
  <si>
    <t>ESC BORD MZA UMAR BOINA</t>
  </si>
  <si>
    <t>ESC BORD MZA UMAR MANGA  TVS424-0</t>
  </si>
  <si>
    <t>ESC BORD MZA UPAT</t>
  </si>
  <si>
    <t>ESC BORD MZA UPP BOINA</t>
  </si>
  <si>
    <t>ESC BORD MZA UPP PARQUE BRAZO   BARG</t>
  </si>
  <si>
    <t>ESC BORD MZA VIAL P/ BRAZO TVS424-0</t>
  </si>
  <si>
    <t>ESC BORD NQN ACADEMIA DE POLICIA</t>
  </si>
  <si>
    <t>ESC BORD NQN B VISIB.METROPOLITANA</t>
  </si>
  <si>
    <t>ESC BORD NQN BOINA ACAD.B.V.(ACA</t>
  </si>
  <si>
    <t>ESC BORD NQN BOINA BV DPTO CAPAC P</t>
  </si>
  <si>
    <t>ESC BORD NQN BRAZO DEPTO CAPAC PENI</t>
  </si>
  <si>
    <t>ESC BORD NQN OFICIAL/DORAD POLICIA BARG</t>
  </si>
  <si>
    <t>ESC BORD NQN P/BRAZO SEOAR</t>
  </si>
  <si>
    <t>ESC BORD NQN PARA BOINA SEOAR RER</t>
  </si>
  <si>
    <t>ESC BORD NQN POLICIA  BARG</t>
  </si>
  <si>
    <t>ESC BORD NQN SEM BRAZO</t>
  </si>
  <si>
    <t>ESC BORD P.S.A. BOINA  BARG</t>
  </si>
  <si>
    <t>ESC BORD POLICIA CHUBUT</t>
  </si>
  <si>
    <t>ESC BORD PSA AEROPORTUARIA</t>
  </si>
  <si>
    <t>ESC BORD RIO NEGRO POLICIA</t>
  </si>
  <si>
    <t>ESC BORD SAN JUAN MOTORIZADA</t>
  </si>
  <si>
    <t>ESC BORD SAN JUAN RADIOELEC</t>
  </si>
  <si>
    <t>ESC BORD SAN LUIS POLICIA TVS477-04</t>
  </si>
  <si>
    <t>ESC BORD SERV PENIT STA CRUZ       22</t>
  </si>
  <si>
    <t>ESC BORD SERVICIO PENITENCIARIO FEDERAL</t>
  </si>
  <si>
    <t>ESC BORD STA CRUZ  POL RER072 28</t>
  </si>
  <si>
    <t>ESC BORD STA CRUZ ALCALDIA POLICIAL BV</t>
  </si>
  <si>
    <t>ESC BORD STA CRUZ BAJA VISIBILIDAD</t>
  </si>
  <si>
    <t>ESC BORD STA CRUZ BOMBERO TVS536-14</t>
  </si>
  <si>
    <t>ESC BORD STA CRUZ CANES BAJA VIS</t>
  </si>
  <si>
    <t>ESC BORD STA CRUZ GEOR BAJA VIS</t>
  </si>
  <si>
    <t>ESC BORD STA CRUZ PATRULLA URBANA  BARG</t>
  </si>
  <si>
    <t>ESC BORD T. FUEGO POLI DIARIO</t>
  </si>
  <si>
    <t>ESC BORD T. FUEGO POLI GALA</t>
  </si>
  <si>
    <t>ESC BORD TMAN  POLICIA BARG</t>
  </si>
  <si>
    <t>ESC BORD TMAN BANANITA  BARG BI</t>
  </si>
  <si>
    <t>ESC BORD TMAN BANANITA C.E.R.O.</t>
  </si>
  <si>
    <t>ESC BORD TMAN BOINA C.E.R.O.</t>
  </si>
  <si>
    <t>ESC BORD TMAN BOMBEROS</t>
  </si>
  <si>
    <t>ESC BORD TMAN BRAZO C.E.R.O.</t>
  </si>
  <si>
    <t>ESC BORD TMAN ESCUELA DE CADETES</t>
  </si>
  <si>
    <t>ESC BORD TMAN MOTOR</t>
  </si>
  <si>
    <t>ESC BORD TMAN PENIT P/CASQ</t>
  </si>
  <si>
    <t>ESC BORD UCCEE BOINA BV</t>
  </si>
  <si>
    <t>ESC GOMA POLICIA DE MENDOZA</t>
  </si>
  <si>
    <t>ESC GOMA POLICIA SANTA FE COLOR</t>
  </si>
  <si>
    <t>ESC GORRA ORO MENDOZA</t>
  </si>
  <si>
    <t>ESC GORRA ORO NACIONAL</t>
  </si>
  <si>
    <t>ESC GORRA ORO STA CRUZ DG</t>
  </si>
  <si>
    <t>ESC SN.JUAN BRAZO CANES</t>
  </si>
  <si>
    <t>ESC UNIDAD CUERPOS ESPECIALES</t>
  </si>
  <si>
    <t>ESPALDERA ACOLCHADA CD LMGE RER</t>
  </si>
  <si>
    <t>ESPOSAS ALC</t>
  </si>
  <si>
    <t>ESPOSAS CON BISAGRA 1211-7/3</t>
  </si>
  <si>
    <t>ESTRELLA BORD ORO STA CRUZ DG</t>
  </si>
  <si>
    <t>FUNDA CARGADOR TACT XTL CPC2038 RER</t>
  </si>
  <si>
    <t>FUNDA DE CUERO CON FLEJE 1044 TB</t>
  </si>
  <si>
    <t>FUNDA FOBUS 4102 GL2 ND GLOCK 17/19 MIN</t>
  </si>
  <si>
    <t>FUNDA FOBUS 4112 75D CZ-75D MIN</t>
  </si>
  <si>
    <t>FUNDA FOBUS 4115 BR-2 BERET 92F TAUR MIN</t>
  </si>
  <si>
    <t>FUNDA FOBUS 4117 BRS-ND BERET PX4 ST MIN</t>
  </si>
  <si>
    <t>FUNDA FOBUS 4122 SG-239/9 9MM NEWGEN MIN</t>
  </si>
  <si>
    <t>FUNDA FOBUS 4139 JR-2 SH JERICHO FL MIN</t>
  </si>
  <si>
    <t>FUNDA FOBUS 4147 TAURUS 24/7 C/BOT MIN</t>
  </si>
  <si>
    <t>FUNDA FOBUS 4155 GLOCK 17/19 C/BOT MIN</t>
  </si>
  <si>
    <t>FUNDA FOBUS 4156 BRCH C BOTON MIN</t>
  </si>
  <si>
    <t>FUNDA FOBUS 4157 TACHC BOTON MIN</t>
  </si>
  <si>
    <t>FUNDA FOBUS CON PLAT. MOLLE GLOCK MIN</t>
  </si>
  <si>
    <t>FUNDA GAMUZA CON FLEJE 1044 TB</t>
  </si>
  <si>
    <t>FUNDA POLIA CON PORTACARG T613 TB RER</t>
  </si>
  <si>
    <t>GANCHO MOSQUETON CLIP LUG</t>
  </si>
  <si>
    <t>GARIBADINA MAO GAB NEGRA 3XL/6XL</t>
  </si>
  <si>
    <t>GARIBALDINA ARMY GAB AZUL 2XS/2XL RER</t>
  </si>
  <si>
    <t>GARIBALDINA ARMY GAB NEGRA 2XS/2XL RER</t>
  </si>
  <si>
    <t>GARIBALDINA ARMY RIP AZ ABRG 2XS/2XL RER</t>
  </si>
  <si>
    <t>GARIBALDINA ARMY RIP AZUL 2XS/2XL RER</t>
  </si>
  <si>
    <t>GARIBALDINA ARMY RIP EJERCIT 2XS/2XL RER</t>
  </si>
  <si>
    <t>GARIBALDINA ARMY RIP GN VERDE 2XS/2XL EM</t>
  </si>
  <si>
    <t>GARIBALDINA ARMY RIP MIME 2COL GR 2XS/2X</t>
  </si>
  <si>
    <t>GARIBALDINA ARMY RIP MIMET INFAN 2XS/2XL</t>
  </si>
  <si>
    <t>GARIBALDINA ARMY RIP MIMET REQUIS 2XS/2X</t>
  </si>
  <si>
    <t>GARIBALDINA ARMY RIP NE ABRG 2XS/2XL RER</t>
  </si>
  <si>
    <t>GARIBALDINA ARMY RIP NEGRA 2XS/2XL RER</t>
  </si>
  <si>
    <t>GARIBALDINA JAZAK RIP AZUL 2XS/2XL RER</t>
  </si>
  <si>
    <t>GARIBALDINA JAZAK RIP INFANT 2XS/2XL RER</t>
  </si>
  <si>
    <t>GARIBALDINA JAZAK RIP INFANT 3XL/5XL RER</t>
  </si>
  <si>
    <t>GARIBALDINA JAZAK RIP TIG CE 2XS/2XL RER</t>
  </si>
  <si>
    <t>GARIBALDINA MAO GAB AZUL 3XL/6XL RER</t>
  </si>
  <si>
    <t>GARIBALDINA MAO GAB AZUL 3XS/2XL RER</t>
  </si>
  <si>
    <t>GARIBALDINA MAO GAB GRIS FED 3XL/6XL RER</t>
  </si>
  <si>
    <t>GARIBALDINA MAO GAB GRIS FED 3XS/2XL RER</t>
  </si>
  <si>
    <t>GARIBALDINA MAO GAB NEGRA 2XS/2XL</t>
  </si>
  <si>
    <t>GARIBALDINA MAO RIP AZUL 2XS/2XL EM</t>
  </si>
  <si>
    <t>GARIBALDINA MAO RIP AZUL 3XL/5XL RER</t>
  </si>
  <si>
    <t>GARIBALDINA MAO RIP BEIGE 2XS/2XL RER</t>
  </si>
  <si>
    <t>GARIBALDINA MAO RIP BEIGE 3XL/5XL RER</t>
  </si>
  <si>
    <t>GARIBALDINA MAO RIP DESERT 2XS/2XL RER</t>
  </si>
  <si>
    <t>GARIBALDINA MAO RIP DIG ACU 2XS/2XL RER</t>
  </si>
  <si>
    <t>GARIBALDINA MAO RIP DIG BEIG 2XS/2XL RER</t>
  </si>
  <si>
    <t>GARIBALDINA MAO RIP DIG GR 2XS/2XL RER</t>
  </si>
  <si>
    <t>GARIBALDINA MAO RIP DIG GR 3XL/5XL RER</t>
  </si>
  <si>
    <t>GARIBALDINA MAO RIP EJERCITO 2XS/2XL RER</t>
  </si>
  <si>
    <t>GARIBALDINA MAO RIP GRIS 2XS/2XL RER</t>
  </si>
  <si>
    <t>GARIBALDINA MAO RIP GRIS 3XL/5XL RER</t>
  </si>
  <si>
    <t>GARIBALDINA MAO RIP INFANT 2XS/2XL RER</t>
  </si>
  <si>
    <t>GARIBALDINA MAO RIP INFANT 3XL/5XL RER</t>
  </si>
  <si>
    <t>GARIBALDINA MAO RIP MIM RURA 3XL/5XL RER</t>
  </si>
  <si>
    <t>GARIBALDINA MAO RIP MIM RURA 3XS/2XL RER</t>
  </si>
  <si>
    <t>GARIBALDINA MAO RIP MULTICA 2XS/2XL RER</t>
  </si>
  <si>
    <t>GARIBALDINA MAO RIP MULTICA 3XL/5XL RER</t>
  </si>
  <si>
    <t>GARIBALDINA MAO RIP NEGRA 2XS/2XL RER</t>
  </si>
  <si>
    <t>GARIBALDINA MAO RIP NEGRA 3XL/5XL RER</t>
  </si>
  <si>
    <t>GARIBALDINA MAO RIP REQUISA 2XS/2XL RER</t>
  </si>
  <si>
    <t>GARIBALDINA MAO RIP TIGR CEL 2XS/2XL RER</t>
  </si>
  <si>
    <t>GARIBALDINA MAO RIP TIGR CEL 3XL/5XL RER</t>
  </si>
  <si>
    <t>GARIBALDINA MAO RIP VIAL TUC 2XS/2XL RER</t>
  </si>
  <si>
    <t>GARIBALDINA MAO RIP VIAL TUC 3XL/5XL RER</t>
  </si>
  <si>
    <t>GORRA AZUL CON ATRIBUTOS RER</t>
  </si>
  <si>
    <t>GORRA AZUL SIN ATRIBUTOS RER</t>
  </si>
  <si>
    <t>GORRA DICC RER</t>
  </si>
  <si>
    <t>GORRA GRIS SIN ATRIBUTOS RER</t>
  </si>
  <si>
    <t>GORRA NEGRA SIN ATRIBUTOS RER</t>
  </si>
  <si>
    <t>GORRITA BEISBOL LISA AZUL GEI</t>
  </si>
  <si>
    <t>GORRITA BEISBOL LISA GRIS GEI</t>
  </si>
  <si>
    <t>GORRITA BEISBOL LISA NEGRA GEI</t>
  </si>
  <si>
    <t>GORRITA BOMBERO PUERTO DESEADO RER</t>
  </si>
  <si>
    <t>GORRITA BORD COER NEGRA LOGO VERDE RER</t>
  </si>
  <si>
    <t>GORRITA CATACPOL RER</t>
  </si>
  <si>
    <t>GORRITA F54 AZUL 6 GAJOS 5469 AJUSTABLE-</t>
  </si>
  <si>
    <t>GORRITA F54 NEGRA 6 GAJOS 5469 AJUSTABLE</t>
  </si>
  <si>
    <t>GORRITA MZA IUSP AZUL 2.23 RER</t>
  </si>
  <si>
    <t>GORRITA MZA IUSP TEC SEG PENIT NEGRA</t>
  </si>
  <si>
    <t>GORRITA MZA PENIT SERP BV BI</t>
  </si>
  <si>
    <t>GORRITA MZA PENITENCIARIA DORADA RER</t>
  </si>
  <si>
    <t>GORRITA MZA PENITENCIARIA PLATEADA BI</t>
  </si>
  <si>
    <t>GORRITA MZA POLICIA DE INVEST. BI</t>
  </si>
  <si>
    <t>GORRITA MZA POLICIAL VIAL RER</t>
  </si>
  <si>
    <t>GORRITA MZA UMAR RER</t>
  </si>
  <si>
    <t>GORRITA RIO NEGRO COER RER</t>
  </si>
  <si>
    <t>GORRITA SPF NEGRA BI</t>
  </si>
  <si>
    <t>GORRITA STA CRUZ BOMBEROS BI</t>
  </si>
  <si>
    <t>GORRITA STA CRUZ POL AZUL BI</t>
  </si>
  <si>
    <t>GORRITA TMAN DOR CDO RADIOELECTRICO RER</t>
  </si>
  <si>
    <t>GORRITA TMAN PLAT CDO RADIOELECT RER</t>
  </si>
  <si>
    <t>GORRITA TMAN POL AZUL RER</t>
  </si>
  <si>
    <t>GORRITA TMAN POL NEGRA/DOR C/ESCUDO RER</t>
  </si>
  <si>
    <t>GORRO CON PIEL IMP</t>
  </si>
  <si>
    <t>GORRO LANA ROCKY 53240 SIN FORRAR RER</t>
  </si>
  <si>
    <t>GORRO PIEL CON REFLECTIVO IMP 1120</t>
  </si>
  <si>
    <t>GORRO POLAR IMP 1163</t>
  </si>
  <si>
    <t>GORRO STX DOBLE POLAR C/VISERA RER</t>
  </si>
  <si>
    <t>GRIFA CABALLERIA EL PAR RER</t>
  </si>
  <si>
    <t>GRIFA INFANTERIA EL PAR RER</t>
  </si>
  <si>
    <t>GRUPO SANGUINEO CUADRADO BI</t>
  </si>
  <si>
    <t>GUANTES BLANCOS LMGE RER</t>
  </si>
  <si>
    <t>GUANTES CAMUFLADOS RER</t>
  </si>
  <si>
    <t>GUANTES COMBATE DEDOS  5 ABIERTOS RER</t>
  </si>
  <si>
    <t>GUANTES NEOPRENE S/DEDO T S/XXL RER</t>
  </si>
  <si>
    <t>GUANTES POLAR NEGRO RER</t>
  </si>
  <si>
    <t>GUANTES TERMICOS NEGRO RER</t>
  </si>
  <si>
    <t>HOMB BI PENIT MZA 2SOL SERR/PAL PREFECTO</t>
  </si>
  <si>
    <t>HOMB BI PENIT TMAN FAJ  S AYTE RER</t>
  </si>
  <si>
    <t>HOMB BI PENIT TMAN FAJ C 1RO RER</t>
  </si>
  <si>
    <t>HOMB BI PENIT TMAN FAJ CRIO PPAL RER</t>
  </si>
  <si>
    <t>HOMB BI PENIT TMAN FAJ S PPAL RER</t>
  </si>
  <si>
    <t>HOMB BI PENIT TMAN FAJ SARG 1RO RER</t>
  </si>
  <si>
    <t>HOMB BI PENIT TMAN FAJ SARG RER</t>
  </si>
  <si>
    <t>HOMB BI POL 1 ROMBO DORADO + 1 PLATEA</t>
  </si>
  <si>
    <t>HOMB BI POL 1 ROMBO DORADO CHICO</t>
  </si>
  <si>
    <t>HOMB BI POL 1 ROMBO PLATEADO CHICO</t>
  </si>
  <si>
    <t>HOMB BI POL 2 ROMBOS DORADOS</t>
  </si>
  <si>
    <t>HOMB BI POL 2 ROMBOS PLATEADOS CHIC</t>
  </si>
  <si>
    <t>HOMB BI POL 3 ROMBOS DORADOS</t>
  </si>
  <si>
    <t>HOMB BI POL 3 ROMBOS PLATEADOS</t>
  </si>
  <si>
    <t>HOMB BI POL AUXILIAR</t>
  </si>
  <si>
    <t>HOMB BI POL AUXILIAR MAYOR BI</t>
  </si>
  <si>
    <t>HOMB BI POL AUXILIAR PRIMERO</t>
  </si>
  <si>
    <t>HOMB BI POL AUXILIAR SEGUNDO</t>
  </si>
  <si>
    <t>HOMB BI POL COMISARIO (1PLAT+1DOR)</t>
  </si>
  <si>
    <t>HOMB BI POL COMISARIO (2 DORADAS)</t>
  </si>
  <si>
    <t>HOMB BI POL COMISARIO GENERAL</t>
  </si>
  <si>
    <t>HOMB BI POL COMISARIO INSPECTOR</t>
  </si>
  <si>
    <t>HOMB BI POL COMISARIO MAYOR</t>
  </si>
  <si>
    <t>HOMB BI POL SUBCOMISARIO (1 DORADA)</t>
  </si>
  <si>
    <t>HOMB BORD ORO CRIO INSPECTOR 1 ROMBO DG</t>
  </si>
  <si>
    <t>HOMB BORD ORO CRIO MAYOR 2 ROMBOS DG</t>
  </si>
  <si>
    <t>HOMB BORD ORO CRIO STA CRUZ SIN ESTRE DG</t>
  </si>
  <si>
    <t>HOMB BORD ORO SANTA CRUZ CRIO GRAL3E DG</t>
  </si>
  <si>
    <t>HOMB BORD ORO SANTA CRUZ CRIO INSP 1E DG</t>
  </si>
  <si>
    <t>HOMB GALA POLICIA CINTA LAU DORADA</t>
  </si>
  <si>
    <t>HOMB GALA POLICIA CINTA LAU NEGRA</t>
  </si>
  <si>
    <t>HOMB LMGE AZUL</t>
  </si>
  <si>
    <t>HOMB LMGE VERDE 1ER ANIO</t>
  </si>
  <si>
    <t>HOMB LMGE VERDE 2DO ANIO</t>
  </si>
  <si>
    <t>HOMB LMGE VERDE 3ER ANIO</t>
  </si>
  <si>
    <t>HOMB LMGE VERDE 6TO ANIO</t>
  </si>
  <si>
    <t>HOMB NEUQUEN CABO 1RO RER</t>
  </si>
  <si>
    <t>HOMB NEUQUEN COMISARIO BORDAD RER</t>
  </si>
  <si>
    <t>HOMB NEUQUEN CRIO GRAL BORDADA BI</t>
  </si>
  <si>
    <t>HOMB NEUQUEN CRIO INSP BORDADO BI</t>
  </si>
  <si>
    <t>HOMB NEUQUEN CRIO MAYOR BORDADA BI</t>
  </si>
  <si>
    <t>HOMB NEUQUEN OF AYDTE BORDADA BI</t>
  </si>
  <si>
    <t>HOMB NEUQUEN OF INSP BORDAD RER</t>
  </si>
  <si>
    <t>HOMB NEUQUEN OF PPAL BORDAD BI</t>
  </si>
  <si>
    <t>HOMB NEUQUEN SARG AYDTE RER</t>
  </si>
  <si>
    <t>HOMB NEUQUEN SARGENTO 1RO RER</t>
  </si>
  <si>
    <t>HOMB NEUQUEN SARGENTO RER</t>
  </si>
  <si>
    <t>HOMB NEUQUEN SUB CRIO BORDAD RER</t>
  </si>
  <si>
    <t>HOMB NEUQUEN SUB INSP BORDAD RER</t>
  </si>
  <si>
    <t>HOMB NEUQUEN SUBOFICIAL MAYOR RER</t>
  </si>
  <si>
    <t>HOMB NEUQUEN SUBOFICIAL PPAL RER</t>
  </si>
  <si>
    <t>HOMB POL  SUBOF MAYOR</t>
  </si>
  <si>
    <t>HOMB POL CABO</t>
  </si>
  <si>
    <t>HOMB POL CABO 1RO</t>
  </si>
  <si>
    <t>HOMB POL SARGENTO</t>
  </si>
  <si>
    <t>HOMB POL SARGENTO 1RO</t>
  </si>
  <si>
    <t>HOMB POL SARGENTO AYUDANTE</t>
  </si>
  <si>
    <t>HOMB POL SUBOF PRINCIPAL</t>
  </si>
  <si>
    <t>HOMB POLICIA SIN BOTON MET</t>
  </si>
  <si>
    <t>HOMB.</t>
  </si>
  <si>
    <t>HOMBRERA GRIS TOPO PENIT CABO 1RO RER</t>
  </si>
  <si>
    <t>HOMBRERA GRIS TOPO PENIT CABO RER</t>
  </si>
  <si>
    <t>HOMBRERA GRIS TOPO PENIT SARGEN AYTE RER</t>
  </si>
  <si>
    <t>HOMBRERA GRIS TOPO PENIT SARGENT 1RO RER</t>
  </si>
  <si>
    <t>HOMBRERA GRIS TOPO PENIT SARGENTO RER</t>
  </si>
  <si>
    <t>HOMBRERA GRIS TOPO PENIT SUB OF PPAL RER</t>
  </si>
  <si>
    <t>INFLABLE DOUBLE ACTION MIC</t>
  </si>
  <si>
    <t>INSIG AZUL CABO  COLGAR</t>
  </si>
  <si>
    <t>INSIG AZUL CABO 1RO COLGAR</t>
  </si>
  <si>
    <t>INSIG AZUL CABO 1RO POR PAR</t>
  </si>
  <si>
    <t>INSIG AZUL CABO POR PAR</t>
  </si>
  <si>
    <t>INSIG AZUL SARG AYTE COLGAR</t>
  </si>
  <si>
    <t>INSIG AZUL SARGENTO 1RO COLGAR</t>
  </si>
  <si>
    <t>INSIG AZUL SARGENTO 1RO POR PAR</t>
  </si>
  <si>
    <t>INSIG AZUL SARGENTO AYTE POR PAR</t>
  </si>
  <si>
    <t>INSIG AZUL SARGENTO COLGAR</t>
  </si>
  <si>
    <t>INSIG AZUL SARGENTO POR PAR</t>
  </si>
  <si>
    <t>INSIG AZUL SUBOF MAYOR POR PAR</t>
  </si>
  <si>
    <t>INSIG AZUL SUBOF PPAL COLGAR</t>
  </si>
  <si>
    <t>INSIG AZUL SUBOF PPAL POR PAR</t>
  </si>
  <si>
    <t>INSIG BI BAJA V CABO    BARG  N/GRIS</t>
  </si>
  <si>
    <t>INSIG BI BAJA V CABO PRIMERO BARG N/GRIS</t>
  </si>
  <si>
    <t>INSIG BI BAJA V PENIT AYDTE 5TA CABO G/N</t>
  </si>
  <si>
    <t>INSIG BI BAJA V PENIT SUB AYDTE CABO 1GN</t>
  </si>
  <si>
    <t>INSIG BI BAJA V PENIT SUB OF AUX. SGTO 1</t>
  </si>
  <si>
    <t>INSIG BI BAJA V PENIT SUB OF AYDTE SARG</t>
  </si>
  <si>
    <t>INSIG BI BAJA V PENIT SUB OF MAYOR G/NEG</t>
  </si>
  <si>
    <t>INSIG BI BAJA V PENIT SUB OF PPAL G/NEGR</t>
  </si>
  <si>
    <t>INSIG BI BAJA V PENIT SUB OF1 SARG AYDTE</t>
  </si>
  <si>
    <t>INSIG BI BAJA V SARG. AYUDANTE BARG N/GR</t>
  </si>
  <si>
    <t>INSIG BI BAJA V SARGENTO    BARG N/GRIS</t>
  </si>
  <si>
    <t>INSIG BI BAJA V SARGENTO 1  BARG N/GRIS</t>
  </si>
  <si>
    <t>INSIG BI BAJA V SUB OF. MAYOR BARG N/GRI</t>
  </si>
  <si>
    <t>INSIG BI BAJA V SUB OF. PPAL. BARG N/GRI</t>
  </si>
  <si>
    <t>INSIG BI CABO BI       AZUL/AMARILLO</t>
  </si>
  <si>
    <t>INSIG BI CABO GRIS PENITE</t>
  </si>
  <si>
    <t>INSIG BI RURAL CRIO INSP</t>
  </si>
  <si>
    <t>INSIG BI SARGENTO AYUDANTE AZUL/AMARILLO</t>
  </si>
  <si>
    <t>INSIG BI SARGENTO BI      AZUL/AMARILLO</t>
  </si>
  <si>
    <t>INSIG BI SARGENTO PRIMERO  AZUL/AMARILLO</t>
  </si>
  <si>
    <t>INSIG BI SUB OF AUX PENIT SARGENTO 1 G/A</t>
  </si>
  <si>
    <t>INSIG BI SUB OF AYDTE PENIT SARG G/AMARI</t>
  </si>
  <si>
    <t>INSIG BI SUB OF PRIM PENIT SGTO AYTE G/A</t>
  </si>
  <si>
    <t>INSIG BI SUB OFICIAL PPAL AZUL/AMARILLO</t>
  </si>
  <si>
    <t>INSIG BI SUB OFICIAL PRIMERA PENIT</t>
  </si>
  <si>
    <t>INSIG BI SUB PREFECTO PENIT</t>
  </si>
  <si>
    <t>INSIG BI SUBOFICIAL PRINCIPAL PENIT</t>
  </si>
  <si>
    <t>INSIG LMGE EL PAR DE ABROJO RER</t>
  </si>
  <si>
    <t>INSIG NEGRA SUBOF MAYOR P/COLGAR</t>
  </si>
  <si>
    <t>INSIG ROJA CABO P/COLGAR</t>
  </si>
  <si>
    <t>INSIG ROJA CABO PRIMERO P/COLGAR RER</t>
  </si>
  <si>
    <t>INSIG ROJA PRINCIPAL P/COLGAR</t>
  </si>
  <si>
    <t>INSIG ROJA SARGENTO 1RO P/COLGAR</t>
  </si>
  <si>
    <t>INSIG ROJA SARGENTO AYTE P/COLGAR RER</t>
  </si>
  <si>
    <t>INSIG ROJA SARGENTO P/COLGAR</t>
  </si>
  <si>
    <t>INSIG VARIOS SARG 1RO VS F</t>
  </si>
  <si>
    <t>INSIG VARIOS SARG VS FUER RER</t>
  </si>
  <si>
    <t>JARRA TERMICA 2.5 LTS 1006 MIC</t>
  </si>
  <si>
    <t>KIT DE LIMPIEZA KRICO 51405 RER</t>
  </si>
  <si>
    <t>KIT DE LIMPIEZA LUBRI 50CC + BAQT9MM MAL</t>
  </si>
  <si>
    <t>KIT P/LIMPIEZA RRD ESCOPETA KAE</t>
  </si>
  <si>
    <t>KIT RODILLERAS Y CODERAS TACTICAS 5637-2</t>
  </si>
  <si>
    <t>LINTERNA 9 LED FLASHLIGTH RER</t>
  </si>
  <si>
    <t>LINTERNA C/ZOOM 3X10CM 3F IMP 4733</t>
  </si>
  <si>
    <t>LINTERNA C/ZOOM Y USB 5545 LUZ LATERAL 2</t>
  </si>
  <si>
    <t>LINTERNA CON BALIZA IMP</t>
  </si>
  <si>
    <t>LINTERNA FLUOR SUMERGIBLE RECARGABLE IMP</t>
  </si>
  <si>
    <t>LINTERNA FRONTAL LED BICI BLIST 7026 LUG</t>
  </si>
  <si>
    <t>LINTERNA GOMA RECARG USB CON CLIP 5621-1</t>
  </si>
  <si>
    <t>LINTERNA LUZ TRAS USB 3 COLORES 05 LUG</t>
  </si>
  <si>
    <t>LINTERNA MULTIFUNCION DAMA7 RER 0678</t>
  </si>
  <si>
    <t>LINTERNA POLICE RECARGABLE IMP</t>
  </si>
  <si>
    <t>LINTERNA RECARG.LED LATERAL C/CAJA 5543-</t>
  </si>
  <si>
    <t>LINTERNA RECARGABLE MULTIFUNCION RER</t>
  </si>
  <si>
    <t>LINTERNA RECARGABLE POLICE RER</t>
  </si>
  <si>
    <t>LINTERNA RECARGABLE POWER STYLE 180 RER</t>
  </si>
  <si>
    <t>LINTERNA SOLART09 4863 BRUJULA/IMAN/ROMP</t>
  </si>
  <si>
    <t>LINTERNA SOOYA RER</t>
  </si>
  <si>
    <t>LINTERNA T6-26 LED LATERAL ROJO/BCO 5547</t>
  </si>
  <si>
    <t>LINTERNA TRASERA BICI LUG</t>
  </si>
  <si>
    <t>LINTERNA USB ZOOM/IMAN/LED LATERAL 5546-</t>
  </si>
  <si>
    <t>LINTERNA W.LIGHT 5590 CARG/SOLAR/USB/BRU</t>
  </si>
  <si>
    <t>LINTERNA X 6 TACT. PROF (8520941)</t>
  </si>
  <si>
    <t>LOGO FRENTE SEGURIDAD LIMIT 4X10CM BI</t>
  </si>
  <si>
    <t>LOGO LIMIT SEGURIDAD PRIV. MANGA BI</t>
  </si>
  <si>
    <t>LUBRICANTE PARA ARMAS MAL</t>
  </si>
  <si>
    <t>LUBRILINA KIT BAQUETA ESCPOP/CEPILLO MAL</t>
  </si>
  <si>
    <t>LUSTRE CREMA  ENGRASE ORO 6013002 RER</t>
  </si>
  <si>
    <t>LUSTRE IMPERMEAB 120/5007 RER</t>
  </si>
  <si>
    <t>LUSTRE IMPERMEABLE 120/5007 RER</t>
  </si>
  <si>
    <t>MAMELUCO TERMICO NEGRO 2XL/6XL RER</t>
  </si>
  <si>
    <t>MANGA TRANSITO RER</t>
  </si>
  <si>
    <t>MANOPLA ROMPEVIDRIOS RER</t>
  </si>
  <si>
    <t>MASCARA BALACLAVA 1RA PIEL 8088-1,2/3</t>
  </si>
  <si>
    <t>MASCARA NEOPRENE PASAMONTA¥A RER</t>
  </si>
  <si>
    <t>MASCARA PAINTBALL RER</t>
  </si>
  <si>
    <t>MEDIA DE10A SOX</t>
  </si>
  <si>
    <t>MEDIAS CIUDADELA RER</t>
  </si>
  <si>
    <t>MEDIAS DE07A SOX</t>
  </si>
  <si>
    <t>MEDIAS DE09B SOX</t>
  </si>
  <si>
    <t>MEDIAS DOBLE CAPA STX RER</t>
  </si>
  <si>
    <t>MEDIAS EXTREME RERDA CORTA RER</t>
  </si>
  <si>
    <t>MEDIAS EXTREME RERDA LARGA RER</t>
  </si>
  <si>
    <t>MEDIAS JE91C SOX</t>
  </si>
  <si>
    <t>MEDIAS ME01C SOX</t>
  </si>
  <si>
    <t>MEDIAS ME02C SOX</t>
  </si>
  <si>
    <t>MEDIAS ME03C SOX</t>
  </si>
  <si>
    <t>MEDIAS SKY STX 180988 AB</t>
  </si>
  <si>
    <t>MEDIAS STX DOBLE CAPA RER</t>
  </si>
  <si>
    <t>MEDIAS TE47A SOX</t>
  </si>
  <si>
    <t>MEDIAS TE57A SOX</t>
  </si>
  <si>
    <t>MEDIAS TERMICAS SKI RER</t>
  </si>
  <si>
    <t>MEDIAS TRIUNFO VESTIR RER</t>
  </si>
  <si>
    <t>MEDIAS VE15D SOX</t>
  </si>
  <si>
    <t>MEDIAS VE36C SOX</t>
  </si>
  <si>
    <t>MESA CAMPING ALUM PLEG C/SILLAS 1011 MIC</t>
  </si>
  <si>
    <t>METAL BARRA DE CURSO CADETE LMGE FEM</t>
  </si>
  <si>
    <t>METAL BARRA PARA PECHO FEM</t>
  </si>
  <si>
    <t>METAL BARRAS ANTIGU CON PIN FEM</t>
  </si>
  <si>
    <t>METAL BARRAS ANTIGUEDAD SIN PIN RER</t>
  </si>
  <si>
    <t>METAL BOTON NQUEN 16 MM DORAD C/PATAS BM</t>
  </si>
  <si>
    <t>METAL BOTON PATRIO 12 MM DOR C/PATAS FEM</t>
  </si>
  <si>
    <t>METAL BOTON PATRIO 16 MM. DORA OJAL FEM</t>
  </si>
  <si>
    <t>METAL BOTON STA CRUZ 16 OJAL PLATEAD FEM</t>
  </si>
  <si>
    <t>METAL BOTON STA CRUZ 22 PLATEADO FEM</t>
  </si>
  <si>
    <t>METAL CRISOL LMGE GORRA (UR) FEM</t>
  </si>
  <si>
    <t>METAL EMBL BOINA MECANIZADA</t>
  </si>
  <si>
    <t>METAL ESC AGENTE POLICIA FEDERAL PLA RER</t>
  </si>
  <si>
    <t>METAL ESC GORRA MZA OFIC (GRANDE) FEM</t>
  </si>
  <si>
    <t>METAL ESC GORRA NQUEN NUEVO MODELO BM</t>
  </si>
  <si>
    <t>METAL ESC GORRA PLATEADO GRANDE FEM</t>
  </si>
  <si>
    <t>METAL ESC GORRA STA CRUZ CHICO PLAT RER</t>
  </si>
  <si>
    <t>METAL ESC GORRA TMAN DORADO OF. RER</t>
  </si>
  <si>
    <t>METAL ESC GORRA TMAN PLAT SUBOF. RER</t>
  </si>
  <si>
    <t>METAL ESC P/CASQ/BOINA NEUQUEN RER</t>
  </si>
  <si>
    <t>METAL ESPADA CRUZADA STA CRUZ RER</t>
  </si>
  <si>
    <t>METAL FUSILES CRUZADOS FEM</t>
  </si>
  <si>
    <t>METAL G.N. SOL JEFE RER</t>
  </si>
  <si>
    <t>METAL HACHA BOMBERO TROPA 30*-38 FEM</t>
  </si>
  <si>
    <t>METAL HEBILLA GALA C PASADOR LABRADO FEM</t>
  </si>
  <si>
    <t>METAL HEBILLA RED DOR PLA CRUZ 30MM RER</t>
  </si>
  <si>
    <t>METAL HEBILLA RED DOR STA CRUZ 30MM RER</t>
  </si>
  <si>
    <t>METAL HEBILLA RED GALLO DORADA RER</t>
  </si>
  <si>
    <t>METAL HEBILLA RED GALLO PLATEADA BM</t>
  </si>
  <si>
    <t>METAL HEBILLA RED GENDARMERIA NAC FEM</t>
  </si>
  <si>
    <t>METAL HEBILLA RED NEUQUEN DORADA BM</t>
  </si>
  <si>
    <t>METAL HEBILLA RED NEUQUEN PLATEADA FEM</t>
  </si>
  <si>
    <t>METAL HEBILLA RED TORREON DORADA RER</t>
  </si>
  <si>
    <t>METAL HEBILLA RED TORREON PLATEADA RER</t>
  </si>
  <si>
    <t>METAL INSIGNIA SUB PPAL C/U DORADA RER</t>
  </si>
  <si>
    <t>METAL INSIGNIA SUB PPAL C/U ROJA RER</t>
  </si>
  <si>
    <t>METAL INSIGNIA SUBOF MY C/U ROJA RER</t>
  </si>
  <si>
    <t>METAL LANZAS CABALLERIA RER</t>
  </si>
  <si>
    <t>METAL LAUREL CRUZADO CHICO 20*40 RER</t>
  </si>
  <si>
    <t>METAL LAUREL SIMPLE GRANDE EL PAR C RER</t>
  </si>
  <si>
    <t>METAL LIRA (BANDA MUSICA) FEM</t>
  </si>
  <si>
    <t>METAL LLAVERO BALA FUSIL RER</t>
  </si>
  <si>
    <t>METAL NUMERO CHICO FEM</t>
  </si>
  <si>
    <t>METAL PALMAS LAUREL CRUZADO 20*40 C FEM</t>
  </si>
  <si>
    <t>METAL RAYOS CRUZADOS FEM</t>
  </si>
  <si>
    <t>METAL RIEL DE 2 FEM</t>
  </si>
  <si>
    <t>METAL RIEL DE 4 FEM</t>
  </si>
  <si>
    <t>METAL RIEL P/NOMBRE  PLATA FEM</t>
  </si>
  <si>
    <t>METAL RIEL P/NOMBRE DORADO FEM</t>
  </si>
  <si>
    <t>METAL ROMBO 16 MM. DORADO FEM</t>
  </si>
  <si>
    <t>METAL ROMBO 22 DORADO FEM</t>
  </si>
  <si>
    <t>METAL ROMBO 22 PLATEADO FEM</t>
  </si>
  <si>
    <t>METAL ROMBO 25MM. PLATEADO FEM</t>
  </si>
  <si>
    <t>METAL ROSETON Y/O ESTADO MAYOR FEM</t>
  </si>
  <si>
    <t>METAL RUEDA ALADA NQN DOR FEM</t>
  </si>
  <si>
    <t>METAL RUEDA ALADA NQN PLATEAD RER</t>
  </si>
  <si>
    <t>METAL SERRETA 5 ONDAS RER</t>
  </si>
  <si>
    <t>METAL SERRETA 8/10 ONDAS FEM</t>
  </si>
  <si>
    <t>METAL SERRETA TIPO BASTON 6CM 2 PATAS</t>
  </si>
  <si>
    <t>METAL SILBATO DE RONDA FEM</t>
  </si>
  <si>
    <t>METAL SILBATO DE SALIDA FEM</t>
  </si>
  <si>
    <t>METAL SOL JEFE SUPERIOR CATAMARCA FEM</t>
  </si>
  <si>
    <t>METAL TORREON PENITENCIARIO RER</t>
  </si>
  <si>
    <t>METAL TRABA CORBATA STA CRUZ RER</t>
  </si>
  <si>
    <t>METAL VIVO POL FED VIEJO MODELO DOR FEM</t>
  </si>
  <si>
    <t>METAL VIVO POL FER VIEJO MODELO PLAT FEM</t>
  </si>
  <si>
    <t>METAL VIVO POL. MZA. CON SOL FEM</t>
  </si>
  <si>
    <t>METAL VIVO PROV. BS. AS. DORADO FEM</t>
  </si>
  <si>
    <t>METAL. PENIT BALANZA DOR RER</t>
  </si>
  <si>
    <t>MIRA LASER CAT PGLOCK 17-19-22-23 MIN 20</t>
  </si>
  <si>
    <t>MOCHILA 3 POUCH MZ-RJ-A08 33L FRONT-138/</t>
  </si>
  <si>
    <t>MOCHILA 3D CHICA MZ-RJ-B02 22.5L FRONT-5</t>
  </si>
  <si>
    <t>MOCHILA 3D GRANDE MZ-RJ-ZE-002 37.5L FRO</t>
  </si>
  <si>
    <t>MOCHILA 3D MEDIANA MZ-RJ-A10 35L FRONT 7</t>
  </si>
  <si>
    <t>MOCHILA 8141-43 20.5L YW-48/3</t>
  </si>
  <si>
    <t>MOCHILA ASALTO RRD</t>
  </si>
  <si>
    <t>MOCHILA BOLSO 8126-2 50L YW-140/3</t>
  </si>
  <si>
    <t>MOCHILA BOLSO CRAZY ANTS 8124-25 30L YW-</t>
  </si>
  <si>
    <t>MOCHILA CAMELBACK MZ-RJ-B10 18.5L FRONT-</t>
  </si>
  <si>
    <t>MOCHILA CAMPAMENTO RRD36 BLK</t>
  </si>
  <si>
    <t>MOCHILA CIERRE CORDON 8057 33L YW-6,5/,</t>
  </si>
  <si>
    <t>MOCHILA COMANDO RRD40 NEGRA BLK</t>
  </si>
  <si>
    <t>MOCHILA FLANKER MZ-RJ-A18 X7 25L FRONT-1</t>
  </si>
  <si>
    <t>MOCHILA GENDARME RRD28 NEGRA BLK</t>
  </si>
  <si>
    <t>MOCHILA GENDARME RRD28 VERDE BLK</t>
  </si>
  <si>
    <t>MOCHILA LASER AZUL ETCH 11</t>
  </si>
  <si>
    <t>MOCHILA LASER CAMU ETCH 11</t>
  </si>
  <si>
    <t>MOCHILA LASER GRIS ETCH 11</t>
  </si>
  <si>
    <t>MOCHILA LASER NEGRA ETCH 11</t>
  </si>
  <si>
    <t>MOCHILA LASER VERDE ETCH 11</t>
  </si>
  <si>
    <t>MOCHILA MZ-RJ-B35809 38.5L FRONT-114/3,6</t>
  </si>
  <si>
    <t>MOCHILA NITRO MZ-RJ-Y003 30.5L FRONT-82/</t>
  </si>
  <si>
    <t>MOCHILA PATRULLA RRD29 CAMUFLADA BLK</t>
  </si>
  <si>
    <t>MOCHILA PATRULLA RRD29 CPBL BLK</t>
  </si>
  <si>
    <t>MOCHILA PATRULLA RRD29 NEGRA BLK</t>
  </si>
  <si>
    <t>MOCHILA PATRULLA RRD29 VERDE BLK</t>
  </si>
  <si>
    <t>MOCHILA PIX SPORT 8129-31 47L YW-3,76/4,</t>
  </si>
  <si>
    <t>MOCHILA PORTA ACCESORIOS ETCH 08</t>
  </si>
  <si>
    <t>MOCHILA PUBG LEVEL 3 MZ-RJ-B01 30L FRONT</t>
  </si>
  <si>
    <t>MOCHILA PUBG WATERGROUN 8139-40 14.5L YW</t>
  </si>
  <si>
    <t>MOCHILA RINIONERA MZ-RJ-B04 8.5L FRONT-3</t>
  </si>
  <si>
    <t>MOCHILA RM99898/269 AZUL ETCH01</t>
  </si>
  <si>
    <t>MOCHILA RM99898/269 CAMUFLADA ETCH01</t>
  </si>
  <si>
    <t>MOCHILA RM99898/269 GRIS ETC01</t>
  </si>
  <si>
    <t>MOCHILA RM99898/269 NEGRA ETCH01</t>
  </si>
  <si>
    <t>MOCHILA RM99898/269 VERDE ETCH01</t>
  </si>
  <si>
    <t>MOCHILA SUPER ETCH 09</t>
  </si>
  <si>
    <t>MOCHILA SWAT 3P MZ-RJ-A20 23.5L FRONT-9,</t>
  </si>
  <si>
    <t>MOCHILA TACT MINI MOLLE AZUL ETCH 03</t>
  </si>
  <si>
    <t>MOCHILA TACT MINI MOLLE CAMUFL ETCH 03</t>
  </si>
  <si>
    <t>MOCHILA TACT MINI MOLLE GRIS ETCH 03</t>
  </si>
  <si>
    <t>MOCHILA TACT MINI MOLLE NEGRA ETCH 03</t>
  </si>
  <si>
    <t>MOCHILA TACT MINI MOLLE VERDE ETCH 03</t>
  </si>
  <si>
    <t>MORRAL DELTA RRD45 BLK</t>
  </si>
  <si>
    <t>MORRAL MOLLE C/POUCH NEGRO ETCH 07</t>
  </si>
  <si>
    <t>MORRAL TACTICO DE DESCARGA RER</t>
  </si>
  <si>
    <t>MORRAL TACTICO MULTIBOLS CAMUFL.ETCH 03</t>
  </si>
  <si>
    <t>MORRAL TACTICO MULTIBOLS. AZUL ETCH 03</t>
  </si>
  <si>
    <t>MORRAL TACTICO MULTIBOLS. GRIS ETCH 03</t>
  </si>
  <si>
    <t>MORRAL TACTICO MULTIBOLS. NEGRO ETCH 03</t>
  </si>
  <si>
    <t>MORRAL TACTICO MULTIBOLS. VERDE ETCH 03</t>
  </si>
  <si>
    <t>MORRAL TACTICO MULTIBOLSILLO ETCH</t>
  </si>
  <si>
    <t>MORRAL TACTICO RRD38 BLK</t>
  </si>
  <si>
    <t>MOSQUETON ACERO/GRIS 9CM C/ROSCA 5565/4</t>
  </si>
  <si>
    <t>MULSERA BASE MOLLE MUS-216 KAE</t>
  </si>
  <si>
    <t>MUNIEQUERA PORTA RELOJ RRD81 BLK</t>
  </si>
  <si>
    <t>MUSLERA ALFORJA 211 KAE</t>
  </si>
  <si>
    <t>MUSLERA ANATOMICA C PORTA CARGAD T609 TB</t>
  </si>
  <si>
    <t>MUSLERA ANATOMICA SIMPLE T608 TB</t>
  </si>
  <si>
    <t>MUSLERA C/BASE Y PORTA CARG VERDE GN</t>
  </si>
  <si>
    <t>MUSLERA COMANDO CON ELASTICO 203 KAE</t>
  </si>
  <si>
    <t>MUSLERA COMANDO STD MUS-204 KAE</t>
  </si>
  <si>
    <t>MUSLERA CON P/CARGADOR STD MUS-197 KAE</t>
  </si>
  <si>
    <t>MUSLERA CON PORTA CARGADOR ELAST 207 KAE</t>
  </si>
  <si>
    <t>MUSLERA CON TORNILLOS 205 KAE</t>
  </si>
  <si>
    <t>MUSLERA DOUCAD MUS-213 KAE</t>
  </si>
  <si>
    <t>MUSLERA ESCORPION STD MUS-196 KAE</t>
  </si>
  <si>
    <t>MUSLERA GEO C/ PORTACARG MAZ</t>
  </si>
  <si>
    <t>MUSLERA GEO D/SEGURO MAZ</t>
  </si>
  <si>
    <t>MUSLERA MORRAL C/CIERRE MUS-215 KAE</t>
  </si>
  <si>
    <t>MUSLERA MORRAL CON CIERRE MUS-210 KAE</t>
  </si>
  <si>
    <t>MUSLERA MORRAL CON TORNILLO XL STD RER</t>
  </si>
  <si>
    <t>MUSLERA P/CARG DOBLE Y P/ESPOSAS</t>
  </si>
  <si>
    <t>MUSLERA PARA FOBUS ETCH 04 ETC</t>
  </si>
  <si>
    <t>MUSLERA POLIA PORTA C DOBLE TERM T616 TB</t>
  </si>
  <si>
    <t>MUSLERA PORTA ELEMENTO NEGRO ETCH 05</t>
  </si>
  <si>
    <t>MUSLERA PORTA PODS RRD26 RER</t>
  </si>
  <si>
    <t>MUSLERA PORTACARG DOBLE + ESP T617 TB</t>
  </si>
  <si>
    <t>MUSLERA PORTAOBJETO 2 TIRAPIERNA T618 TB</t>
  </si>
  <si>
    <t>MUSLERA SW MUS-198 KAE</t>
  </si>
  <si>
    <t>MUSLERA SWAT S.T.D  EZ</t>
  </si>
  <si>
    <t>MUSLERA TACTICA DELTA STM2050 EZ</t>
  </si>
  <si>
    <t>MUSLERA TACTICA RRD8 BLK</t>
  </si>
  <si>
    <t>MUSLERA TACTICA UNIVERSAL EZ</t>
  </si>
  <si>
    <t>MUSLERA TERMOF C PORTA CARGADOR T621 TB</t>
  </si>
  <si>
    <t>MUSLERA TERMOF SIMPLE  T620 TB</t>
  </si>
  <si>
    <t>MUSLERAC/TORNILLO ELASTR MUS-202 KAE</t>
  </si>
  <si>
    <t>NAVAJA 20 CM  ACERADA C/NEGRO LUG</t>
  </si>
  <si>
    <t>NAVAJA 20 CM ACERO INOX LUG</t>
  </si>
  <si>
    <t>NAVAJA 21 CM ABREPANZA M/MADERA LUG</t>
  </si>
  <si>
    <t>NAVAJA 21CM BUCK/GRIS DA139   10-3/3</t>
  </si>
  <si>
    <t>NAVAJA 21CM MASTIFF/CAMUFLADA   14-28/3</t>
  </si>
  <si>
    <t>NAVAJA 21CM MASTIFF/GRIS DA162  9-11/3</t>
  </si>
  <si>
    <t>NAVAJA 23 CM C/ CERRUCHO Y ESTUCHE LUG</t>
  </si>
  <si>
    <t>NAVAJA 28 CM M MADERA 2 TRAAS CAJA LUG</t>
  </si>
  <si>
    <t>NAVAJA 8 CM METALICA NEGRA M52</t>
  </si>
  <si>
    <t>NAVAJA BROWNING DA73-1 IMP 0005</t>
  </si>
  <si>
    <t>NAVAJA COLUMBIA ESCORPION SAQUE RAPIDO 1</t>
  </si>
  <si>
    <t>NAVAJA COLUMBIA SPIDER SAQUE RAPIDO IMP</t>
  </si>
  <si>
    <t>NAVAJA CUCHILLO CONVERTIB EN TARJETA LUG</t>
  </si>
  <si>
    <t>NAVAJA GERBER GRIS Y NARANJA C/FUNDA IMP</t>
  </si>
  <si>
    <t>NAVAJA MARIPOSA CAMUFLADA 5517 LUG-023/3</t>
  </si>
  <si>
    <t>NAVAJA MARIPOSA GRIS  19-12/3</t>
  </si>
  <si>
    <t>NAVAJA MARIPOSA NEGRA 86B LUG</t>
  </si>
  <si>
    <t>NAVAJA MULTIUSO IMP</t>
  </si>
  <si>
    <t>NAVAJA STRIDER KNIVES 352 IMP 0005</t>
  </si>
  <si>
    <t>NAVAJA SUREFIRE D38 5542 ROMPE VIDRIO IM</t>
  </si>
  <si>
    <t>NN</t>
  </si>
  <si>
    <t>NOMBRE BORD INFANTERIA BI</t>
  </si>
  <si>
    <t>OREJERAS RER</t>
  </si>
  <si>
    <t>OREJERAS SIN PIEL RER</t>
  </si>
  <si>
    <t>OVERALL MULTIBOL GAB AZUL RER</t>
  </si>
  <si>
    <t>OVERALL MULTIBOL GAB NEGRO RER</t>
  </si>
  <si>
    <t>OVERALL MULTIBOL RIP AZUL RER</t>
  </si>
  <si>
    <t>PACK LASER PUNT. X 12 CAPSULA (8520004)</t>
  </si>
  <si>
    <t>PACK LASER PUNT. X6 CAPSULA (8520004)</t>
  </si>
  <si>
    <t>PACK LINTERNA X 12 TACT. PROF(8520941)</t>
  </si>
  <si>
    <t>PALA CAMPING CHICA</t>
  </si>
  <si>
    <t>PALMA BORD ORO AZUL 11 HOJAS CHAQUET DG</t>
  </si>
  <si>
    <t>PALMA BORD ORO AZUL 7 HOJAS CHAQUET DG</t>
  </si>
  <si>
    <t>PALMA BORD ORO CELESTE 11 HOJAS CAMI DG</t>
  </si>
  <si>
    <t>PANIO P LIMPIAR ARMA CAL 38 AL 45 KAE</t>
  </si>
  <si>
    <t>PANT AZUL C/CINTA LAUREA NEGRA 34/48 RER</t>
  </si>
  <si>
    <t>PANT AZUL C/CINTA LAUREA NEGRA 50/54 RER</t>
  </si>
  <si>
    <t>PANT AZUL C/CINTA LAUREA NEGRA 56/60 RER</t>
  </si>
  <si>
    <t>PANT AZUL DE POLICIA 36/48 RER</t>
  </si>
  <si>
    <t>PANT AZUL DE POLICIA 50/54 RER</t>
  </si>
  <si>
    <t>PANT AZUL DE POLICIA 56/60 RER</t>
  </si>
  <si>
    <t>PANT AZUL DE POLICIA DAMA 36/48 RER</t>
  </si>
  <si>
    <t>PANT AZUL DE POLICIA DAMA 50/54 RER</t>
  </si>
  <si>
    <t>PANT BEIGE OFICIAL LMGE 50/54 RER</t>
  </si>
  <si>
    <t>PANT GRIS GABARDINA 36/48 RER</t>
  </si>
  <si>
    <t>PANT GRIS GABARDINA 50/54 RER</t>
  </si>
  <si>
    <t>PANT GRIS TROPICAL 50-54 RER</t>
  </si>
  <si>
    <t>PANT JOGGINS GRIS 2XS/2XL RER</t>
  </si>
  <si>
    <t>PANT NEGRO C/CINTA LAUR NEGRA 50/54 RER</t>
  </si>
  <si>
    <t>PANT NEGRO GABARDINA 34/48 RER</t>
  </si>
  <si>
    <t>PANT NEGRO GABARDINA 56/60 RER</t>
  </si>
  <si>
    <t>PANT SCANNER RER</t>
  </si>
  <si>
    <t>PANT TERMICOS SPINIT STX NEGRO RER</t>
  </si>
  <si>
    <t>PANTALON  CONJ LIMPIEZA RER</t>
  </si>
  <si>
    <t>PEC BORD BAND INFANT CN2018 BAJA VIS BI</t>
  </si>
  <si>
    <t>PECT 1 ROMBO BASE FRAN PALMA C. INSP BI</t>
  </si>
  <si>
    <t>PECT 1 ROMBO BASE NE PALMA CRIO INSP RER</t>
  </si>
  <si>
    <t>PECT 1 ROMBO Y SERRETA SUBCOMIS BARG BI</t>
  </si>
  <si>
    <t>PECT 2 ROMBOS CHICOS 1 DOR Y 1 PLA  BI</t>
  </si>
  <si>
    <t>PECT 2 ROMBOS CHICOS PLAT BARG BI</t>
  </si>
  <si>
    <t>PECT 2 ROMBOS DOR Y SERRETA COMISARIO BI</t>
  </si>
  <si>
    <t>PECT 2 ROMBOS DOR/PLA  SERR CRIO BARG BI</t>
  </si>
  <si>
    <t>PECT 2 SOL STA CRUZ RER</t>
  </si>
  <si>
    <t>PECT 3 ROMBO CHICOS OF. PPAL BARG BI</t>
  </si>
  <si>
    <t>PECT 3 SOL ADJUTOR PPAL MENDO BVIS BI</t>
  </si>
  <si>
    <t>PECT 3 SOL ADJUTOR PRINCIPAL MENDO RER</t>
  </si>
  <si>
    <t>PECT 3 SOL STA CRUZ RER</t>
  </si>
  <si>
    <t>PECT BI AUXILIAR BEIGE BI</t>
  </si>
  <si>
    <t>PECT BORD 2 SOLES SERRETA DOR ALCAIDE BI</t>
  </si>
  <si>
    <t>PECT BORD ESTRELLAS ANTIG BAJA VIS  RER</t>
  </si>
  <si>
    <t>PECT BORD ORO CRIO GRAL SANTA CRUZ DG</t>
  </si>
  <si>
    <t>PECT BORD ORO CRIO INSP SANTA CRUZ DG</t>
  </si>
  <si>
    <t>PECT BORD ORO CRIO MAYOR SANTA CRUZ DG</t>
  </si>
  <si>
    <t>PECT BORD RUEDA ALADA POL VIAL BAND RER</t>
  </si>
  <si>
    <t>PECT BORD RUEDA ALADA VIAL BAJA VISI BI</t>
  </si>
  <si>
    <t>PECT BORD SL 1 ESTR DOR OF SUBINSP BI</t>
  </si>
  <si>
    <t>PECT BORD SL 1 ESTR PLAT OF AYTE BI</t>
  </si>
  <si>
    <t>PECT ESC CADETES 1 BARRA AZ BI</t>
  </si>
  <si>
    <t>PECT ESC CADETES 1 BARRA BL OJAL BI</t>
  </si>
  <si>
    <t>PECT ESC CADETES 1 BARRA NE RER</t>
  </si>
  <si>
    <t>PECT. 3 ROMBOS Y PALMA  CRIO GRAL BI</t>
  </si>
  <si>
    <t>PECT. ALAS BORD MOTORISTA TVS506-13 RER</t>
  </si>
  <si>
    <t>PECT. ALAS CHOF+MECA+MOTOR TRIPLE</t>
  </si>
  <si>
    <t>PECT. B/DENS. 1 ROMBO CHICO RER</t>
  </si>
  <si>
    <t>PECT. B/DENS. 2 ROMBOS CHIC BI</t>
  </si>
  <si>
    <t>PECT. BORD 1 ESTRELLA  ANTIG BARG RER</t>
  </si>
  <si>
    <t>PECT. BORD 2 ESTRELLAS ANTIG RER</t>
  </si>
  <si>
    <t>PECT. BORD LMGE GIMNASIA 1ER ANIO BI</t>
  </si>
  <si>
    <t>PECT. BORD LMGE GIMNASIA 2DO ANIO BI</t>
  </si>
  <si>
    <t>PECT. BORD LMGE GIMNASIA 3ER ANIO BI</t>
  </si>
  <si>
    <t>PECT. BORD LMGE GIMNASIA 4TO ANIO BI</t>
  </si>
  <si>
    <t>PECT. BORD LMGE GIMNASIA 5TO ANIO BI</t>
  </si>
  <si>
    <t>PECT. BORD. 1 SOL P.S.AEROPORTUA PSA BI</t>
  </si>
  <si>
    <t>PECT. BORD. 1 SOL Y SERRETA PSA BI</t>
  </si>
  <si>
    <t>PECT. BORD. 2 SOL P.S.AEROPORTUA PSA BI</t>
  </si>
  <si>
    <t>PECT. BORD. 2 SOL Y SERRETA PSA BI</t>
  </si>
  <si>
    <t>PECT. BORD. 3 SOL P.S.AEROPORTUA PSA BI</t>
  </si>
  <si>
    <t>PECT. BORD. 4 SOL P.S.AEROPORTUA PSA BI</t>
  </si>
  <si>
    <t>PECT. BORD. AUXILIAR   11 BI</t>
  </si>
  <si>
    <t>PECT. BORD. AUXILIAR MAYOR BI</t>
  </si>
  <si>
    <t>PECT. BORD. AUXILIAR PRIMERO    12 BI</t>
  </si>
  <si>
    <t>PECT. BORD. AUXILIAR SEGUNDO BI</t>
  </si>
  <si>
    <t>PECT. BORD. B. VISB. AUX. MAYOR BI</t>
  </si>
  <si>
    <t>PECT. BORD. B. VISIB. AUX. SEGUNDO BI</t>
  </si>
  <si>
    <t>PECT. BORD. B. VISIB. AUXILIAR 1 BI</t>
  </si>
  <si>
    <t>PECT. BORD. OF PPAL. INFANTERIA BI</t>
  </si>
  <si>
    <t>PECT. BORD. PENIT. ALAS SERP  BARG BI</t>
  </si>
  <si>
    <t>PECT. EJERCITO ARGENTINO   BARG BI</t>
  </si>
  <si>
    <t>PECT. GRUPO SANGUINEO   BARG BI</t>
  </si>
  <si>
    <t>PEDERNAL MAGNESIO INICIADOR DE FUEGO LUG</t>
  </si>
  <si>
    <t>PILA 18650 BATERIA REUT.VERDE USB 4526</t>
  </si>
  <si>
    <t>PILA 18650 BATERIA REUTILIZABLE</t>
  </si>
  <si>
    <t>PILA AAA 4 RER</t>
  </si>
  <si>
    <t>PILA RECARGABLE 3.7 V RER</t>
  </si>
  <si>
    <t>PILAS AAA POR 2 (PAR)</t>
  </si>
  <si>
    <t>PINZA  MULTIFUNCION RER</t>
  </si>
  <si>
    <t>PIST ANATOM BERSA MINITHUND XTL 557A XTR</t>
  </si>
  <si>
    <t>PIST CUERO GUERRILLERA 1034 TB</t>
  </si>
  <si>
    <t>PIST CUERO PANQUEQ CORTA 1036 TB</t>
  </si>
  <si>
    <t>PIST CUERO PANQUEQ LARGA  1035 TB</t>
  </si>
  <si>
    <t>PIST INTERNA MOLDEADA CON FLEJE TB</t>
  </si>
  <si>
    <t>PIST MOLLE MOL-01 KAE</t>
  </si>
  <si>
    <t>PIST NIVEL 1 + PORT CARG BERSA/PT92/BROW</t>
  </si>
  <si>
    <t>PIST NIVEL 2 H.N2-40/BS BERETA92 T92 FUN</t>
  </si>
  <si>
    <t>PIST NIVEL 2 ZURDA BERSA THUNDER PRO XTR</t>
  </si>
  <si>
    <t>PIST POLIA GUERRILLERA UNIVERSAL T600 T</t>
  </si>
  <si>
    <t>PIST POLIA UNIVERS COMANDO S/RAP T630 TB</t>
  </si>
  <si>
    <t>PIST TERMOF TACTICA C/TAPA VERDE 507 TB</t>
  </si>
  <si>
    <t>PIST. CUERO AVENGER/TAU/BE 1038 TB</t>
  </si>
  <si>
    <t>PIST. CUERO PANQUEQ C/TIRA 1037 TB</t>
  </si>
  <si>
    <t>PIST. CUERO PRONTO USO (S) RER</t>
  </si>
  <si>
    <t>PIST. CUERO SAQUE RAPID 1041 TB TB</t>
  </si>
  <si>
    <t>PIST. CUERO TACTIC REG GDE/CHICA 1040 TB</t>
  </si>
  <si>
    <t>PIST. CUERO TAURUS 1038 TB RER</t>
  </si>
  <si>
    <t>PIST. CUERO TODO CALIBRE 1051 TB</t>
  </si>
  <si>
    <t>PIST. CUERO UNIVERSAL 1042 TB</t>
  </si>
  <si>
    <t>PIST. EXTERNA KYDEX BERETTA/TAU9MM KY40E</t>
  </si>
  <si>
    <t>PIST. EXTERNA/ROTAT. KYDEX TAU92 KY40ER</t>
  </si>
  <si>
    <t>PIST. GUERRILL UNIV P CHALECO  T611 TB</t>
  </si>
  <si>
    <t>PIST. INTERNA C FLEJE MOLDEADA 1045 TB</t>
  </si>
  <si>
    <t>PIST. INTERNA KYDEX BERSATHUNDER PROKY41</t>
  </si>
  <si>
    <t>PIST. INTERNA KYDEX BERSATPR9 KYTPR9</t>
  </si>
  <si>
    <t>PIST. INTERNA KYDEX BROWNING9MM KY37</t>
  </si>
  <si>
    <t>PIST. INTERNA KYDEX/FC BERTHUN PROKYC41</t>
  </si>
  <si>
    <t>PIST. INTERNA KYDEX/FC BROWNING9MM KYC37</t>
  </si>
  <si>
    <t>PIST. INTERNA KYDEX/FC KYCTPR9</t>
  </si>
  <si>
    <t>PIST. MODELO QM BERSA PRO / GLOCK 5573-8</t>
  </si>
  <si>
    <t>PIST. MOLLE RRD11 BLK</t>
  </si>
  <si>
    <t>PIST. N5 AH BERSA THUNDER PRO AUTOM DEG</t>
  </si>
  <si>
    <t>PIST. N5 AH FS92 AUTOMATIC HOLSTER DEG</t>
  </si>
  <si>
    <t>PIST. N5 AH GLOCK AUTOMATIC HOLSTER DEG</t>
  </si>
  <si>
    <t>PIST. N5 AH PX4 AUTOMATIC HOLSTER DEG</t>
  </si>
  <si>
    <t>PIST. NIV 2 BERETTA PX4 STORM RER</t>
  </si>
  <si>
    <t>PIST. NIVEL 2 BERETTA 92/96 XTR</t>
  </si>
  <si>
    <t>PIST. NIVEL 2 BERSA AJUSTABLE 92GB HOLST</t>
  </si>
  <si>
    <t>PIST. NIVEL 2 BERSA PRO / HOLSTER 5658-8</t>
  </si>
  <si>
    <t>PIST. NIVEL 2 BERSA PRO/THU HOLSTER 5662</t>
  </si>
  <si>
    <t>PIST. NIVEL 2 BERSA PRO/THUNDMODM92 5656</t>
  </si>
  <si>
    <t>PIST. NIVEL 2 BERSA THUNDER JA.BAR TB</t>
  </si>
  <si>
    <t>PIST. NIVEL 2 BERSA THUNDER PRO 9/40 XTR</t>
  </si>
  <si>
    <t>PIST. NIVEL 2 BERSA THUNDER XTR</t>
  </si>
  <si>
    <t>PIST. NIVEL 2 BERSA TPR9 JA.BAR TB</t>
  </si>
  <si>
    <t>PIST. NIVEL 2 BERSA TPR9 XTR</t>
  </si>
  <si>
    <t>PIST. NIVEL 2 BERSA TPR9 ZURDA XTR</t>
  </si>
  <si>
    <t>PIST. NIVEL 2 BLCKHAWKGLOCK HOLSTER 5679</t>
  </si>
  <si>
    <t>PIST. NIVEL 2 BROWNING FM9 JA.BAR TB</t>
  </si>
  <si>
    <t>PIST. NIVEL 2 H.N2-38 GLOCK FUN</t>
  </si>
  <si>
    <t>PIST. NIVEL 2 H.N240 TAU PT92/B92/96 FUN</t>
  </si>
  <si>
    <t>PIST. NIVEL 2 H.N2PX4 BERETA PX4 FUN</t>
  </si>
  <si>
    <t>PIST. NIVEL 2 H.N2TPR9 BERSA TPR9 FUN</t>
  </si>
  <si>
    <t>PIST. NIVEL 2 HN2-41 BERSA THUND/PRO FUN</t>
  </si>
  <si>
    <t>PIST. NIVEL 2 HN241B BERSA TPR9/THUN FUN</t>
  </si>
  <si>
    <t>PIST. NIVEL 2 ROTATIVA BERSA 98 HOLSTER</t>
  </si>
  <si>
    <t>PIST. NIVEL 2 TAURUS 9/17 C XTR</t>
  </si>
  <si>
    <t>PIST. NIVEL 2 TAURUS PT92 XTR</t>
  </si>
  <si>
    <t>PIST. NIVEL2 BERSA MUSLERA 92G HOLSTER 5</t>
  </si>
  <si>
    <t>PIST. NIVEL3 H3 HIPOWER/BROW/GLOCK 5671</t>
  </si>
  <si>
    <t>PIST. POLIA  GUERILLERA VERDE MAZ</t>
  </si>
  <si>
    <t>PIST. POLIA ASTRA MAZ</t>
  </si>
  <si>
    <t>PIST. POLIA CON PORTA CARGADOR T612 TB</t>
  </si>
  <si>
    <t>PIST. POLIA CON PORTACARD MAZ</t>
  </si>
  <si>
    <t>PIST. POLIA CON TAPA EXTRAIBLE TB</t>
  </si>
  <si>
    <t>PIST. POLIA DOBLE PROPOS VERDE GN</t>
  </si>
  <si>
    <t>PIST. POLIA FUNDA INT UNIVERSAL T601 TB</t>
  </si>
  <si>
    <t>PIST. POLIA GEO CON PORTACARG MAZ</t>
  </si>
  <si>
    <t>PIST. POLIA GEO MAZ</t>
  </si>
  <si>
    <t>PIST. POLIA GERR.BROW SAQUE RAP MAZ</t>
  </si>
  <si>
    <t>PIST. POLIA GUERR. UNIV GRIS MAZ RER</t>
  </si>
  <si>
    <t>PIST. POLIA GUERR. UNIV NEGRA MAZ</t>
  </si>
  <si>
    <t>PIST. POLIA MINI ASTRA GUERR. MAZ</t>
  </si>
  <si>
    <t>PIST. POLIA MINI GUERRILLERA MAZ</t>
  </si>
  <si>
    <t>PIST. POLIA MINICOMPAC SAQUERAP MAZ</t>
  </si>
  <si>
    <t>PIST. POLIA PANQUEQ UNIVERSAL SHOKE EZ</t>
  </si>
  <si>
    <t>PIST. POLIA RI¥ONERA POLIA MAZ</t>
  </si>
  <si>
    <t>PIST. POLIA SAQUE RAPIDO T500 TB</t>
  </si>
  <si>
    <t>PIST. POLIA TACTICA VERDE RER</t>
  </si>
  <si>
    <t>PIST. POLIA TAURUS MAZ</t>
  </si>
  <si>
    <t>PIST. POLIA UNIVERSAL MULTIMARCA EZ</t>
  </si>
  <si>
    <t>PIST. POLIA UNIVERSAL T607 TB</t>
  </si>
  <si>
    <t>PIST. TERMO. BERSA TPB EM</t>
  </si>
  <si>
    <t>PIST. TERMO. BLK BLK</t>
  </si>
  <si>
    <t>PIST. TERMO. MINI THUNDER CMTH EM</t>
  </si>
  <si>
    <t>PIST. TERMO. SAQUE RAPIDO UNIV. T509 TB</t>
  </si>
  <si>
    <t>PIST. TERMO. TACTICA CTAPA NEGRA T507 TB</t>
  </si>
  <si>
    <t>PIST. TERMO. TACTICA REGULABLE T504 TB</t>
  </si>
  <si>
    <t>PIST. TERMOFOR. GUERR T503 TB</t>
  </si>
  <si>
    <t>PIST. TERMOFOR. MULTIMARCA T506 TB</t>
  </si>
  <si>
    <t>PIST. TERMOFOR. PANQ CORTA C/TIRA T513TB</t>
  </si>
  <si>
    <t>PIST. TERMOFOR. PANQUEQ CTA T502 TB</t>
  </si>
  <si>
    <t>PIST. TERMOFOR. PANQUEQ LGA  T501 TB</t>
  </si>
  <si>
    <t>PIST. TERMOFOR. SAQUE RAPIDO T508 TB</t>
  </si>
  <si>
    <t>PIST. TERMOFORMADO LARGA BERSA T507 TB</t>
  </si>
  <si>
    <t>PIST. TIRA PORTA ARMA HUESITO 1046 TB</t>
  </si>
  <si>
    <t>PIST. UNIV AMBID LARGA CUE 1052 TB</t>
  </si>
  <si>
    <t>PIST. UNIVERSAL MULTIMARCA M008 MOLLE TB</t>
  </si>
  <si>
    <t>PLANTILLA AIR SOFT 93803001 34/35 ING</t>
  </si>
  <si>
    <t>PLATAFORMA MOLLE STRIKE 001-14/4,84</t>
  </si>
  <si>
    <t>PLATAFORMA MUSLERA AH UNIVER. AUTOMA DEG</t>
  </si>
  <si>
    <t>PLATAFORMA MUSLERA H.N2-72 FUN</t>
  </si>
  <si>
    <t>PLATAFORMA MUSLERA MOLLE M007 TB</t>
  </si>
  <si>
    <t>PLATAFORMA XTL STP568 XTR</t>
  </si>
  <si>
    <t>POLERA ALGODON AZUL RER</t>
  </si>
  <si>
    <t>POLERA ALGODON BLANCA RER</t>
  </si>
  <si>
    <t>POLERA ALGODON GRIS RER</t>
  </si>
  <si>
    <t>POLERA ALGODON NEGRA RER</t>
  </si>
  <si>
    <t>PORTA BASTON EXT. POLIMERO 12CM  5566/1-</t>
  </si>
  <si>
    <t>PORTA BASTON EXT. POLIMERO 9.5CM 5681-32</t>
  </si>
  <si>
    <t>PORTA BASTON EXT. POLIMERO MOLLE 5683-22</t>
  </si>
  <si>
    <t>PORTA BOTELLA/TERMO MOLLE KAE</t>
  </si>
  <si>
    <t>PORTA CARG 2 POSIC XTL CC2036 RER</t>
  </si>
  <si>
    <t>PORTA CARG BLANCO DOBLE</t>
  </si>
  <si>
    <t>PORTA CARG CUERO DOBLE 1018 TB</t>
  </si>
  <si>
    <t>PORTA CARG CUERO SIMPLE 1019 TB</t>
  </si>
  <si>
    <t>PORTA CARG POLIA DOBLE VERDE GN</t>
  </si>
  <si>
    <t>PORTA CARG POLIA DOBLE VERDE MAZ</t>
  </si>
  <si>
    <t>PORTA CARG POLIA GEMELO GRIS RER</t>
  </si>
  <si>
    <t>PORTA CARG POLIA GR VERDE GN</t>
  </si>
  <si>
    <t>PORTA CARG POLIA SIMPLE MAZ</t>
  </si>
  <si>
    <t>PORTA CARG POLIA XTL DOBLE ANAT 508 XTR</t>
  </si>
  <si>
    <t>PORTA CARG SIMP/LINT/PINZA MOLLE M002 TB</t>
  </si>
  <si>
    <t>PORTA CARG TERMO DOBLE T551 TB</t>
  </si>
  <si>
    <t>PORTA CARG TERMOFOR SIMPLE HORI T550 TB</t>
  </si>
  <si>
    <t>PORTA CARG TERMOFOR SIMPLE VERT T550 TB</t>
  </si>
  <si>
    <t>PORTA CARG VERD SISTEMA MOLLE RER</t>
  </si>
  <si>
    <t>PORTA CARG. DOBLE POLIM C/TAPA P013 TB</t>
  </si>
  <si>
    <t>PORTA CARGAD FOBUS 6909 ND DOMAG 9MM MIN</t>
  </si>
  <si>
    <t>PORTA CARGADOR DOBLE H.RP113 9/40 FUN</t>
  </si>
  <si>
    <t>PORTA CARGADOR DOBLE POLIMERO P013 TB</t>
  </si>
  <si>
    <t>PORTA CARGADOR FOBUS DSS1 MIN</t>
  </si>
  <si>
    <t>PORTA CARGADOR SIMPLE AJUST RRD72 BLK</t>
  </si>
  <si>
    <t>PORTA CARTUCHO NEGRO RER</t>
  </si>
  <si>
    <t>PORTA CARTUCHOS NEGRO</t>
  </si>
  <si>
    <t>PORTA CELULAR GUERRILLERO MOLLE MOL-18</t>
  </si>
  <si>
    <t>PORTA CELULAR T558 TB</t>
  </si>
  <si>
    <t>PORTA CRED CUERO  BILLETERA 1025 TB</t>
  </si>
  <si>
    <t>PORTA CRED CUERO COLGANTE 1027 TB</t>
  </si>
  <si>
    <t>PORTA CRED CUERO LIBRO 1026 TB</t>
  </si>
  <si>
    <t>PORTA CREDENCIAL DESMONTABLE KAE</t>
  </si>
  <si>
    <t>PORTA ELEMENTO POLIA VERDE GN RER</t>
  </si>
  <si>
    <t>PORTA ELEMENTOS POLIA T662 TB</t>
  </si>
  <si>
    <t>PORTA ESPO POLIA GRIS T552 C/TAPA TB</t>
  </si>
  <si>
    <t>PORTA ESPOSA DE POLIA VERDE CON HE RER</t>
  </si>
  <si>
    <t>PORTA ESPOSAS CUERO 1023 C/TAPA TB</t>
  </si>
  <si>
    <t>PORTA ESPOSAS CUERO 1024 SAQUE RAPID TB</t>
  </si>
  <si>
    <t>PORTA ESPOSAS FOBUS HSP MIN</t>
  </si>
  <si>
    <t>PORTA ESPOSAS POLIA VER C/TAPA GN GANCHO</t>
  </si>
  <si>
    <t>PORTA ESPOSAS POLIA VERDE C/TAPA GN T552</t>
  </si>
  <si>
    <t>PORTA ESPOSAS POLIA VERDE GN C/TAPA</t>
  </si>
  <si>
    <t>PORTA ESPOSAS POLIA VERDE MAZ</t>
  </si>
  <si>
    <t>PORTA ESPOSAS TAPA TACTIC TERMO T556 TB</t>
  </si>
  <si>
    <t>PORTA ESPOSAS TERMO T552 C/TAPA TB</t>
  </si>
  <si>
    <t>PORTA ESPOSAS TERMO T553 GUERRILLER TB</t>
  </si>
  <si>
    <t>PORTA HANDY  T554 TB</t>
  </si>
  <si>
    <t>PORTA HANDY MOLLE BLK070</t>
  </si>
  <si>
    <t>PORTA HIDRATADOR RRD30 BLK</t>
  </si>
  <si>
    <t>PORTA LINTERNA POLIA  VERDE GN</t>
  </si>
  <si>
    <t>PORTA LINTERNA POLIA REGULABLE T665 TB</t>
  </si>
  <si>
    <t>PORTA LLAVES POLIA CAMPANA T657 TB</t>
  </si>
  <si>
    <t>PORTA LLAVES POLIA GOTA T654 TB RER</t>
  </si>
  <si>
    <t>PORTA OBJETOS MULTIUSO M006 MOLLE TB</t>
  </si>
  <si>
    <t>PORTA TABLILLA ANOTADORA POR-256 KAE</t>
  </si>
  <si>
    <t>PORTA TAHALI POLIA VERDE GN RER</t>
  </si>
  <si>
    <t>PORTA TONFA CUERO METAL 1016 TB</t>
  </si>
  <si>
    <t>PORTA TONFA FIJO PLASTICO RER214</t>
  </si>
  <si>
    <t>PORTA TONFA POLIA GRIS RER</t>
  </si>
  <si>
    <t>PORTA TONFA POLIA VERDE GN</t>
  </si>
  <si>
    <t>PORTA TONFA RERDA BROCHE/ARO METAL EZ</t>
  </si>
  <si>
    <t>PORTACARTUCHOS SIST MOLLE RRD60 BLK</t>
  </si>
  <si>
    <t>PORTAESPOSA TERMO C/TAPA VERDE TB</t>
  </si>
  <si>
    <t>POUCH CON PORTA CELULAR POR-254 KAE</t>
  </si>
  <si>
    <t>POUCH TACTICO C/PORTA CEL MOLLE 8150-18/</t>
  </si>
  <si>
    <t>PRECINTOS POLICIALES TACTICOS LUBRI MAL</t>
  </si>
  <si>
    <t>PROT RODILLA XTL 839 XTR</t>
  </si>
  <si>
    <t>PROT.CODO XTL 838 XTR</t>
  </si>
  <si>
    <t>PROTECTOR AUDITIVO LIBUS ALTERNATIVE</t>
  </si>
  <si>
    <t>PROTECTOR AUDITIVO RER</t>
  </si>
  <si>
    <t>PROTECTOR DE CODO E.Z.</t>
  </si>
  <si>
    <t>PROTECTOR DE RODILLA E.Z.</t>
  </si>
  <si>
    <t>PROTECTOR VISUAL ARGON ANTEOJO</t>
  </si>
  <si>
    <t>RABIZA ANTIPERDIDA RAB-BROCHE/ABROJ EZ</t>
  </si>
  <si>
    <t>RABIZA EXTENSIBLE RETRACTIL 101RR FUN</t>
  </si>
  <si>
    <t>RABIZA SIMPLE CON ABROJO IMP 1304</t>
  </si>
  <si>
    <t>RABIZA TACTICA REFORZADA C/HEBILLA 5641-</t>
  </si>
  <si>
    <t>RELOJ CON LINTERNA Y BRUJULA IMP-30</t>
  </si>
  <si>
    <t>RELOJ DE SUPERVIVENCIA IMP</t>
  </si>
  <si>
    <t>RELOJ EXPONI IMP-20</t>
  </si>
  <si>
    <t>RELOJ JEAN CARTIER</t>
  </si>
  <si>
    <t>RELOJ SPORT WATCH TACTICO 5506-1,8/3,6</t>
  </si>
  <si>
    <t>RELOJ TACTICO DIGITAL 5514-30-48/3,6</t>
  </si>
  <si>
    <t>RELOJ TACTICO MALLA/CUERDA ICE FROG 5524</t>
  </si>
  <si>
    <t>RELOJ TACTICO O.T.S 5512-693-30-48/3,6</t>
  </si>
  <si>
    <t>RELOJ TACTICO O.T.S T7033G 5518-30-48/3,</t>
  </si>
  <si>
    <t>REMERA MC AZUL LISA GEI</t>
  </si>
  <si>
    <t>REMERA MC BLANCA IUSP GEI</t>
  </si>
  <si>
    <t>REMERA MC BLANCA LISA GEI</t>
  </si>
  <si>
    <t>REMERA MC GRIS MELANGE SIN BORDAR GEI</t>
  </si>
  <si>
    <t>REMERA MC GRIS TOPO LISA 2XS/2XL GEI</t>
  </si>
  <si>
    <t>REMERA MC GRIS TOPO LISA 3XL/6XL GEI</t>
  </si>
  <si>
    <t>REMERA MC NEGRA LISA GEI</t>
  </si>
  <si>
    <t>REMERA MC SIN CIERRE AZUL 3XL/5XL RER</t>
  </si>
  <si>
    <t>REMERA MC SIN CIERRE AZUL 3XS/2XL RER</t>
  </si>
  <si>
    <t>REMERA MC SIN CIERRE GRIS 3XS/2XL RER</t>
  </si>
  <si>
    <t>REMERA MC SIN CIERRE NEGRO 3XL/6XL RER</t>
  </si>
  <si>
    <t>REMERA MC SIN CIERRE NEGRO 3XS/2XL RER</t>
  </si>
  <si>
    <t>REMERA MC VERDE LMGE GEI</t>
  </si>
  <si>
    <t>REMERA ML 1RA PIEL NEGRA  VANIZADA RER</t>
  </si>
  <si>
    <t>REMERA ML AZUL GEI</t>
  </si>
  <si>
    <t>REMERA ML BLANCA GEI</t>
  </si>
  <si>
    <t>REMERA ML SIN CIERRE GRIS 3XS/2XL RER</t>
  </si>
  <si>
    <t>REMERA ML SIN CIERRE NEGRA 3XS/2XL RER</t>
  </si>
  <si>
    <t>RINIONERA DELTA STR 2047</t>
  </si>
  <si>
    <t>RINIONERA WOODPACK CAMUFLADA BLK</t>
  </si>
  <si>
    <t>RINIONERA WOODPACK NEGRA BLK</t>
  </si>
  <si>
    <t>RINIONERA WOODPACK VERDE BLK</t>
  </si>
  <si>
    <t>SEPARADOR DOBLE POLIA T653 TB</t>
  </si>
  <si>
    <t>SEPARADOR SIMPLE CUERO 1002 TB</t>
  </si>
  <si>
    <t>SEPARADOR SIMPLE POLIA  T652 TB</t>
  </si>
  <si>
    <t>SEPARDOR DOBLE 1001 TB</t>
  </si>
  <si>
    <t>SET 2 CEPILLOS DE LIMPIEZA DE ARMAS RER</t>
  </si>
  <si>
    <t>SET CUBIERTOS CAMPING RER</t>
  </si>
  <si>
    <t>SHORT GRIS LMGE RER</t>
  </si>
  <si>
    <t>SHORT IUSP RER</t>
  </si>
  <si>
    <t>SILBATO  CON BRUJULA H3-1 RER</t>
  </si>
  <si>
    <t>SILBATO METALICO 4CM C/SOGA 5764-032/4,4</t>
  </si>
  <si>
    <t>SILBATO METALICO IMP</t>
  </si>
  <si>
    <t>SILBATO PLASTICO NEGRO C/SOGA 5768-023/4</t>
  </si>
  <si>
    <t>SOBAQ CUERO C PORTACARG SIMPLE 1048 T TB</t>
  </si>
  <si>
    <t>SOBAQ CUERO CPORTACARG DOBLE T1049 ST TB</t>
  </si>
  <si>
    <t>SOBAQ CUERO VERT HORIZONTAL SPLE 1047 TB</t>
  </si>
  <si>
    <t>SOBAQ POLIA C/PORTACARG DOBLE T702 TB</t>
  </si>
  <si>
    <t>SOBAQ. MIAMI UNIVERSAL T706 RER</t>
  </si>
  <si>
    <t>SOBAQ. POLIA C/PORTACAR. SIMPLE T701 TB</t>
  </si>
  <si>
    <t>SOBAQ. POLIA S/PORTACARG MAZ</t>
  </si>
  <si>
    <t>SOBAQ. UNIVERSAL SIMPLE T700 TB</t>
  </si>
  <si>
    <t>SUDADERA RED MILITAR NEGRA RER</t>
  </si>
  <si>
    <t>SUDADERA RED MILITAR VERDE ORF</t>
  </si>
  <si>
    <t>TARJETA DE SUPERVIVENCIA 5559-029/4,84</t>
  </si>
  <si>
    <t>TONFA POLICARBONATO RERDA RER201</t>
  </si>
  <si>
    <t>TONFA POLIPROPILENO RERDA RER202</t>
  </si>
  <si>
    <t>TRICOPOLAR AZUL RER</t>
  </si>
  <si>
    <t>TRICOPOLAR NEGRO RER</t>
  </si>
  <si>
    <t>TRICOTA C/POLERA FORRADA AZUL EM</t>
  </si>
  <si>
    <t>TRICOTA C/POLERA FORRADA GRIS EM</t>
  </si>
  <si>
    <t>TRICOTA C/POLERA FORRADA NEGRA EM</t>
  </si>
  <si>
    <t>TRICOTA C/POLERA FORRADA VERDE EM</t>
  </si>
  <si>
    <t>TRICOTA CUELLO REDONDO FORRADA AZUL EM</t>
  </si>
  <si>
    <t>TRICOTA CUELLO REDONDO NEGRA EM</t>
  </si>
  <si>
    <t>TRICOTA CUELLO REDONDO VERDE EM</t>
  </si>
  <si>
    <t>TRICOTA ESCOTE V SIN FORRO AZUL EM</t>
  </si>
  <si>
    <t>TRICOTA ESCOTE V SIN FORRO NEGRA EM</t>
  </si>
  <si>
    <t>VISERA BORD ORO CRIO. GENERAL DG</t>
  </si>
  <si>
    <t>VISERA BORD ORO CRIO. INSPECTOR DG</t>
  </si>
  <si>
    <t>VISERA BORD ORO SUB COMISARIO/COMIS DG</t>
  </si>
  <si>
    <t>ZAPATO GOMA ELE</t>
  </si>
  <si>
    <t>Está en el Catálogo</t>
  </si>
  <si>
    <t>DESCRIPCION - Insertar fila: "CONTROL+f"</t>
  </si>
  <si>
    <t>BOTIQUIN MOLLE RRD82 BLK</t>
  </si>
  <si>
    <t>CHALECO FUNDA MOLLE RRD80 BLK</t>
  </si>
  <si>
    <t>CINTURON TACTICO RANGER HEBILLA FA38</t>
  </si>
  <si>
    <t>CINTURON TACTICO URBANO GRANDE  5494/3</t>
  </si>
  <si>
    <t>LINTERNA 1932 SIN CAJA+CABLE USB</t>
  </si>
  <si>
    <t>LINTERNA 4048+CABLE USB+ROMPEVIDRIO</t>
  </si>
  <si>
    <t>LINTERNA 4067 ZOOM R/VIDRIO + CABLE USB</t>
  </si>
  <si>
    <t>LINTERNA POLICE + CABLE USB</t>
  </si>
  <si>
    <t>MOCHILA RM99898/269 ETCH</t>
  </si>
  <si>
    <t>MORRAL BOLSO TACTICO PORTA BOTELLA 8147-</t>
  </si>
  <si>
    <t>MORRAL CRUZADO RRD81 BLK</t>
  </si>
  <si>
    <t>MORRAL TACTICO MULTIBOLSILLO ETCH 03</t>
  </si>
  <si>
    <t>PORTA CELULAR GRANDE RRD69</t>
  </si>
  <si>
    <t>SUDADERA RED MILITAR BEIGE ORF</t>
  </si>
  <si>
    <t>BOINA TELA AZUL MF</t>
  </si>
  <si>
    <t>BOINA TELA NEGRA MF</t>
  </si>
  <si>
    <t>BORCEGUI COMANDO CORTO ART80 C/CIERRE CA</t>
  </si>
  <si>
    <t>BORCEGUI FULL GRAIN 1071 RER</t>
  </si>
  <si>
    <t>BOTIN CORTO BLANCO CUERO/GAMUZA 1016</t>
  </si>
  <si>
    <t>CHALECO FUNDA MAGAL GRANDE MOLLE RRD/ET</t>
  </si>
  <si>
    <t>CORREA TACTICA MILITAR 2 PUNTOS 5639-18/</t>
  </si>
  <si>
    <t>ESPOSAS NEGRAS CON CADENA</t>
  </si>
  <si>
    <t>STOCK</t>
  </si>
  <si>
    <t>CAMISA MC BAT CEL NQN CORB 52/56 RER</t>
  </si>
  <si>
    <t>CASQ RIP AZUL NQUEN. RER</t>
  </si>
  <si>
    <t>GORRITA MZA UCAR   071/071/150 BI</t>
  </si>
  <si>
    <t>NOMBRE BORD MOTORIZADA BI</t>
  </si>
  <si>
    <t>BOMB AMER RIP GRIS 34/48 RER</t>
  </si>
  <si>
    <t>BUZO FRIZA NEGRO CON CIERRE 3XL/4XL RER</t>
  </si>
  <si>
    <t>GARIBALDINA MAO RIP PITON 2XS/2XL</t>
  </si>
  <si>
    <t>LINTERNA RECARG USB C/ZOOM11CM 4050/5544</t>
  </si>
  <si>
    <t>MEDIAS TE90A TERMICAS SOX</t>
  </si>
  <si>
    <t>MOCHILA CON CORDON GRANDE 8132-34 65L YW</t>
  </si>
  <si>
    <t>REMERA ML COMBAT NEGRA RER</t>
  </si>
  <si>
    <t>BOMB CLAS GAB GRIS 62/66 RER</t>
  </si>
  <si>
    <t>BOMB JAZAK RIP INFANTERIA 56/60 RER</t>
  </si>
  <si>
    <t>BOMB AMER RIP AZUL NOCHE 34/48 RER</t>
  </si>
  <si>
    <t>PANT NEGRO GABARDINA 50/54 RER</t>
  </si>
  <si>
    <t>BOMB KADIMA EXPAND GAB NEGRA 34/48 RER</t>
  </si>
  <si>
    <t>BOMB KADIMA EXPAND GAB AZUL 50/54 RER</t>
  </si>
  <si>
    <t>BOMB KADIMA EXPAND GAB AZUL 56/60 RER</t>
  </si>
  <si>
    <t>PANT NEGRO C/CINTA LAUR NEGRA 34/48 RER</t>
  </si>
  <si>
    <t>PANT GRIS GABARDINA 56/60 RER</t>
  </si>
  <si>
    <t>BOMB AMER RIP NEGRA 50/54 RER</t>
  </si>
  <si>
    <t>PANT BEIGE OFICIAL LMGE 34/48 RER</t>
  </si>
  <si>
    <t>PANT GRIS TROPICAL 34-48 RER</t>
  </si>
  <si>
    <t>POLLERA POLICIA SIN FORRAR RER</t>
  </si>
  <si>
    <t>POLLERA POLICIA C FORRO RER</t>
  </si>
  <si>
    <t>SHORT NEGRO INFANTERIA RER</t>
  </si>
  <si>
    <t>CHOMBA MC POLO BLANCA PSA 2XS/2XL RER</t>
  </si>
  <si>
    <t>CHOMBA MC POLO GRIS MELA SPF 3XS/2XL RER</t>
  </si>
  <si>
    <t>CHOMBA MC CIERRE BEIGE 3XL/5XL RER</t>
  </si>
  <si>
    <t>CHOMBA MC POLO GRIS + BAND 3XL/6XL RER</t>
  </si>
  <si>
    <t>REMERA ML COMBAT DIGITAL VERDE</t>
  </si>
  <si>
    <t>REMERA ML COMBAT AZUL</t>
  </si>
  <si>
    <t>REMERA MC GRIS BORDADA LMGE GEI</t>
  </si>
  <si>
    <t>REMERA MC AZUL IUSP 198 GEI</t>
  </si>
  <si>
    <t>REMERA MC INFOPE GRIS RER</t>
  </si>
  <si>
    <t>REMERA MC AZUL CON ESTAMPA POLICIA GEI</t>
  </si>
  <si>
    <t>REMERA MC NEGRA CON ESTAMPA POLICIA GEI</t>
  </si>
  <si>
    <t>REMERA MC GRIS MELANGE SPF RER</t>
  </si>
  <si>
    <t>2301333</t>
  </si>
  <si>
    <t>CHALECO CARRIER C/PORTA ELEM MAZ/RRD</t>
  </si>
  <si>
    <t>CAMISA ML BAT CEL FORR 32/44 RER</t>
  </si>
  <si>
    <t>CAMISA ML BAT CEL FORR 46/50 RER</t>
  </si>
  <si>
    <t>CAMISA MC BAT BLANCA CORB TUCU 34/44 RER</t>
  </si>
  <si>
    <t>CAMISA ML BAT CEL NQN 58/66 RER</t>
  </si>
  <si>
    <t>CAMISA ML BAT CEL NQN 52/56 RER</t>
  </si>
  <si>
    <t>CAMISA ML RIP MIMET VIAL TMAN 34/44 RER</t>
  </si>
  <si>
    <t>CAMISA ML RIP MIMET VIAL TMAN 46/50 RER</t>
  </si>
  <si>
    <t>CAMISA ML RIP VERDE 46/50 RER</t>
  </si>
  <si>
    <t>CAMISA MC BAT NEGRA SOLAPA 52/56 RER</t>
  </si>
  <si>
    <t>CAMISA ML BAT AZUL 34/44 RER</t>
  </si>
  <si>
    <t>CAMISA ML BAT AZUL 46/50 RER</t>
  </si>
  <si>
    <t>CAMISA ML BAT GRIS 58/62 RER</t>
  </si>
  <si>
    <t>CAMISA ML RIP GRIS 34/44 RER</t>
  </si>
  <si>
    <t>CAMISA ML RIP GRIS 46/50 RER</t>
  </si>
  <si>
    <t>CAMISA MC BAT BEIGE LMGE 34/44 RER</t>
  </si>
  <si>
    <t>CAMP ALPHA MJS113132C1 SUMMIT 2XL RER</t>
  </si>
  <si>
    <t>CAMP FRACTION 8121  2XS/3XL RER</t>
  </si>
  <si>
    <t>CAMP SOFTSHEL FRACTION NEGRA 2XS/3XL RER</t>
  </si>
  <si>
    <t>CAMP POLAR AMERICANA BEIGE RER</t>
  </si>
  <si>
    <t>GARIBALDINA JAZAK RIP TIG CE 3XL/5XL RER</t>
  </si>
  <si>
    <t>GARIBALDINA ARMY RIP EJERCIT 3XL/5XL RER</t>
  </si>
  <si>
    <t>GARIBALDINA JAZAK RIP AZUL 3XL/5XL RER</t>
  </si>
  <si>
    <t>GARIBALDINA MAO RIP EJERCITO 3XL/6XL RER</t>
  </si>
  <si>
    <t>5101900</t>
  </si>
  <si>
    <t>CAMP PLUMA NEGRA BRILLO S/CAP ART102 RER</t>
  </si>
  <si>
    <t>CAMP PLUMA NEGRA ULTRA LIGTH ORIG RER</t>
  </si>
  <si>
    <t>5101912</t>
  </si>
  <si>
    <t>CAMP PLUMA SIN CAPU ROJA ARD</t>
  </si>
  <si>
    <t>CAMP PLUMA SIN CAPU AZUL FRAN ARD</t>
  </si>
  <si>
    <t>CAMP PLUMA SIN CAPU GRIS ARD</t>
  </si>
  <si>
    <t>CAMP PLUMA SIN CAPU GRIS TORCASA ARD</t>
  </si>
  <si>
    <t>CAMP PLUMA C/CAPU NEGRA ARD</t>
  </si>
  <si>
    <t>CAMP PLUMA C/CAPU AZUL FRAN ARD</t>
  </si>
  <si>
    <t>CAMP PLUMA C/CAPU GRIS TORC ARD</t>
  </si>
  <si>
    <t>CAMP PLUMA SIN CAPU AZUL OSCURO ARD</t>
  </si>
  <si>
    <t>CAMP PLUMA SIN CAPU GRIS CLARO ARD</t>
  </si>
  <si>
    <t>BERMUDA CARGO GAB AZUL 34/48 RER</t>
  </si>
  <si>
    <t>BERMUDA CARGO GAB AZUL 50/54 RER</t>
  </si>
  <si>
    <t>BERMUDA CARGO GAB AZUL 56/60 RER</t>
  </si>
  <si>
    <t>PINTORCITO LMGE VERDE RER</t>
  </si>
  <si>
    <t>INSIG NEGRA SARG AYDTE P/COLGA</t>
  </si>
  <si>
    <t>INSIG AZUL SUBOF MAYOR COLGAR</t>
  </si>
  <si>
    <t>INSIG BI SUB OFICIAL PPAL PENIT G/AMARIL</t>
  </si>
  <si>
    <t>INSIG BI SUB OFICIAL MAYOR PENIT G/AMARI</t>
  </si>
  <si>
    <t>INSIG GOMA NEGRA SARG 1RO COLGAR RER</t>
  </si>
  <si>
    <t>INSIG GOMA NEGRA SARG AYTE COLGAR RER</t>
  </si>
  <si>
    <t>INSIG GOMA NEGRA CABO RER</t>
  </si>
  <si>
    <t>BANDERA ARG BORD LARGA BAJA VIS BI</t>
  </si>
  <si>
    <t>HOMB POLICIA LISA COMISARIO</t>
  </si>
  <si>
    <t>HOMB BI PENIT MZA SUB ADJUTOR</t>
  </si>
  <si>
    <t>HOMB BI PENIT MZA ADJUTOR</t>
  </si>
  <si>
    <t>HOMB BI PENIT MZA ADJUTOR PRINCIPAL</t>
  </si>
  <si>
    <t>HOMB BI PENIT MZA SUB ALCAIDE RER</t>
  </si>
  <si>
    <t>HOMB BI PENIT MZA 2SOL SERRETA ALCAIDE</t>
  </si>
  <si>
    <t>HOMB BI PENIT MZA 3SOL SERR/PAL PREFGRAL</t>
  </si>
  <si>
    <t>HOMB BI PENIT SANTA CRUZ SUB ALCAIDE</t>
  </si>
  <si>
    <t>HOMB BI PENIT SANTA CRUZ ALCAIDE</t>
  </si>
  <si>
    <t>HOMB BI PENIT SANTA CRUZ SUB ALCAIDE MAY</t>
  </si>
  <si>
    <t>HOMB BI PENIT SANTA CRUZ SUB ADJUTOR</t>
  </si>
  <si>
    <t>HOMB BI PENIT SANTA CRUZ ADJUTOR</t>
  </si>
  <si>
    <t>HOMB BI PENIT SANTA CRUZ ADJUTOR PRINCIP</t>
  </si>
  <si>
    <t>HOMB BI PENIT SANTA CRUZ SUB PREFECTO</t>
  </si>
  <si>
    <t>HOMB BI PENIT SANTA CRUZ PREFECTO</t>
  </si>
  <si>
    <t>HOMB BI POL ALCAIDE MAYOR 3SOL + SERR BI</t>
  </si>
  <si>
    <t>HOMB BORD ORO CRIO GRAL 3 ROMBOS DG</t>
  </si>
  <si>
    <t>HOMB LMGE VERDE 4TO ANIO</t>
  </si>
  <si>
    <t>HOMB LMGE VERDE 5TO ANIO</t>
  </si>
  <si>
    <t>HOMB NEGRA CABO 1 RER</t>
  </si>
  <si>
    <t>HOMB NEGRA SARGENTO 1 RER</t>
  </si>
  <si>
    <t>HOMBRERA VERDE CTE MAYOR GN BI</t>
  </si>
  <si>
    <t>HOMB GALA NUDO HUNGARO DORADA AZZ</t>
  </si>
  <si>
    <t>HOMB GALA NUDO HUNGARO PLATEADA AZZ</t>
  </si>
  <si>
    <t>HOMBRERA VERDE CTE PPAL GN</t>
  </si>
  <si>
    <t>BANDERA ECO ( EL PAR) RER</t>
  </si>
  <si>
    <t>METAL RIEL DE 3 FEM</t>
  </si>
  <si>
    <t>HEBILLA DOR CINTO TROPA RER</t>
  </si>
  <si>
    <t>BANDERA ARG.BORD. 7.20X4.40   BARG BI</t>
  </si>
  <si>
    <t>METAL INSIGNIA CABO A SAR RER</t>
  </si>
  <si>
    <t>PECT. OSCA NEGRO ENGOMADO BI</t>
  </si>
  <si>
    <t>METAL BOTON STA CRUZ 12 C/PATAS PLAT FEM</t>
  </si>
  <si>
    <t>METAL BOTON PATRIO 16 MM PLATEA OJAL FEM</t>
  </si>
  <si>
    <t>METAL BOTON PATRIO 22 MM. PLATEADO FEM</t>
  </si>
  <si>
    <t>METAL BOTON PATRIO 12 MM. PLATEADO FEM</t>
  </si>
  <si>
    <t>METAL ESC DOR EJERCITO ARGENTINO RER</t>
  </si>
  <si>
    <t>METAL HEBILLA RED ESC NAC. DORADA FEM</t>
  </si>
  <si>
    <t>METAL RIEL DE 1 FEM</t>
  </si>
  <si>
    <t>METAL BASTON CRIO SAN LUIS RER</t>
  </si>
  <si>
    <t>METAL G.N. EMBLEMA AGRUPACION RER</t>
  </si>
  <si>
    <t>METAL BOTON PATRIO 22 MM. DORA FEM</t>
  </si>
  <si>
    <t>METAL ESC GORRA G.N. RER</t>
  </si>
  <si>
    <t>METAL ESCARAPELA ESMALTADA LMGE FEM</t>
  </si>
  <si>
    <t>METAL ESTRELLA ANTIGUEDAD 5 PUNTAS FEM</t>
  </si>
  <si>
    <t>METAL G.N. ESTRELLA OF PLATEADA RER</t>
  </si>
  <si>
    <t>METAL HEBILLA RED ESC NAC PLAT LMGE FEM</t>
  </si>
  <si>
    <t>METAL CRISOL LMGE CHAQUETILLA FEM</t>
  </si>
  <si>
    <t>METAL ROMBO 16MM.PLATEADO FEM</t>
  </si>
  <si>
    <t>METAL TRABA CORBATA ESC. NAC FEM</t>
  </si>
  <si>
    <t>METAL TRABA CORBATA NQN RER</t>
  </si>
  <si>
    <t>METAL LIBRITOS ESC DE CADETE FEM</t>
  </si>
  <si>
    <t>METAL EMBLEMA BOINA INFANT 1940 RER</t>
  </si>
  <si>
    <t>ESC BORD DPTO GUAYMALLEN ARMAS BL BI</t>
  </si>
  <si>
    <t>METAL VIVO POL. MZA. SIN SOL FEM</t>
  </si>
  <si>
    <t>METAL SOL BOMBEROS DORADO RER</t>
  </si>
  <si>
    <t>METAL ESC P/CASQ JUJUY RER</t>
  </si>
  <si>
    <t>METAL ESC GORRA DORADO  POL. FED FEM</t>
  </si>
  <si>
    <t>METAL ESC GORRA STA CRUZ GRANDE DOR RER</t>
  </si>
  <si>
    <t>ESC GORRA PROVINCIAS VARIAS BORD ORO</t>
  </si>
  <si>
    <t>ESC BORD MZA IUSP DE BRAZO TVS413-2 16.5</t>
  </si>
  <si>
    <t>ESC BORD MZA UEP MAIPU ESTE</t>
  </si>
  <si>
    <t>ESC BORD MZA INFANTERIA</t>
  </si>
  <si>
    <t>ESC BORD RIO NEGRO POL BV</t>
  </si>
  <si>
    <t>ESC BORD MZA OF JEFES Y SUP BEIGE</t>
  </si>
  <si>
    <t>ESC BORD TMAN PENIT GRIS</t>
  </si>
  <si>
    <t>ESC BORD MZA PENIT DIVISION TRASLADO</t>
  </si>
  <si>
    <t>ESC BORD CATAM. POL OFICIAL 36</t>
  </si>
  <si>
    <t>ESC BORD POL CATAMARCA ESC DE CADETES</t>
  </si>
  <si>
    <t>ESC BORD MZA PENIT SERP BV   BARG</t>
  </si>
  <si>
    <t>ESC BORD MZA PENIT SERP BORDO     BARG</t>
  </si>
  <si>
    <t>ESC BORD TMAN DIR GRAL PREV URBANA</t>
  </si>
  <si>
    <t>ESC BORD NQN BOMBERO CUTRALCO BRAZO</t>
  </si>
  <si>
    <t>PECT. ALAS CHOFER B.VISIBILIDAD BI</t>
  </si>
  <si>
    <t>ESC BORD NQN UNIDAD DE DETENCION  BARG</t>
  </si>
  <si>
    <t>APLIQUE SEGURIDAD RER</t>
  </si>
  <si>
    <t>ESC BORD MZA POL BAJA VISIBILID</t>
  </si>
  <si>
    <t>ESC BORD MZA 911 BARG</t>
  </si>
  <si>
    <t>ESC BORD MZA ESCUADRON AEREO POL. MZA</t>
  </si>
  <si>
    <t>ESC BORD MZA UEP BOINA   BARG</t>
  </si>
  <si>
    <t>ESC BORD MZA UEP BAJA TUPUNGATO</t>
  </si>
  <si>
    <t>ESC BORD MZA UEP CAPITAL</t>
  </si>
  <si>
    <t>ESC BORD MZA UEP GLLEN TVS531-31</t>
  </si>
  <si>
    <t>ESC BORD MZA POL. NUEVO MODELO BARG</t>
  </si>
  <si>
    <t>ESC BORD NQN ESC DE CADETES</t>
  </si>
  <si>
    <t>ESC BORD MZA CANES BRAZO</t>
  </si>
  <si>
    <t>ESC BORD MZA POLI IUSP GUARDIA</t>
  </si>
  <si>
    <t>ESC BORD MZA SANIDAD POLICIAL</t>
  </si>
  <si>
    <t>ESC BORD TMAN  POLICIA VIEJO MODELO</t>
  </si>
  <si>
    <t>ESC POLICIA MENDOZA CUERO 6.5*5</t>
  </si>
  <si>
    <t>BANDERA GOMA ARGENTINA COLOR 8X4.5 RER</t>
  </si>
  <si>
    <t>BANDERA GOMA ARGENT BAJA VIS 8X4.5 RER</t>
  </si>
  <si>
    <t>BANDERA GOMA ARG VERD BOSQ 8X4.5CM RER</t>
  </si>
  <si>
    <t>APLIQUE INFANTERIA RER</t>
  </si>
  <si>
    <t>CASQ RIP TIGER CELESTE</t>
  </si>
  <si>
    <t>ZAPATO DAMA CUERO FLOR ART.265 RER</t>
  </si>
  <si>
    <t>BORCEGUI COMANDO RERDA CAMEL CIERRE CAR</t>
  </si>
  <si>
    <t>BORCEGUI TACTICO NEGRO MARAZ</t>
  </si>
  <si>
    <t>BORCEGUI TACTICO CAMEL MARAZ</t>
  </si>
  <si>
    <t>BORCEGUI TACTICO CAMEL OJAL PLAST RER</t>
  </si>
  <si>
    <t>BORCEGUI COMANDO CORTO ART81 BEIGE C/CIE</t>
  </si>
  <si>
    <t>BOINA PANA BEIGE LMGE RER</t>
  </si>
  <si>
    <t>BOINA 100X100 LANA NEGRA S/COSTURAS-26</t>
  </si>
  <si>
    <t>BOINA LANA NEGRA S/COSTURAS C/BROCHES-26</t>
  </si>
  <si>
    <t>BOINA PANA NEGRA RER</t>
  </si>
  <si>
    <t>CASQ GAB NEGRO CON ABROJO</t>
  </si>
  <si>
    <t>CASQ AZUL  URBANO TUCUMAN</t>
  </si>
  <si>
    <t>CASQ PETREO BORD NEUQUEN</t>
  </si>
  <si>
    <t>CASQ GAB GRIS ABROJO</t>
  </si>
  <si>
    <t>CASQ RIP AZUL C ABROJO</t>
  </si>
  <si>
    <t>CASQ RIP DIGITAL GRIS</t>
  </si>
  <si>
    <t>CASQ GAB NEGRO AJUSTABLE C/TRABA 4674</t>
  </si>
  <si>
    <t>CASQ GAB AZUL AJUSTABLE C/TRABA 4674</t>
  </si>
  <si>
    <t>CASQ RIP BEIGE ABROJO</t>
  </si>
  <si>
    <t>CHAMBERGO LMGE GRIS LSA</t>
  </si>
  <si>
    <t>CHAMBERGO DE PELO DE LIEBRE RER</t>
  </si>
  <si>
    <t>GORRITA NEUQUEN GRIS U DE DETENCION RER</t>
  </si>
  <si>
    <t>GORRITA SEGURIDAD NEGRA BORD AMARILLO BI</t>
  </si>
  <si>
    <t>GORRITA MZA POLICIA RER</t>
  </si>
  <si>
    <t>GORRITA STA CRUZ INSTITUTO S.F.P. RER</t>
  </si>
  <si>
    <t>GORRITA TUCUMAN POL BOMBEROS RER</t>
  </si>
  <si>
    <t>GORRITA PREMIUM VS MOTIVOS RELIEVE RER</t>
  </si>
  <si>
    <t>GORRITA MZA. TRANSITO - PREVENTORES RER</t>
  </si>
  <si>
    <t>GORRITA MZA POLICIA MONTADA CABALL. RER</t>
  </si>
  <si>
    <t>GORRITA STA CRUZ POL NEGRA BI</t>
  </si>
  <si>
    <t>GORRITA CHUBUT POL AZUL RER</t>
  </si>
  <si>
    <t>GORRITA CHUBUT POL NEGRA RER</t>
  </si>
  <si>
    <t>GORRITA SAN LUIS POLICIA BI</t>
  </si>
  <si>
    <t>GORRITA RIO NEGRO POL OFICIAL BI</t>
  </si>
  <si>
    <t>GORRO VERDUGO RER</t>
  </si>
  <si>
    <t>GORRITA F1 AZUL AJUSTABLE 4689</t>
  </si>
  <si>
    <t>GORRITA F1 CON 5 LED INCORPORADOS 4414</t>
  </si>
  <si>
    <t>SUDADERA RED MILITAR MARRON ORF</t>
  </si>
  <si>
    <t>SUDADERA RED MILITAR NEG 160 X 0.45 RER</t>
  </si>
  <si>
    <t>SUDADERA RED MILITAR NEG 160 X 0.25 RER</t>
  </si>
  <si>
    <t>SUDADERA RED MILITAR VER 160 X 0.45 RER</t>
  </si>
  <si>
    <t>SUDADERA RED MILITAR VER 160 X 0.25 RER</t>
  </si>
  <si>
    <t>ESPOSAS CON BISAGRA IMP-7/3 1211</t>
  </si>
  <si>
    <t>ESPOSAS SMITH &amp; WESS PARA PIES RER</t>
  </si>
  <si>
    <t>ESPOSAS CON GANCHO EM-7/3 1211</t>
  </si>
  <si>
    <t>TONFA C/ PORTATONFA RERDA RER</t>
  </si>
  <si>
    <t>PALMA BORD ORO CALAFATES STA CRUZ DG</t>
  </si>
  <si>
    <t>PALMA BORD ORO BLANCA 7 HOJAS CAMISA DG</t>
  </si>
  <si>
    <t>SABLE LARGO RER</t>
  </si>
  <si>
    <t>RELOJ TACTICO 4098-4102-30</t>
  </si>
  <si>
    <t>BASTON EXTENSIBLE FUNDA VERDE RER</t>
  </si>
  <si>
    <t>BASTON DE CAUCHO BG46 SOL</t>
  </si>
  <si>
    <t>MASCARA CON VISERA 0.23 X 0.24 MT POLICA</t>
  </si>
  <si>
    <t>MASCARA PREMIUM CON VISERA 0.23 X 0.41MT</t>
  </si>
  <si>
    <t>ANTIPARRA SPORT 3104DR/11.85 GLA</t>
  </si>
  <si>
    <t>PECT. B/DENS. 2 ROMBOS Y SE RER</t>
  </si>
  <si>
    <t>PECT BORD SAN LUIS 3 ESTR PLAT GR BI</t>
  </si>
  <si>
    <t>PECT ESC CADETES 2 BARRAS BL OJAL BI</t>
  </si>
  <si>
    <t>PECT ESC CADETES 2 BARRAS AZ BI</t>
  </si>
  <si>
    <t>PECT ESC CADETES 2 BARRAS NE RER</t>
  </si>
  <si>
    <t>NOMBRE BORDADO MENDOZA BI</t>
  </si>
  <si>
    <t>BASE ACRIL. 1 UNA ESTRELLA  6X2 RER</t>
  </si>
  <si>
    <t>BASE ACRIL. 2 DOS ESTRELLAS 6X2 RER</t>
  </si>
  <si>
    <t>BASE ACRIL. 5 CINCO ESTRELLAS 2X10 RER</t>
  </si>
  <si>
    <t>BASE ACRIL. 6 SEIS ESTRELLAS 2X10 RER</t>
  </si>
  <si>
    <t>PECT. BORD. PENIT. SERP RER</t>
  </si>
  <si>
    <t>PECT BORD PENIT SETRA BI</t>
  </si>
  <si>
    <t>PECT. ALAS DE CHOFER TVS 465-02 BI</t>
  </si>
  <si>
    <t>BASE ACRIL. 2 DOS ROMBOS CHICOS 3X6 RER</t>
  </si>
  <si>
    <t>PECT. BORD LMGE GIMNASIA 6TO ANIO BI</t>
  </si>
  <si>
    <t>PECT. BORD. B. VISIB. AUX. BI</t>
  </si>
  <si>
    <t>BASE ACRIL AUXILIAR MAYOR RER</t>
  </si>
  <si>
    <t>BASE ACRIL. 1 UN ROMBO CHICO 3X3 RER</t>
  </si>
  <si>
    <t>BASE ACRIL. 3  ROMBOS CHICOS 8X RER</t>
  </si>
  <si>
    <t>BASE ACRIL. AUXILIAR RER</t>
  </si>
  <si>
    <t>BASE ACRIL. AUXILIAR 1ERA RER</t>
  </si>
  <si>
    <t>PECT. 1 ROMBO CHICO PLATEADO  BARG BI</t>
  </si>
  <si>
    <t>PECT. 1 ROMBO CHICO DORADO BARG BI</t>
  </si>
  <si>
    <t>BASE ACRIL. 2 DOS ROMBOS GRANDES RER</t>
  </si>
  <si>
    <t>PECT BORD SL 2 ESTR PLAT OF INSP BI</t>
  </si>
  <si>
    <t>PECT BORD SL 3 ESTR PLAT OF PPAL BI</t>
  </si>
  <si>
    <t>BASE ACRIL. 2 DOS BARRAS CURSO CADE RER</t>
  </si>
  <si>
    <t>BASE ACRIL ROMBO GRANDE+SERRETA RER</t>
  </si>
  <si>
    <t>BASE ACRIL DOS ROMBOS GRANDE Y SERRE RER</t>
  </si>
  <si>
    <t>BASE ACRIL ROMBO+PALMA+SERRETA RER</t>
  </si>
  <si>
    <t>PECT BORD SL 1 ESTR SERR DOR SCOMIS BI</t>
  </si>
  <si>
    <t>PECT 1 SOL F/ AZUL Y SERR SUB ALCAID BI</t>
  </si>
  <si>
    <t>PECT BORD ESTRELLAS ANTIG BARG BI</t>
  </si>
  <si>
    <t>INSIG BI RURAL CABO BI</t>
  </si>
  <si>
    <t>INSIG BI SUB AYUDANTE PENIT</t>
  </si>
  <si>
    <t>VISERA BORD ORO JEFE SUP  STA CRUZ DG</t>
  </si>
  <si>
    <t>INSIG BI SUB OFICIAL MAYOR AZUL/AMARILLO</t>
  </si>
  <si>
    <t>BARBIJO CORDON NEGRO AZZ</t>
  </si>
  <si>
    <t>BARBIJO CHAROLADO NEGRO LISO ESC</t>
  </si>
  <si>
    <t>BARBIJO CHAROLADO NEGRO CON SOUTACH ESC</t>
  </si>
  <si>
    <t>BARBIJO CORDON DORADO AZZ</t>
  </si>
  <si>
    <t>BARBIJO RIP REV. PLISADO AZUL NOCHE</t>
  </si>
  <si>
    <t>BARBIJO TAPABOCA RIP REV. CAMU</t>
  </si>
  <si>
    <t>BARBIJO BAT REV. PLISADO CELESTE</t>
  </si>
  <si>
    <t>TIRO SABLE CUERO 1041 TB</t>
  </si>
  <si>
    <t>CREMA PARA BORCEGUIES RER</t>
  </si>
  <si>
    <t>METAL SILBATO PLASTICO NEGRO RER</t>
  </si>
  <si>
    <t>KIT DE LIMPIEZA RRD ARMA CORTA MAL</t>
  </si>
  <si>
    <t>CORBATA UNIFORME NEGRO JLC</t>
  </si>
  <si>
    <t>POLAINAS RER</t>
  </si>
  <si>
    <t>GUANTE LANA SIN DEDO NEGRO RER</t>
  </si>
  <si>
    <t>GUANTES CABRITILLA 6/14 RER</t>
  </si>
  <si>
    <t>GUANTES MOTEADOS PRENTEX RER</t>
  </si>
  <si>
    <t>GUANTES TACTICO MITON BEIGE LUG</t>
  </si>
  <si>
    <t>MASCARA NEOPRENE RERDA RER</t>
  </si>
  <si>
    <t>CUELLO POLAR CON PECHERA RER</t>
  </si>
  <si>
    <t>AEROSOL GAS SABRE 14 GRS AB</t>
  </si>
  <si>
    <t>AEROSOL GAS SABRE 150498 - 22GR. AB</t>
  </si>
  <si>
    <t>AEROSOL GAS POLICE 60 ML RER</t>
  </si>
  <si>
    <t>PUNTERO LASER 4409</t>
  </si>
  <si>
    <t>LAPICERA TACTICA KUBOTAN 5553  4236</t>
  </si>
  <si>
    <t>MIRA CON LUZ, LASER Y CABLE 4490/4495</t>
  </si>
  <si>
    <t>LINTERNA USB C/ZOOM E IMAN 9/10X2,5 3 40</t>
  </si>
  <si>
    <t>BLANCO P/ TIRO PUNTERIA METALICO 5BL RER</t>
  </si>
  <si>
    <t>LINTERNA USB 3/4HS CZOOM 11X2,5CM 3FUNC</t>
  </si>
  <si>
    <t>LINTERNA USB 3/4 HS C/ZOOM 10X2,3CM 3F 4</t>
  </si>
  <si>
    <t>LINTERNA 12.5X3CM CAJA VERDE4064+PILAUSB</t>
  </si>
  <si>
    <t>CARGADOR USB PARA BATERIAS/PILAS</t>
  </si>
  <si>
    <t>NAVAJA BROWNING NEGRA 10B LUG</t>
  </si>
  <si>
    <t>CAMPING PACK GEL FUEL IMP</t>
  </si>
  <si>
    <t>LINTERNA MULTIFUNCION CON LASER RER</t>
  </si>
  <si>
    <t>8520141</t>
  </si>
  <si>
    <t>8520209</t>
  </si>
  <si>
    <t>CORTAPLUMAS 17 FUNCIONES 4209</t>
  </si>
  <si>
    <t>LINTERNA DOITE  VISERA 183407/LHL00 RER</t>
  </si>
  <si>
    <t>GANCHO MOSQUETON ROSCA LUG</t>
  </si>
  <si>
    <t>BINOCULARES TASCO 8X21CM 0955</t>
  </si>
  <si>
    <t>LINTERNA PARA CICLISTAS USB 4726</t>
  </si>
  <si>
    <t>LINTERNA C/ZOOM 13X3,2CM 3F 4729+PILAUSB</t>
  </si>
  <si>
    <t>LINTERNA4738+PILAUSB+FUNDAS+CABLE USB</t>
  </si>
  <si>
    <t>LINTERNA  7750 ZOOM 15X3 3 FUN+CABLE USB</t>
  </si>
  <si>
    <t>LINTERNA C/CARGADOR 17.5X4CM 3F C/2 BAT</t>
  </si>
  <si>
    <t>LINTERNA RECARGABLE</t>
  </si>
  <si>
    <t>8520866</t>
  </si>
  <si>
    <t>LINTERNA 1932 ZOOM + CABLE USB</t>
  </si>
  <si>
    <t>8520941</t>
  </si>
  <si>
    <t>LINTERNA 1941 C/ZOOM 800LUMENS+PILA USB</t>
  </si>
  <si>
    <t>8520946</t>
  </si>
  <si>
    <t>LINTERNA 1946+PILA USB+FUNDA C/ZOOM 14X3</t>
  </si>
  <si>
    <t>8521100</t>
  </si>
  <si>
    <t>8521102</t>
  </si>
  <si>
    <t>8521301</t>
  </si>
  <si>
    <t>8521302</t>
  </si>
  <si>
    <t>8521303</t>
  </si>
  <si>
    <t>CUCHILLO 26 CM TACTICO C FUNDA LUG</t>
  </si>
  <si>
    <t>CUCHILLO TRENTO COMAN BLACK ZYTEL 674 AB</t>
  </si>
  <si>
    <t>BOLSA DE DORMIR CLASSIC 200 MIC</t>
  </si>
  <si>
    <t>SILLA PLEGABLE DIRE VER/NE/AZ/RO1003 MIC</t>
  </si>
  <si>
    <t>CARPA AUTOMATICA 2.5 X 2.5</t>
  </si>
  <si>
    <t>CARPA AUTOMATICA 2X2 4462</t>
  </si>
  <si>
    <t>SET PRIMEROS AUXILIOS IMP</t>
  </si>
  <si>
    <t>CARPA AUT. CAMU BOSQUE 2X2X1.45CM 4PERS</t>
  </si>
  <si>
    <t>CARPA AUTOMATICA TECHO SIMPLE 2X1.5X1.1</t>
  </si>
  <si>
    <t>CARPA AUTOMATICA TECHO SIMPLE 2X2X1.35 4</t>
  </si>
  <si>
    <t>BRUJULA MILITAR C CICLOMETRO Y OBSERV</t>
  </si>
  <si>
    <t>CINTURON POLIA NEGRO T663 TB RER</t>
  </si>
  <si>
    <t>CINTURON POLIA NEGRO TALLE ESPECIAL RER</t>
  </si>
  <si>
    <t>CINTURON GALA LICEO CON HEBILLA BM</t>
  </si>
  <si>
    <t>CINTURON AMERIC NEGRO FULL OFERTA RER</t>
  </si>
  <si>
    <t>CINTURON TACTICO GEO MAZ</t>
  </si>
  <si>
    <t>CINTURON AMERICANO VERDE T650 TB NO USAR</t>
  </si>
  <si>
    <t>CINTURON TACTICO URBANO CHICO  5494/2</t>
  </si>
  <si>
    <t>CINTURON TACTICO WOLF HEBILLA PASANTE</t>
  </si>
  <si>
    <t>CINTURON AMERIC TRIPLE SEG 016 H RED RER</t>
  </si>
  <si>
    <t>CINTURON POLIA VERDE GN NO USAR</t>
  </si>
  <si>
    <t>CINTURON POLIA VERDE LMGE</t>
  </si>
  <si>
    <t>CINTURON GALA PENITENC. DORADO S/HEB.</t>
  </si>
  <si>
    <t>CINTURON CUERO 30 MM LMGE RER</t>
  </si>
  <si>
    <t>PIST CON PORTA CARGADOR Y PASADOR TB</t>
  </si>
  <si>
    <t>PIST POLIA CAJONERA VERDE/GRIS</t>
  </si>
  <si>
    <t>PIS. TERMO. PANQUEQUERA CORTA EZ</t>
  </si>
  <si>
    <t>RI¥ONERAS SAQUE RAPIDO RRD39 BLK</t>
  </si>
  <si>
    <t>FUNDA FOBUS 4155 GLCH C BOTON LIBERA MIN</t>
  </si>
  <si>
    <t>MIRA LASER CAT BERSA THUNDER 9-40 MIN 18</t>
  </si>
  <si>
    <t>MIRA LASER CAT P/BERSA PRO MIN 20/2,1</t>
  </si>
  <si>
    <t>FUNDA FOBUS 4124/5 RBT 17/19 MIN</t>
  </si>
  <si>
    <t>RINIONERA WOODPACK CPBL BLK</t>
  </si>
  <si>
    <t>PIST INT P/TAURUS 9/17 K39INT FUN</t>
  </si>
  <si>
    <t>MUSLERA C/PORTACARG.POLIA MAZ</t>
  </si>
  <si>
    <t>LLAVE PARA ESPOSA RER</t>
  </si>
  <si>
    <t>PORTA ELEMENTOS VARIOS C BASE STRATUS</t>
  </si>
  <si>
    <t>PORTA CARG POLIA DOBLE VERDE C/ GANCHO</t>
  </si>
  <si>
    <t>PORTA CARG POLIA GEMELOS NEGRO MAZ</t>
  </si>
  <si>
    <t>PORTA CARG POLIA GRIS VERDE CON GANCHO</t>
  </si>
  <si>
    <t>PORTA TONFA FIJO METAL 213</t>
  </si>
  <si>
    <t>PORTA BASTON NYLON NEGRO MAZ</t>
  </si>
  <si>
    <t>CORDON BORCEGUIES ( PAR) 108 X 2 MT RER</t>
  </si>
  <si>
    <t>CORDON EDECAN CON LAPIZ DORADO AZZ</t>
  </si>
  <si>
    <t>CORDON EDECAN CON LAPZ GRIS RER</t>
  </si>
  <si>
    <t>CORDONES PAR BEIGE 70CM ELASTIZADOS</t>
  </si>
  <si>
    <t>PORTA ESPOSAS POLIA NEGRO MAZ</t>
  </si>
  <si>
    <t>CORREA BUNNGIE RRD10 BLK</t>
  </si>
  <si>
    <t>PORTA ESPOSAS SIST MOLLE 12 BLK</t>
  </si>
  <si>
    <t>MUSLERA PORTA ELEMENTO VERDE ETCH 05</t>
  </si>
  <si>
    <t>MUSLERA PORTA ELEMENTO AZUL ETCH 05</t>
  </si>
  <si>
    <t>MUSLERA PORTA ELEMENTO GRIS ETCH 05</t>
  </si>
  <si>
    <t>MUSLERA PORTA ELEMENTO CAMUFL ETCH 05</t>
  </si>
  <si>
    <t>POUCH GRANDE RRD15 BLK</t>
  </si>
  <si>
    <t>BOLSO MATERO RRD37 BLK</t>
  </si>
  <si>
    <t>CHALECO FUNDA ALBATROS 5 ELEM RRD63 BLK</t>
  </si>
  <si>
    <t>MUSLERA ESCORPION C ELASTICO MUS-206 KAE</t>
  </si>
  <si>
    <t>CHALECO FUNDA MOLLE PORTA NIVEL2</t>
  </si>
  <si>
    <t>MOCHILA 8135-37 30L YW-52/3</t>
  </si>
  <si>
    <t>CHALECO FUNDA MAGAL CHICO MOLLE RRD/ET B</t>
  </si>
  <si>
    <t>MEDIAS TE31B SOX</t>
  </si>
  <si>
    <t>MEDIAS TE02A SOX</t>
  </si>
  <si>
    <t>MEDIAS TE29A SOX</t>
  </si>
  <si>
    <t>MEDIAS TE48A SOX</t>
  </si>
  <si>
    <t>MEDIAS TE51A SOX</t>
  </si>
  <si>
    <t>MEDIAS TE53A SOX</t>
  </si>
  <si>
    <t>MEDIAS TE56A SOX</t>
  </si>
  <si>
    <t>MEDIAS TERMICAS TRECKING 365 STX RER</t>
  </si>
  <si>
    <t>ABROJO ASP+SUA 0.25 X 0.11 RER</t>
  </si>
  <si>
    <t>BOMB JAZAK RIP MULTICAM BALCK 34/48</t>
  </si>
  <si>
    <t>CABLE USB</t>
  </si>
  <si>
    <t>CAMISA ML BAT BLANCA VIP 34/44</t>
  </si>
  <si>
    <t>METAL ROMBO 25MM. DORADO FEM</t>
  </si>
  <si>
    <t>METAL VIVO POL FED NUEVO MOD DORAD FEM</t>
  </si>
  <si>
    <t>PECT. BORD 3 ESTRELLAS ANTIG RER</t>
  </si>
  <si>
    <t>PECT. BORD 5 ESTRELLAS ANTIG RER</t>
  </si>
  <si>
    <t>CAMISA ML BAT BLANCA VIP 46/50</t>
  </si>
  <si>
    <t>CAMISA ML BAT BLANCA VIP 52/56</t>
  </si>
  <si>
    <t>CASQ GAB AZUL CON ABROJO</t>
  </si>
  <si>
    <t>MAMELUCO TERMICO NEGRO XS/XL RER</t>
  </si>
  <si>
    <t>PANT GRIS TOPO 34/48 RER</t>
  </si>
  <si>
    <t>PANT NEGRO TROPICAL 34/48 RER</t>
  </si>
  <si>
    <t>PECT 1 SOL SUB ADJUTOR MENDOZA RER</t>
  </si>
  <si>
    <t>GORRITA F1 NEGRA AJUSTABLE 4689</t>
  </si>
  <si>
    <t>MOCHILA MZ-RJ-A99 25 L FRONT</t>
  </si>
  <si>
    <t>BASE ACRIL. 1 UN ROMBO GRANDE RER</t>
  </si>
  <si>
    <t>CINTURON POLIA NATO NE S-OJALES T668 TB</t>
  </si>
  <si>
    <t>PORTA ESPOSAS MOLLE M003 TB</t>
  </si>
  <si>
    <t>LISTA DE PRECIOS AL 05.10.2020 CON STOCK</t>
  </si>
  <si>
    <t/>
  </si>
  <si>
    <t>AGEN SEGURYTEC BORD GORRA RER</t>
  </si>
  <si>
    <t>NO USAR</t>
  </si>
  <si>
    <t>BOMB JAZAK RIP PITON 34/48</t>
  </si>
  <si>
    <t>BOMB CLA SARGA MEC NEGRA</t>
  </si>
  <si>
    <t>PANT GRIS TOPO 50/54 RER</t>
  </si>
  <si>
    <t>BOMB CLAS RIP GN VERDE 56/60</t>
  </si>
  <si>
    <t>BOMB A ELIMINAR CON ZOOM RER</t>
  </si>
  <si>
    <t>BOMB KADIMA GAB AZUL 56/60 RER</t>
  </si>
  <si>
    <t>BOMB SECURITAS RER</t>
  </si>
  <si>
    <t>OVERALL MULTIBOL AZUL RIP STOP</t>
  </si>
  <si>
    <t>OVERALL MULTIBOLS. INFANTERIA RER</t>
  </si>
  <si>
    <t>CHOMBA ML CIERRE ROJA INSTRU 3XS/2XL RER</t>
  </si>
  <si>
    <t>CHOMBA MC POLO ROJA INSTRUCT 3XS/2XL RER</t>
  </si>
  <si>
    <t>REMERA MC SIN CIE NEG 2XS/2XL NOUSAR RER</t>
  </si>
  <si>
    <t>CHOMBA MC CIERRE BEIGE 3XS/2XL RER</t>
  </si>
  <si>
    <t>CHOMBA MC POLO BLANCA LMGE RER</t>
  </si>
  <si>
    <t>CHOMBA MC POLO AZ + BAND 3XL/5XL RER</t>
  </si>
  <si>
    <t>REMERA MC BLANCA IUSP</t>
  </si>
  <si>
    <t>TRICOTA C/POLERA FORRADA PETREO</t>
  </si>
  <si>
    <t>ABROJO BEIGE SUAVE 5CM 5423-1</t>
  </si>
  <si>
    <t>CASACA CONJ. LIMPIEZA RER</t>
  </si>
  <si>
    <t>CONJ GRIS\AZUL LISO RER</t>
  </si>
  <si>
    <t>BOLSA POLIETILENO TRANSP C CIERRE</t>
  </si>
  <si>
    <t>CAMISA ML BAT GRIS OSCURO MUESTRA T42</t>
  </si>
  <si>
    <t>CAMISA ML BAT GRIS TORCASA MUESTRA T42</t>
  </si>
  <si>
    <t>CAMISA MC URB TMAN 58/62 RER</t>
  </si>
  <si>
    <t>CAMISA MC GAB GR ACEROSPF SOL 34/44 RER</t>
  </si>
  <si>
    <t>CAMISA MC GAB GR ACEROSPF SOL 46/50 RER</t>
  </si>
  <si>
    <t>CAMISA MC BAT BLANCA C ESCUDO 34/44 RER</t>
  </si>
  <si>
    <t>CAMISA MC BAT BLANCA C ESCUDO 46/50 RER</t>
  </si>
  <si>
    <t>CAMISA MIL RAYAS ELIMINAR</t>
  </si>
  <si>
    <t>CAMISA ML GAB BOMBE CUTRAL CO 34/44 RER</t>
  </si>
  <si>
    <t>CAMISA ML GAB BOMBEROS CUTRAL CO 34/44</t>
  </si>
  <si>
    <t>CAMISA ML GAB BOMBE CUTRAL CO 46/50 RER</t>
  </si>
  <si>
    <t>CAMISA ML GAB BOMBEROS CUTAL CO 46/50</t>
  </si>
  <si>
    <t>CAMISA ML GAB BOMBE CUTRAL CO 52/56 RER</t>
  </si>
  <si>
    <t>CAMISA MC BAT CEL SIR JONS 46/50 RER</t>
  </si>
  <si>
    <t>CAMISA MC BAT CEL SIR JONS 52/56 RER</t>
  </si>
  <si>
    <t>CAMISA ML BAT CEL NQN C/ESC 34/44 RER</t>
  </si>
  <si>
    <t>CAMISA ML BAT NQN C/ESC 52/56 RER</t>
  </si>
  <si>
    <t>CAMISA MC BAT CEL NQN SOLAP 34/44 RER</t>
  </si>
  <si>
    <t>CAMISA MC AMER SEG ELIMINAR</t>
  </si>
  <si>
    <t>CAMISA ML BAT BLA AMER SEG 34/44ELIMIN</t>
  </si>
  <si>
    <t>CAMISA ML BAT BLA AMER SEG 46/50ELIMIN</t>
  </si>
  <si>
    <t>CAMISA ML BAT BLA AMER SEG 52/56ELIMIN</t>
  </si>
  <si>
    <t>CAMISA ML VERDE GAL PIAZZA 34/46 ELIMIN</t>
  </si>
  <si>
    <t>CAMISA ML VERDE GAL PIAZZA 48/50 ELIMIN</t>
  </si>
  <si>
    <t>CAMISA ML RIP MIMET VIAL TMAN 52/56 RER</t>
  </si>
  <si>
    <t>CAMISA ML RIP REQUISA 34/44 RER</t>
  </si>
  <si>
    <t>CAMISA ML RIP REQUISA 46/50 RER</t>
  </si>
  <si>
    <t>CAMISA ML RIP REQUISA 52/56 RER</t>
  </si>
  <si>
    <t>CAMISA MC BAT GR TORC CESC SFE 34/44 RER</t>
  </si>
  <si>
    <t>CAMISA MC BAT GR TORC CESC SFE 46/50 RER</t>
  </si>
  <si>
    <t>CAMISA MC BAT GR TORC CESC SFE 52/56 RER</t>
  </si>
  <si>
    <t>CAMISA ML RIP REQUISA 58/62 RER</t>
  </si>
  <si>
    <t>CAMISA MC BAT BLANCA SIR JONS 46/50 RER</t>
  </si>
  <si>
    <t>CAMISA MC BAT BLANCA SIR JONS 52/56 RER</t>
  </si>
  <si>
    <t>CAMISA ML BAT CELESTE PREMIUM 34/44 RER</t>
  </si>
  <si>
    <t>CAMISA ML BAT CELESTE PREMIUM 46/50 RER</t>
  </si>
  <si>
    <t>CAMISA ML BAT CELESTE PREMIUM 52/56 RER</t>
  </si>
  <si>
    <t>CAMISA ML BAT CELESTE PREMIUM 58/62 RER</t>
  </si>
  <si>
    <t>CAMISA MC RIP VERANO SJ C/ESC 34/44 RER</t>
  </si>
  <si>
    <t>CAMISA MC RIP VERANO SJ C/ESC 46/50 RER</t>
  </si>
  <si>
    <t>CAMISA MC RIP VERANO SJ C/ESC 52/56 RER</t>
  </si>
  <si>
    <t>CAMISA ML RIP TIGER CELESTE 34/44 RER</t>
  </si>
  <si>
    <t>CAMISA ML RIP TIGER CELESTE 46/50 RER</t>
  </si>
  <si>
    <t>CAMISA MC RIP RURAL 34/44 RER</t>
  </si>
  <si>
    <t>CAMISA MC RIP RURAL 46/50 RER</t>
  </si>
  <si>
    <t>CAMISA MC RIP RURAL 52/60 RER</t>
  </si>
  <si>
    <t>CAMISA ML RIP RURAL 34/44 RER</t>
  </si>
  <si>
    <t>CAMISA ML RIP RURAL 46/50 RER</t>
  </si>
  <si>
    <t>CAMISA ML RIP RURAL 52/56 RER</t>
  </si>
  <si>
    <t>CAMISA ML RIP VERDE 52/56 RER</t>
  </si>
  <si>
    <t>CAMISA MC RIP TIGER CELESTE 34/44 RER</t>
  </si>
  <si>
    <t>CAMISA MC RIP TIGER CELESTE 46/50 RER</t>
  </si>
  <si>
    <t>CAMISA MC RIP TIGER CELESTE 52/56 RER</t>
  </si>
  <si>
    <t>CAMISA MC RIP TIGER CELESTE 58/60 RER</t>
  </si>
  <si>
    <t>CAMISA MC BAT CEL SOLAPA 64/68 RER</t>
  </si>
  <si>
    <t>CAMISA ML RIP NEGRA 46/50</t>
  </si>
  <si>
    <t>CAMISA MC BAT GRIS 58/62 RER</t>
  </si>
  <si>
    <t>CAMISA MC BAT NEGRA SOLAPA 58/62 RER</t>
  </si>
  <si>
    <t>CAMISA MC BAT GRIS CORBATA 52/56 RER</t>
  </si>
  <si>
    <t>CAMISA MC BAT GRIS CORBATA 58/62 RER</t>
  </si>
  <si>
    <t>CAMISA ML RIP CAMUFLADA 34/44 RER</t>
  </si>
  <si>
    <t>CAMISA ML RIP CAMUFLADA 46/50 RER</t>
  </si>
  <si>
    <t>CAMISA ML RIP CAMUFLADO 52/56 RER</t>
  </si>
  <si>
    <t>GARIBALDINA RIP MAO EJERCITO 2XS/2XL</t>
  </si>
  <si>
    <t>GARIBALDINA MAO RIP EJERCITO 3XL/5XL RER</t>
  </si>
  <si>
    <t>CAMISA MC BAT NEGRA C/ESCUDO 46/50 RER</t>
  </si>
  <si>
    <t>CAMISA MC BAT NEGRA C/ESCUDO 52/56 RER</t>
  </si>
  <si>
    <t>CAMISA ML RIP NEGRA 46/50 RER</t>
  </si>
  <si>
    <t>CAMISA ML RIP NEGRA 52/56 RER</t>
  </si>
  <si>
    <t>CAMISA ML RP GRIS 64/68 RER</t>
  </si>
  <si>
    <t>CAMISA MC BAT NEGRA C/ESCUDO 34/44 RER</t>
  </si>
  <si>
    <t>CAMISA ML BAT NEGRA C/FUELLE 52/56 RER</t>
  </si>
  <si>
    <t>CAMISA ML GAB GRIS PENIT JUJUY RER</t>
  </si>
  <si>
    <t>CAMISA MC BAT BEIGE CON GALON 34/44</t>
  </si>
  <si>
    <t>CAMISA MC BAT BEIGE CON GALON 46/50</t>
  </si>
  <si>
    <t>CAMISA MC BAT BEIGE CON GALON 52/56</t>
  </si>
  <si>
    <t>CAMISA ML BAT BEIGE CON GALON 34/44</t>
  </si>
  <si>
    <t>CAMISA ML BAT BEIGE CON GALON 46/50</t>
  </si>
  <si>
    <t>CAMISA ML BAT BEIGE CON GALON 52/56</t>
  </si>
  <si>
    <t>CAMISA MC BAT BEIGE LMGE 52/56 RER</t>
  </si>
  <si>
    <t>CAMISA ML GAB VERDE Y CAMUFLAD ELIMINAR</t>
  </si>
  <si>
    <t>CAMISA MC BAT BEIGE LMGE 30/32 RER</t>
  </si>
  <si>
    <t>CAMISA BLANCA ESCOLAR</t>
  </si>
  <si>
    <t>GASTOS ADMINISTRATIVO 5 CUOTAS</t>
  </si>
  <si>
    <t>GARIBALDINA MAO RIP DESERT 3XL/5XL RER</t>
  </si>
  <si>
    <t>CAMP CORTA ALPACUNA MARRON</t>
  </si>
  <si>
    <t>CAMPERA TRANSITO GUAYMALLEN RER</t>
  </si>
  <si>
    <t>CAMPERA DEFESA CIVIL GUAYMALLEN</t>
  </si>
  <si>
    <t>CAMPERA DEMARCACION VIAL GUAYMALLEN</t>
  </si>
  <si>
    <t>CAMPERA MULTICAM SARPOL RER</t>
  </si>
  <si>
    <t>GARIBALDINA MAO RIP PITON 3XL/6XL</t>
  </si>
  <si>
    <t>GARIBALDINA ARMY GAB GRIS 2XS/2XL RER</t>
  </si>
  <si>
    <t>GARIBALDINA</t>
  </si>
  <si>
    <t>GARIBALDINA RIP JAZAK</t>
  </si>
  <si>
    <t>GARIBALDINA JAZAK RIP INFANT 6XL/7XL RER</t>
  </si>
  <si>
    <t>GARIBALDINA ARMY GAB AZUL 3XL/5XL RER</t>
  </si>
  <si>
    <t>GARIBALDINA ARMY GAB NEGRA 3XL/5XL RER</t>
  </si>
  <si>
    <t>GARIBALDINA ARMY GAB GRIS 3XL/4XL RER</t>
  </si>
  <si>
    <t>GARIBALDINA JAZAK RIP VIAL T 2XS/2XL RER</t>
  </si>
  <si>
    <t>GARIBALDINA JAZAK RIP VIAL T 3XL/5XL RER</t>
  </si>
  <si>
    <t>GARIBALDINA JAZAK RIP VIAL T 6XL/7XL RER</t>
  </si>
  <si>
    <t>GARIBALDINA RIP MAO VIAL TUCUMAN 3XS/2XL</t>
  </si>
  <si>
    <t>GARIBALDINA RIP MAO VIAL TUCUMAN 3XL/6XL</t>
  </si>
  <si>
    <t>GARIBALDINA ARMY RIP NEGRA 3XL/5XL RER</t>
  </si>
  <si>
    <t>CAMP INVEST GRIS XL</t>
  </si>
  <si>
    <t>CAMP SOFT JAYAL NEGRA 3XL/6XL</t>
  </si>
  <si>
    <t>CAMP SOFT NEGRA RER</t>
  </si>
  <si>
    <t>CAMP SOFT SHELL AZUL 2XL/5XL RER</t>
  </si>
  <si>
    <t>CAMP ALPHA MJS113132C1 SUMMIT RER</t>
  </si>
  <si>
    <t>CAMP ALPHA MOD B-15 RER</t>
  </si>
  <si>
    <t>CAMP DEPORTIVA BL/AZ RER</t>
  </si>
  <si>
    <t>CAMP ALPHA MJS11132</t>
  </si>
  <si>
    <t>CAMP MJS11132 XXL</t>
  </si>
  <si>
    <t>CAMP AMERICA SEGURIDAD RER</t>
  </si>
  <si>
    <t>CAMP SEG SARPOL VFLUOR CINT 2XS/2XL RER</t>
  </si>
  <si>
    <t>CAMP SEG SARPOL VFLUOR CINT 3XL/5XL RER</t>
  </si>
  <si>
    <t>CAMP TUNUYAN RER</t>
  </si>
  <si>
    <t>CAMP MUNICIP STA FE</t>
  </si>
  <si>
    <t>GARIBALDINA ARMY RIP INFANT 2XS/2XL RER</t>
  </si>
  <si>
    <t>GARIBALDINA ARMY RIP INFANT 3XL/5XL RER</t>
  </si>
  <si>
    <t>GARIBALDINA MAO RIP DIG ACU 3XL/5XL RER</t>
  </si>
  <si>
    <t>CAMP POLAR AMER NEGRA 2XS/3XS RER</t>
  </si>
  <si>
    <t>GARIBALDINA JAZAK RIP DIGINF 2XS/2XL RER</t>
  </si>
  <si>
    <t>GARIBALDINA JAZAK RIP DIGINF 3XL/5XL RER</t>
  </si>
  <si>
    <t>GARIBALDINA MAO RIP MULTICA 6XL RER</t>
  </si>
  <si>
    <t>CAMP ALPHA MJB23000CAB-15 RER</t>
  </si>
  <si>
    <t>CAMP. AZUL  ESTAMPADA FRIZA DEPORTIVA</t>
  </si>
  <si>
    <t>CAMP AZUL FRIZA DEPORTIVA RER</t>
  </si>
  <si>
    <t>CAMP ALPHA MJB24000 XXXL</t>
  </si>
  <si>
    <t>CHALECO RIP CIENTIFICA RER</t>
  </si>
  <si>
    <t>CAMP ALPHA MJN30000C4 N-2B LUG</t>
  </si>
  <si>
    <t>CAMP SOFT SHELL NEGRA 2XL/5XL RER</t>
  </si>
  <si>
    <t>CAMP ALPHA MJN31000 XXXL LUG</t>
  </si>
  <si>
    <t>CAMP ALPHA MJN32000</t>
  </si>
  <si>
    <t>CAMP ALPHA MJM38029C1 D-TEC 2XL</t>
  </si>
  <si>
    <t>CAMP ALPHA MJM38029C1 D-TEC 3XL</t>
  </si>
  <si>
    <t>CAMP ALPHA WJD38014C1 DARLA LUG</t>
  </si>
  <si>
    <t>CAMP MJB34000 XXL</t>
  </si>
  <si>
    <t>CAMP TERMICO MULTICAM/RIP CUELLO 2XS/2XL</t>
  </si>
  <si>
    <t>CAMP TERMICO INFANTER/RIP CUELLO 2XS/2XL</t>
  </si>
  <si>
    <t>CAMP ALPHA MJI38016 LUG</t>
  </si>
  <si>
    <t>CAMP ALPHA MJI38016 XXL</t>
  </si>
  <si>
    <t>CAMP ALPHA MJI38016 XXXL</t>
  </si>
  <si>
    <t>CAMP ALPHA MVF4301C1 FEROCITY 3XL</t>
  </si>
  <si>
    <t>CAMP TERMICO RURAL/RIP CUELLO 2XS/2XL</t>
  </si>
  <si>
    <t>CAMP TERMICO RURAL/RIP CUELLO 3XL/6XL</t>
  </si>
  <si>
    <t>CAMP WJA43903C1 ADRIENNE 2XL RER</t>
  </si>
  <si>
    <t>CAMP WJA43903C1 ADRIENNE XS/XL RER</t>
  </si>
  <si>
    <t>CAMP ALPHA MJI43910 XXL LUG</t>
  </si>
  <si>
    <t>CAMP ALPHA MJS44507C1 STABILIZER LUG</t>
  </si>
  <si>
    <t>CAMP ALPHA MJS44507C1 STABILIZER2X LUG</t>
  </si>
  <si>
    <t>CAMP ALPHA MJN441C1 N-B2 SONIC 2XL LUG</t>
  </si>
  <si>
    <t>GARIBALDINA MAO RIP TIGER VE 2XS/2XL RER</t>
  </si>
  <si>
    <t>GARIBALDINA MAO RIP TIGER VE 3XL/5XL RER</t>
  </si>
  <si>
    <t>CAMP CORTAVIENTO POL/AZUL OFERTA</t>
  </si>
  <si>
    <t>GARIBALDINA ARMY RIP AZUL 3XL/5XL RER</t>
  </si>
  <si>
    <t>GARIBALDINA JAZAK RIP AZUL 6XL/7XL RER</t>
  </si>
  <si>
    <t>GARIBALDINA JAZAK RIP BEIGE 2XS/2XL RER</t>
  </si>
  <si>
    <t>GARIBALDINA JAZAK RIP BEIGE 3XL/6XL RER</t>
  </si>
  <si>
    <t>GARIBALDINA JAZAK RIP GRIS 2XS/2XL RER</t>
  </si>
  <si>
    <t>GARIBALDINA JAZAK RIP GRIS 3XL/5XL RER</t>
  </si>
  <si>
    <t>GARIBALDINA JAZAK RIP NEGRA 2XS/2XL RER</t>
  </si>
  <si>
    <t>GARIBALDINA JAZAK RIP NEGRA 3XL/5XL RER</t>
  </si>
  <si>
    <t>GARIBALDINA JAZAK RIP NEGRA 6XL/7XL RER</t>
  </si>
  <si>
    <t>GARIBALDINA JAZAK RIP REQUIS 2XS/2XL RER</t>
  </si>
  <si>
    <t>GARIBALDINA JAZAK RIP REQUIS 3XL/5XL RER</t>
  </si>
  <si>
    <t>CAMP TERMICO NEGRO CUELLO 2XS/2XL RER</t>
  </si>
  <si>
    <t>CAMP TERMICO VERDE CUELLO 2XS/2XL RER</t>
  </si>
  <si>
    <t>CAMP TERMICO NEGRO CUELLO 3XL/6XL RER</t>
  </si>
  <si>
    <t>CAMP TERMICO AZUL CUELLO 3XL/6XL RER</t>
  </si>
  <si>
    <t>CAMP TERMICO GRIS CUELLO 3XL/6XL RER</t>
  </si>
  <si>
    <t>CAMP TERMICO VERDE CUELLO 3XL/6XL RER</t>
  </si>
  <si>
    <t>CAMP TERMICO INFANTERIA 2XS/2XL</t>
  </si>
  <si>
    <t>CAMP TERMICO INFANTERIA 3XL/6XL</t>
  </si>
  <si>
    <t>CAMP TERMICO MULTICAM 2XS/2XL</t>
  </si>
  <si>
    <t>CAMP TERMICO MULTICAM 3XL/6XL</t>
  </si>
  <si>
    <t>CAMP FLUO RER</t>
  </si>
  <si>
    <t>CAMP TERMICO RURAL 2XS/2XL</t>
  </si>
  <si>
    <t>CAMP TERMICO RURAL 3XL/6XL</t>
  </si>
  <si>
    <t>CAMP POLICIA SANTA CRUZ 2COL 3XL/6XL RER</t>
  </si>
  <si>
    <t>CHALECO FLUOR SARPOL RER</t>
  </si>
  <si>
    <t>GARIBALDINA MAO RIP REQUISA 3XL/5XL RER</t>
  </si>
  <si>
    <t>CAMP GAB MARRON CON GALON 2XS/2XL RER</t>
  </si>
  <si>
    <t>CAMP GAB MARRON CON GALON 3XL/4XL</t>
  </si>
  <si>
    <t>CHALECO CRUZAAD CON REFLECTIVO</t>
  </si>
  <si>
    <t>GARIBALDINA ARMY RIP NE ABRG 3XL/5XL RER</t>
  </si>
  <si>
    <t>CAMP PALMAJ GRIS 3XL/4XL</t>
  </si>
  <si>
    <t>CAMP ARMY AZUL/NEGRA RER</t>
  </si>
  <si>
    <t>CAMP ALFHA MJM38029C1 D-TEC S/XL RER</t>
  </si>
  <si>
    <t>GARIBALDINA MAO RIP MULTICAM BLACK 2XS/2</t>
  </si>
  <si>
    <t>GARIBALDINA MAO RIP MULTICAM BLACK 3XL/5</t>
  </si>
  <si>
    <t>GARIBALDINA ARMY RIP MIME INFANT 3XL/5XL</t>
  </si>
  <si>
    <t>GARIBALDINA ARMY RIP MIME 2COL GR 3XL/5X</t>
  </si>
  <si>
    <t>GARIBALDINA ARMY RIP MIME REQUISA 3XL/5X</t>
  </si>
  <si>
    <t>GARIBALDINA MAO RIP DIG BEIG 3XL/6XL RER</t>
  </si>
  <si>
    <t>CAMP PALMAJ NEGRA 3XL 4XL</t>
  </si>
  <si>
    <t>CAMP PLUMA SIN CAPU UVA ARD</t>
  </si>
  <si>
    <t>CAMP PLUMA SIN CAPU BEIGE ARD</t>
  </si>
  <si>
    <t>CAMP PLUMA C/CAPU ROJA ARD</t>
  </si>
  <si>
    <t>GARIBALDINA RIP MAO INFANT 2XL/5XL</t>
  </si>
  <si>
    <t>GARIBALDINA RIP CLA AZ OFERTA L</t>
  </si>
  <si>
    <t>GARIBALDINA ARMY RIP AZ ABRG 3XL/6XL RER</t>
  </si>
  <si>
    <t>GARIBALDINA RIP VIAL TUC CUELLO ARMY</t>
  </si>
  <si>
    <t>CAMP SEARCH AND DESTROY HOODIE RER</t>
  </si>
  <si>
    <t>CAMP ARMY HODDIE RER</t>
  </si>
  <si>
    <t>CAMP UNITED ZIP HOODIE RER</t>
  </si>
  <si>
    <t>CAMP PALMAJ NEGRA/NARANJA FLUOR</t>
  </si>
  <si>
    <t>CAMP PALMAJ AZUL 3XL</t>
  </si>
  <si>
    <t>CHALECO CARRIER CON PORTA ELEMENTOS</t>
  </si>
  <si>
    <t>CHALECO GAB. NEGRA POL. INVEST. RER</t>
  </si>
  <si>
    <t>CHALECO GAB. NEGRA POL. INVEST. BORDADO</t>
  </si>
  <si>
    <t>CASACA DAMA PROFESIONAL RER</t>
  </si>
  <si>
    <t>CHAQUETILLA DE PANIO LMGE 000N000 FC</t>
  </si>
  <si>
    <t>CHAQUETILLA BLANCA RER</t>
  </si>
  <si>
    <t>CHAQUETILLA GN RER</t>
  </si>
  <si>
    <t>BICI ELECTRICA OVERTECH B1 561002001</t>
  </si>
  <si>
    <t>LINTERNA CELULAR MULTIFUNCION RER</t>
  </si>
  <si>
    <t>MANOPLA NEGRA RER</t>
  </si>
  <si>
    <t>MANOPLA C/ NAVAJA LUG</t>
  </si>
  <si>
    <t>PUNIAL ANTEBRAZO C ABROJO RER</t>
  </si>
  <si>
    <t>COMBO BOMB AMER GAB AZUL + CINTO INTERNO</t>
  </si>
  <si>
    <t>COMBO BOMB. AMER GAB AZUL + CINTO INTERN</t>
  </si>
  <si>
    <t>COMBO BOMB.AMER GAB AZUL + CINTO INTERNO</t>
  </si>
  <si>
    <t>COMBO LINTERNA + NAVAJA ROMPEVIDRIO</t>
  </si>
  <si>
    <t>COMBO MOCHILA PATRULLA + CARPA 3 PERSONA</t>
  </si>
  <si>
    <t>COMBO QUEPI CASQ. NEGRO RIP + BANDERA AR</t>
  </si>
  <si>
    <t>COMBO QUEPI CASQ. AZUL + BANDERA ARG.</t>
  </si>
  <si>
    <t>COMBO NAVAJA SPIDER COL. + PORTA CARG. S</t>
  </si>
  <si>
    <t>COMBO CORREAJE POLICIAL COMPLETO</t>
  </si>
  <si>
    <t>COMBO PORTA ESP TERMO + ESPOSAS GANCHO</t>
  </si>
  <si>
    <t>COMBO GARIBALDINA RIP MAO AZUL + PORTAES</t>
  </si>
  <si>
    <t>COMBO GAR. AZUL RIP 3XL/5XL + PORTAESPOS</t>
  </si>
  <si>
    <t>COMBO GABARDINA GRIS RIP MAO + PORTAESPO</t>
  </si>
  <si>
    <t>COMBO GAR. GRIS RIP 3XL/5XL+ PORTAESP</t>
  </si>
  <si>
    <t>COMBO GARIBALDINA RIP MAO NEGRA + PORTAE</t>
  </si>
  <si>
    <t>COMBO GAR. NEGRA RIP 3XL/5XL+ PORTAESPOS</t>
  </si>
  <si>
    <t>COMBO CHALECO MAGAL + LINTERNA A LED</t>
  </si>
  <si>
    <t>PACK SILBATO MET. X10 TACTICO (8525001)</t>
  </si>
  <si>
    <t>PACK LINT.X 12 A PILAS AAA LES (8520265)</t>
  </si>
  <si>
    <t>PACK LINT.X 6 A PILAS AAA LED (8520265)</t>
  </si>
  <si>
    <t>PACK LINT.X12 LED TACT. USB (8520946)</t>
  </si>
  <si>
    <t>PACK LINT.X 6 LED TACT. USB(8520946)</t>
  </si>
  <si>
    <t>BERMUDA CARGO GAB NEGRA 50/54 RER</t>
  </si>
  <si>
    <t>BERMUDA CARGO GAB NEGRA 56/60 RER</t>
  </si>
  <si>
    <t>PAÑUELO RER</t>
  </si>
  <si>
    <t>PINTORCITO LMGE AZUL RER</t>
  </si>
  <si>
    <t>METAL CHAPA DE INVESTIGACIONES</t>
  </si>
  <si>
    <t>INSIG NEGRA CABO  P/COLGAR</t>
  </si>
  <si>
    <t>INSIG NEGRA CABO 1RO P/COLGAR</t>
  </si>
  <si>
    <t>INSIG NEGRA SARG P/COLGAR</t>
  </si>
  <si>
    <t>INSIG NEGRA SARG 1RO P/COLGAR</t>
  </si>
  <si>
    <t>INSIG NEGRA SUB PPAL P/COLGAR</t>
  </si>
  <si>
    <t>INSIG BORD AZUL S OFICIAL PPAL CHAQT RER</t>
  </si>
  <si>
    <t>INSIG VERDE CABO PRIMERO GN PARA COL RER</t>
  </si>
  <si>
    <t>INSIG VERDE SARGENTOGN PARA C RER</t>
  </si>
  <si>
    <t>INSIG VARIAS COLGAR CABO RER</t>
  </si>
  <si>
    <t>INSIG ROJA SUBOF MAY P/COLGAR</t>
  </si>
  <si>
    <t>INSIG BI AYTE 5TA PENIT CABO GRIS/AMARIL</t>
  </si>
  <si>
    <t>INSIG BI SUB AYDTE. PENIT CABO 1 G/AMARI</t>
  </si>
  <si>
    <t>INSIG BI SUB ADJUTOR PENIT</t>
  </si>
  <si>
    <t>INSIG BI ADJUTOR PENIT</t>
  </si>
  <si>
    <t>INSIG BI ADJUTOR PRINCIPAL PENIT</t>
  </si>
  <si>
    <t>INSIG BI SUB ALCAIDE PENIT</t>
  </si>
  <si>
    <t>INSIG BI ALCAIDE PENIT</t>
  </si>
  <si>
    <t>INSIG BI ALCAIDE MAYOR PENIT</t>
  </si>
  <si>
    <t>INSIG BI PREFECTO PENIT</t>
  </si>
  <si>
    <t>INSIG BI INSPECTOR GENERAL PENIT</t>
  </si>
  <si>
    <t>INSIG BLANCA SARGENTO P/COLGAR RER</t>
  </si>
  <si>
    <t>INSIG BLANCA SUB OF PPAL P/COLGAR RER</t>
  </si>
  <si>
    <t>JUEGO HEBILLA CINTURON AMERICANO</t>
  </si>
  <si>
    <t>INSIG LMGE EL PAR DE ABROJO 2DO ANIO RER</t>
  </si>
  <si>
    <t>INSIG LMGE EL PAR ABROJO 3ER ANIO RER</t>
  </si>
  <si>
    <t>INSIG LMGE EL PAR DE ARBOJO 3ER ANIO RER</t>
  </si>
  <si>
    <t>INSIG LMGE EL PAR DE ABROJO 4TO ANIO RER</t>
  </si>
  <si>
    <t>INSIG LMGE EL PAR DE ABROJO 5TO ANIO RER</t>
  </si>
  <si>
    <t>INSIG LMGE EL PAR DE ABROJO 6TO ANIO RER</t>
  </si>
  <si>
    <t>CINTA LAUREADA NEGRA RER</t>
  </si>
  <si>
    <t>CINTA SOUTACH RER</t>
  </si>
  <si>
    <t>CINTA DE EMBALAR IMP</t>
  </si>
  <si>
    <t>CINTA CAMUFLAJE P ENMASCARAR RER</t>
  </si>
  <si>
    <t>INSIG GOMA NEGRA CABO 1RO COLGAR RER</t>
  </si>
  <si>
    <t>INSIG GOMA NEGRA SARGENTO COLGAR RER</t>
  </si>
  <si>
    <t>CINTA EMBALAJE TRANSPARENTE X 100MTS 954</t>
  </si>
  <si>
    <t>CINTA REFLECTIVA</t>
  </si>
  <si>
    <t>CINTA REFLECTIVA 655</t>
  </si>
  <si>
    <t>CINTA REFLECTIVA RAYADO DIAGONAL</t>
  </si>
  <si>
    <t>CINTA CUADRICULADA AZ/BL</t>
  </si>
  <si>
    <t xml:space="preserve">5 IMP	0		</t>
  </si>
  <si>
    <t>CINTA REFLECT TEXTIL CUADROS 5CM10,5 IMP</t>
  </si>
  <si>
    <t>CINTA REFLECT TEXTIL TRANFER BAS PLA IMP</t>
  </si>
  <si>
    <t>CINTA REFLECT TEXTIL LISA 65/35 5CM IMP</t>
  </si>
  <si>
    <t>HOMB PENITENCIARIA NEGRA</t>
  </si>
  <si>
    <t>HOMB ORO SERRETA SIN ROMBO DG</t>
  </si>
  <si>
    <t>HOMB ORO SERRETA Y PALMA SIN ROMBO</t>
  </si>
  <si>
    <t>HOMBRERA GRIS TOPO PENIT SUB OF MAY RER</t>
  </si>
  <si>
    <t>HOMBRERA GRIS TOPO PENIT 3 ESTRELLAS NE</t>
  </si>
  <si>
    <t>HOMB DE GALA AMARILLA BORDADA DG</t>
  </si>
  <si>
    <t>HOMB BI PENIT TMAN SAL AGENTE RER</t>
  </si>
  <si>
    <t>HOMB BI PENIT TMAN SAL CRIO (2D) RER</t>
  </si>
  <si>
    <t>HOMB BI PENIT TMAN FAJ AGENTE RER</t>
  </si>
  <si>
    <t>HOMB BI PENI MZA 3SOL PAL SERRET BOT RER</t>
  </si>
  <si>
    <t>HOMB BI PENIT SANTA CRUZ INSPECTOR GRAL</t>
  </si>
  <si>
    <t>HOMB BI POL COMISARIO PPAL TMAN (3 DORA</t>
  </si>
  <si>
    <t>HOMB BORD ORO CRIO GRAL 4 ROMBOS DG</t>
  </si>
  <si>
    <t>HOMB BORD ORO  P.S.A.</t>
  </si>
  <si>
    <t>HOMB SEGURYTEC</t>
  </si>
  <si>
    <t>HOMB BI SEG PRIVADA LIMIT 1 GALON</t>
  </si>
  <si>
    <t>HOMB BI SEG PRIVADA LIMIT 2 GALONES</t>
  </si>
  <si>
    <t>HOMB BI SEG PRIVADA LIMIT 3 GALONES</t>
  </si>
  <si>
    <t>HOMB NEUQUEN CABO RER</t>
  </si>
  <si>
    <t>HOMB NEGRA CABO RER</t>
  </si>
  <si>
    <t>HOMB NEGRA SARGENTO RER</t>
  </si>
  <si>
    <t>HOMB NEGRA SARGENTO AYUDANTE RER</t>
  </si>
  <si>
    <t>HOMB NEGRA SUB OP PRINCIPAL RER</t>
  </si>
  <si>
    <t>HOMB NEGRA SUB OF MAYOR RER</t>
  </si>
  <si>
    <t>HOMB VERDE SEGUNDO CTE GN RER</t>
  </si>
  <si>
    <t>HOMB BORD ORO SANTA CRUZ JEFE 4 ESTRE DG</t>
  </si>
  <si>
    <t>HOMB BI STA CRUZ CRIO INSPECTOR RER</t>
  </si>
  <si>
    <t>HOMB BI STA CRUZ CRIO MAYOR RER</t>
  </si>
  <si>
    <t>HOMB BI STA CRUZ CRIO GRAL RER</t>
  </si>
  <si>
    <t>HOMB VERDE SUBALFERES GN RER</t>
  </si>
  <si>
    <t>HOMB VERDE SIN GRADO GN CO RER</t>
  </si>
  <si>
    <t>DO</t>
  </si>
  <si>
    <t>HOMB BORD ORO SANTA CRUZ CRIO MAYOR  DG</t>
  </si>
  <si>
    <t>METAL HACHA BOMBERO OFICIAL 25*39</t>
  </si>
  <si>
    <t>METAL SOL JEFE PROV. BS.AS. NEUQUEN FEM</t>
  </si>
  <si>
    <t>METAL VIVO POL FED NUEVO MOD PLATEA RER</t>
  </si>
  <si>
    <t>METAL HEBILLA CAJITA STA CRUZ RER</t>
  </si>
  <si>
    <t>ESC SEGURIDAD FEEL SAFE</t>
  </si>
  <si>
    <t>METAL SNAP DOR PIN RER</t>
  </si>
  <si>
    <t>METAL SNAP DE SILICONA EL PAR RER</t>
  </si>
  <si>
    <t>METAL HEBILLA CUADRADA SALIDA LMGE BM</t>
  </si>
  <si>
    <t>HEBILLA CINTURON AMERICANO RER</t>
  </si>
  <si>
    <t>BANDERA ECO MALVINAS (EL PAR)</t>
  </si>
  <si>
    <t>HEBILLA CINTURON SEG 3 PUNTOS 4265</t>
  </si>
  <si>
    <t>HEBILLA CINTURON SEG 3.0 PUNTOS 4261</t>
  </si>
  <si>
    <t>PASADOR RECTO  PARA CINTURON RER</t>
  </si>
  <si>
    <t>PASADOR CURVO PARA CINTURON RER</t>
  </si>
  <si>
    <t>METAL HEBILLA BOMBERO RED PLA RER</t>
  </si>
  <si>
    <t>METAL ESTRELLA PLAT ANT. 5 PUNTAS FEM</t>
  </si>
  <si>
    <t>METAL ESTRELLA S. LUIS DOR CHICA FEM</t>
  </si>
  <si>
    <t>METAL ESTRELLA S. LUIS PLAT C RER</t>
  </si>
  <si>
    <t>METAL VIVO PROV. BS. AS. PLATEADO FEM</t>
  </si>
  <si>
    <t>METAL INSIGNIA CAPITAN PROV. BS. AS. FEM</t>
  </si>
  <si>
    <t>METAL FLEJE OFICIAL PROV BSAS PLATEA FEM</t>
  </si>
  <si>
    <t>METAL ESTRELLA SAN LUIS DOR GRANDE FEM</t>
  </si>
  <si>
    <t>METAL LAPIZ PARA CORDON POR UNIDAD RER</t>
  </si>
  <si>
    <t>METAL ALAS DE CHOFER RER</t>
  </si>
  <si>
    <t>CINT CUERO C/HEBILLA DORADA NQN RER</t>
  </si>
  <si>
    <t>METAL LLAVERO POLICIA DE STA CRUZ RER</t>
  </si>
  <si>
    <t>METAL EMBLEMA BOINA UCCEE RER</t>
  </si>
  <si>
    <t>METAL BOTON STA CRUZ 16 OJAL DORADO FEM</t>
  </si>
  <si>
    <t>METAL BOTON STA CRUZ 12 C/PATAS DOR FEM</t>
  </si>
  <si>
    <t>METAL BOTON STA CRUZ 22 DORADO FEM</t>
  </si>
  <si>
    <t>METAL PROV. BS.AS. SARGENTO FEM</t>
  </si>
  <si>
    <t>METAL BOTON PATRIO 25MM. PLATEADO FEM</t>
  </si>
  <si>
    <t>METAL ESC SUB OF POLICIA FEDERAL PLA RER</t>
  </si>
  <si>
    <t>METAL ESC GORRA POLICIA SAN LUIS DOR RER</t>
  </si>
  <si>
    <t>METAL ESC OFICIAL TUCUMAN DOR RER</t>
  </si>
  <si>
    <t>METAL HEBILLA RED STA CRUZ PLATEADA RER</t>
  </si>
  <si>
    <t>METAL FLEJE OFICIAL PROV BS AS PLAT FEM</t>
  </si>
  <si>
    <t>METAL SILBATO EXTRA GRANDE RER</t>
  </si>
  <si>
    <t>CINT CUERO C/HEBILLA NIQUELADA NQN RER</t>
  </si>
  <si>
    <t>METAL BOTON PATRIO 25 MM. DORA FEM</t>
  </si>
  <si>
    <t>METAL G.N. ESTRELLA OF DORADA RER</t>
  </si>
  <si>
    <t>METAL ESTRELLA PROV.BS.AS. DORADA FEM</t>
  </si>
  <si>
    <t>METAL ESTRELLA PROV. BS.AS. PLATEADA FEM</t>
  </si>
  <si>
    <t>METAL HEBILLA GALA DOR STA CRUZ FEM</t>
  </si>
  <si>
    <t>METAL NOO USAR FEM</t>
  </si>
  <si>
    <t>METAL HEBILLA GALA PLAT. STA CRUZ FEM</t>
  </si>
  <si>
    <t>PASADOR METAL CINTURON NATO 4583</t>
  </si>
  <si>
    <t>HEBILLA CINT NATO CON DOS PASADORES 4584</t>
  </si>
  <si>
    <t>METAL TRABA CORBATA SEGURIDAD RER</t>
  </si>
  <si>
    <t>METAL EMBLEMA BOINA GES RER</t>
  </si>
  <si>
    <t>METAL EMBLEMA BOINA SERP BI</t>
  </si>
  <si>
    <t>METAL INSIGNIA SUBOF.MY C/U DORADA RER</t>
  </si>
  <si>
    <t>METAL ESTRELLA ANTIGU 6 PUNTAS RER</t>
  </si>
  <si>
    <t>METAL PORTA PREMIOS DORADO RER</t>
  </si>
  <si>
    <t>METAL TRABA CORBATA MENDOZA RER</t>
  </si>
  <si>
    <t>METAL PORTA PREMIOS PLATEADOS RER</t>
  </si>
  <si>
    <t>ESC BORD MZA POL MOTORIZADA AZ/DOR</t>
  </si>
  <si>
    <t>ESC BORD POLICIA SAN JUAN 2018 BI</t>
  </si>
  <si>
    <t>ESC BORD TMAN  VIAL P/BRAZO RER</t>
  </si>
  <si>
    <t>ESC BORD VIGILANCIA VIGITERRA SEGURI RER</t>
  </si>
  <si>
    <t>ESC BRAZO ORO LA RIOJA DG</t>
  </si>
  <si>
    <t>METAL G.N. P/CASQ RER</t>
  </si>
  <si>
    <t>METAL ESC GORRA NQN CON MARCO RER</t>
  </si>
  <si>
    <t>METAL LLAVERO BALA 9 MM RER</t>
  </si>
  <si>
    <t>ESC BORD VARIOS</t>
  </si>
  <si>
    <t>ESC BORD FV SEGURIDAD 55</t>
  </si>
  <si>
    <t>ESC BORD TMAN CAMISA POLICIA</t>
  </si>
  <si>
    <t>ESC RECAUDO SEGURIDAD</t>
  </si>
  <si>
    <t>ESC RECAUDO SEGURIDAD CHICO P/BOINA</t>
  </si>
  <si>
    <t>ESC BORD MZA USAR 7709625</t>
  </si>
  <si>
    <t>ESC BORD LR CHAMICAL MOTORIZADA</t>
  </si>
  <si>
    <t>ESC BORD SEGURIDAD 365 MZA</t>
  </si>
  <si>
    <t>ESC BORD MAXI DEPARTMENT STORE</t>
  </si>
  <si>
    <t>ESC BORD NQN GEAR P/BRAZO BV</t>
  </si>
  <si>
    <t>ESC BORD TMAN PACK</t>
  </si>
  <si>
    <t>ESC BORD LOGO HIDROTECNICA ROVER</t>
  </si>
  <si>
    <t>ESC BORD MZA BOINA B. VISIB MOTORIZADA</t>
  </si>
  <si>
    <t>ESC ALTA SEG APM CHICO</t>
  </si>
  <si>
    <t>ESC BORD LMGE SOL 5.5X5.5</t>
  </si>
  <si>
    <t>ESC BORD INSTRUC TIRO ARG BOINA BI</t>
  </si>
  <si>
    <t>ESC BORD INSTRUC TIRO ARG PARCHE BI</t>
  </si>
  <si>
    <t>ESC BORD NO USAR   BORADO BRAZO</t>
  </si>
  <si>
    <t>ESC BORD TMAN OFERTA  POR DOS</t>
  </si>
  <si>
    <t>APLIQUE PSA TRUK NEGRO ENGOM NEGRO BI</t>
  </si>
  <si>
    <t>ESC BORD MZA INVESTIGACIONES</t>
  </si>
  <si>
    <t>ESC BORD MZA VCCEE</t>
  </si>
  <si>
    <t>ESC BORD MZA TRANSITO GUAYMALLEN</t>
  </si>
  <si>
    <t>PECT. POLICIA STA.CRUZ RER</t>
  </si>
  <si>
    <t>ESC INFANTERIA FUSILES CURSO NAC 2018</t>
  </si>
  <si>
    <t>ESC BORD STA CRUZ INFANT B/VISIB BRAZO</t>
  </si>
  <si>
    <t>ESC NO USAR  BOINA INFANT. BAJA V.</t>
  </si>
  <si>
    <t>PARCHE NQN BOMB PICIN LEUFU RER</t>
  </si>
  <si>
    <t>ESC BORD MZA BOINA UPAT</t>
  </si>
  <si>
    <t>ESC BORD CATACPOL   BAJA VISIV</t>
  </si>
  <si>
    <t>ESC BORD MZA AVIACIÓN</t>
  </si>
  <si>
    <t>ESC BORD NQN SEG SAN PABLO</t>
  </si>
  <si>
    <t>ESC BORD STA CRUZ INFANT B/VISIB BOINA</t>
  </si>
  <si>
    <t>ESC BORD MZA IUSP B.VISIB. CUERPO INSTR.</t>
  </si>
  <si>
    <t>ESC BORD JUJUY UPAT</t>
  </si>
  <si>
    <t>ESC BORD SAME JUJUY ENGOMADO</t>
  </si>
  <si>
    <t>ESC BORD SALTA POLICIA DORADO</t>
  </si>
  <si>
    <t>ESC BORD MZA RURAL BOINA</t>
  </si>
  <si>
    <t>ESC POLICIA</t>
  </si>
  <si>
    <t>ESC BORD PENITENCIARIA SAN JUAN</t>
  </si>
  <si>
    <t>ESC BORD SERV PENIT SAN FELIPE DEP Y REC</t>
  </si>
  <si>
    <t>ESC BORD UCCEE BOINA</t>
  </si>
  <si>
    <t>ESC BORD CRISOL BUZO</t>
  </si>
  <si>
    <t>ESC BORD MZA U.A.R BOINA UNIDAD ACCION P</t>
  </si>
  <si>
    <t>ESC BORD TMAN PENIT CAMISA GRIS NO USAR</t>
  </si>
  <si>
    <t>ESC BORD TMAN PENIT CHAQ FRANCIA NO USAR</t>
  </si>
  <si>
    <t>ESC BORD NQN. USAR 7709504</t>
  </si>
  <si>
    <t>ESC BORD NQN DESP</t>
  </si>
  <si>
    <t>ESC BORD TMAN GDIA INFANT NO SE USA MAS</t>
  </si>
  <si>
    <t>ESC BORD MZA PENIT. SANIDAD</t>
  </si>
  <si>
    <t>ESC TMAN COMANDO RADIOEL. NO SE USA MAS</t>
  </si>
  <si>
    <t>ESC BORD NQN BOMBEROS BAJA VISIB</t>
  </si>
  <si>
    <t>ESC BORD MZA PENIT BOINA SERP BARG</t>
  </si>
  <si>
    <t>ESC BORD MZA BOMBEROS VOL MAIPU</t>
  </si>
  <si>
    <t>ESC BORD NQN INSTRUCTOR</t>
  </si>
  <si>
    <t>ESC BORD STA CRUZ INST SUP FORM POLICIAL</t>
  </si>
  <si>
    <t>ESC BORD STA CRUZ TRANSITO B/ VISIBILIDA</t>
  </si>
  <si>
    <t>ESC BORD MZA PENIT.SEG.INT.GRIS</t>
  </si>
  <si>
    <t>ESC BORD CATAM POL SUBOF TVS 527-28</t>
  </si>
  <si>
    <t>ESC BORD CATAM. POLICIA BAJA VISIBILIDAD</t>
  </si>
  <si>
    <t>ESC BORD MZA PENIT. CANES</t>
  </si>
  <si>
    <t>ESC BORD NQN GRETARCCO</t>
  </si>
  <si>
    <t>ESC BORD NQN POL RURAL Y CANES</t>
  </si>
  <si>
    <t>ESC BORD CATAM. BOINA GIR BD</t>
  </si>
  <si>
    <t>ESC TMAN OFICIALES</t>
  </si>
  <si>
    <t>ESC BORD NQN ACAD.POL. B.V.(ACAD</t>
  </si>
  <si>
    <t>PECT. BORD. 1SOL 1LINEA PSA BI</t>
  </si>
  <si>
    <t>PECT. BORD. 2SOL 1LINEA PSA BI</t>
  </si>
  <si>
    <t>ESC BORD CHUBUT DROGAS GRANDE</t>
  </si>
  <si>
    <t>ESC BORD CHUBUT DROGAS CHICO</t>
  </si>
  <si>
    <t>ESC BORD SANTA FE GAT</t>
  </si>
  <si>
    <t>ESC BORD SAN JUAN GRUPO ESPECIAL SUR</t>
  </si>
  <si>
    <t>ESC BORD SAN JUAN BANDERA GES SUR</t>
  </si>
  <si>
    <t>ESC BORD SAN JUAN POLICIA  BARG</t>
  </si>
  <si>
    <t>ESC BORD MZA POLICA CON  VELCRO</t>
  </si>
  <si>
    <t>ESC BORD MZA UEP BOINA BAJA VIS</t>
  </si>
  <si>
    <t>ESC BORD MZA UEP TUPUNGATO</t>
  </si>
  <si>
    <t>ESC BORD MZA UEP LAS HERAS</t>
  </si>
  <si>
    <t>ESC BORD MZA UEP LUJAN</t>
  </si>
  <si>
    <t>ESC BORD MZA UEP TUNUYAN</t>
  </si>
  <si>
    <t>ESC BORD MZA SARPOL</t>
  </si>
  <si>
    <t>ESC BORD MZA ASISTENCIA TURISTICA</t>
  </si>
  <si>
    <t>ESC BORD MZA PATRULLA DE RESCATE</t>
  </si>
  <si>
    <t>ESC BORD NQN SUBOFICIAL/PLT POLICIA BARG</t>
  </si>
  <si>
    <t>ESC BORD SANTA FE INFANTERIA UR II</t>
  </si>
  <si>
    <t>ESC BORD SANTA FE INFANTERIA EQUIPO BRAV</t>
  </si>
  <si>
    <t>ESC BORD SANTA FE GIRI</t>
  </si>
  <si>
    <t>ESC BORD SANTA FE U.E.P.T Y V.V</t>
  </si>
  <si>
    <t>ESC BORD SANTA FE EXPIL SEG.</t>
  </si>
  <si>
    <t>ESC BORD SANTA FE COMANDO RADIOELC.</t>
  </si>
  <si>
    <t>ESC BORD SANTA FE POLICIA</t>
  </si>
  <si>
    <t>ESC BORD SANTA FE BRIGADA MOTORIZADA</t>
  </si>
  <si>
    <t>ESC BORD SANTA FE PAT</t>
  </si>
  <si>
    <t>ESC BORD SANTA FE UNIDAD ESP CASA DE GOB</t>
  </si>
  <si>
    <t>ESC BORD SANTA FE EQUIPO CHARLY</t>
  </si>
  <si>
    <t>ESC BORD SANTA FE POLICIA COMUNITARIA</t>
  </si>
  <si>
    <t>ESC BORD SANTA FE GDIA INFANT 4 CPIA</t>
  </si>
  <si>
    <t>ESC BORD SANTA FE GDIA INFANT. 2 CPIA</t>
  </si>
  <si>
    <t>ESC BORD SANTA FE POLICIA BV</t>
  </si>
  <si>
    <t>ESC BORD SANTA FE CDO RADIOELC. ALVEAR</t>
  </si>
  <si>
    <t>ESC BORD SANTA FE DIVISION LOGISTICA</t>
  </si>
  <si>
    <t>ESC BORD SANTA FE GDIA INFANT 5 CPIA</t>
  </si>
  <si>
    <t>ESC BORD SANTA FE BOMBEROS</t>
  </si>
  <si>
    <t>ESC BORD SANTA FE INFANTERIA EQUIPO ALFA</t>
  </si>
  <si>
    <t>ESC BI BRAZO NO SE SA MAS</t>
  </si>
  <si>
    <t>ESC BORD LA RIOJA POLICIA   TVS 515</t>
  </si>
  <si>
    <t>ESC BORD LA RIOJA CRIA D LA MUJER</t>
  </si>
  <si>
    <t>ESC BORD TMAN BOINA VIAL</t>
  </si>
  <si>
    <t>ESC PECTO CITRUSVIL/VILUCO</t>
  </si>
  <si>
    <t>ESC BORD NQN CIPO TIRO CLUB</t>
  </si>
  <si>
    <t>ESC BORD NQN B VISIB. POLICIA</t>
  </si>
  <si>
    <t>ESC BORD MZA UEP GODOY CRUZ</t>
  </si>
  <si>
    <t>ESC BORD STA CRUZ ESC DE CADETES</t>
  </si>
  <si>
    <t>ESC BORD MZA CANES BRAZO BAJA VISIBILIDA</t>
  </si>
  <si>
    <t>ESC BORD MZA PENIT. RESGUARDO IMAGE</t>
  </si>
  <si>
    <t>ESC BORD IUSP BOINA LOGO BAJA VIS</t>
  </si>
  <si>
    <t>ESC BORD MZA MOTOR. BD TVS</t>
  </si>
  <si>
    <t>ESC PENIT. BOINA BD ALMAFUERTE</t>
  </si>
  <si>
    <t>ESC BORD NQN PLAZA HUINCUL BOMB VO</t>
  </si>
  <si>
    <t>ESC BORD NQN SEM BOINA</t>
  </si>
  <si>
    <t>ESC EMPRESA ALBIERO MONITOREO TUC</t>
  </si>
  <si>
    <t>ESC GOMA POLICIA SANTA CRUZ BAJA VISIBI</t>
  </si>
  <si>
    <t>ESC GOMA POLICIA SANTA FE BAJA VISIBILID</t>
  </si>
  <si>
    <t>SOL BORD ORO DG</t>
  </si>
  <si>
    <t>APLIQUE CARTELLONE NEGRO BI</t>
  </si>
  <si>
    <t>APLIQUE SEGURIDAD 10 X 2.5 RER</t>
  </si>
  <si>
    <t>APLIQUE SEGURIDAD P/ESPALDA ESTAMPA</t>
  </si>
  <si>
    <t>BAND   USAR 7707/136</t>
  </si>
  <si>
    <t>BAND ARG MODELO INF</t>
  </si>
  <si>
    <t>BAND ARG MODELO INF BV</t>
  </si>
  <si>
    <t>APLIQUE INFANTERIA BV RER</t>
  </si>
  <si>
    <t>BANDERA CON PALABRA ARG. (GAST)</t>
  </si>
  <si>
    <t>BANDERA BORD S.CRUZ BAJA V</t>
  </si>
  <si>
    <t>APLIQUE POLICIA P/ CHALECO RER</t>
  </si>
  <si>
    <t>PALMA BORD IND PENIT TMAN CAMISA</t>
  </si>
  <si>
    <t>ROMBO BORD ORO DG</t>
  </si>
  <si>
    <t>ZAPATO PUNTERA ACERO 1071 CC</t>
  </si>
  <si>
    <t>ZAPATO DE SEG P/ACERO T ESP 46/50 RER</t>
  </si>
  <si>
    <t>ZAPATO CUERO NEGRO C/PUNTERA RER</t>
  </si>
  <si>
    <t>BOTIN PRUSIANO MARRON AGENCIA RER</t>
  </si>
  <si>
    <t>BOTIN PRUSIANO NEGRO AGENCIA RER</t>
  </si>
  <si>
    <t>BOTA PETROLERA RER</t>
  </si>
  <si>
    <t>BORCEGUI TACTICO CUERO RERDA ESPECI RER</t>
  </si>
  <si>
    <t>BOTIN AMERICANO AGENCIA RER</t>
  </si>
  <si>
    <t>BOTIN CLASICO AGENCIA RER</t>
  </si>
  <si>
    <t>BORCEGUI TACTICO CUERO RER</t>
  </si>
  <si>
    <t>BORCEGUI TACTICO TODO CUERO ESPECIA RER</t>
  </si>
  <si>
    <t>BORCEGUIE TACTICO MARRON RERDA</t>
  </si>
  <si>
    <t>BORCEGUI TACTICO CON CIERRE NO USAR RER</t>
  </si>
  <si>
    <t>CAMBIO DE VISERA RER</t>
  </si>
  <si>
    <t>BOINA PANA AZUL 1</t>
  </si>
  <si>
    <t>BOINA PANA AZUL 2</t>
  </si>
  <si>
    <t>BOINA PANA AZUL 3</t>
  </si>
  <si>
    <t>BOINA PANA BEIGE LMGE 1</t>
  </si>
  <si>
    <t>BOINA PANA BEIGE LMGE 2</t>
  </si>
  <si>
    <t>BOINA PANA BEIGE LMGE 3</t>
  </si>
  <si>
    <t>BOINA PANA VERDE</t>
  </si>
  <si>
    <t>BOINA LANA NEGRA UNA PIEZA ORF</t>
  </si>
  <si>
    <t>LINTERNA 4674-4677</t>
  </si>
  <si>
    <t>BOINA PANA ROJA RER</t>
  </si>
  <si>
    <t>BOINA PANA NEGRA</t>
  </si>
  <si>
    <t>BOINA PANA NEGRA 1</t>
  </si>
  <si>
    <t>BOINA PANA NEGRA 2</t>
  </si>
  <si>
    <t>BOINA PANA NEGRA 3</t>
  </si>
  <si>
    <t>BOINA PA¥O NEGRA T.1</t>
  </si>
  <si>
    <t>BOINA PA¥O NEGRA T.2</t>
  </si>
  <si>
    <t>BOINA PA¥O NEGRO T.3</t>
  </si>
  <si>
    <t>BOINA PAÑO AZUL</t>
  </si>
  <si>
    <t>AGEN. BIRRETE AGENCIA DE SEGUR LIMIT RER</t>
  </si>
  <si>
    <t>CASQ RIP TIGER VERDE</t>
  </si>
  <si>
    <t>CASQ NEGRO CRIO GRAL  C/ TRAB</t>
  </si>
  <si>
    <t>CASQ RIP DESERTICO</t>
  </si>
  <si>
    <t>CASQ NEGRO IMPORT</t>
  </si>
  <si>
    <t>CASQ RIP AZUL CON ABROJO</t>
  </si>
  <si>
    <t>CASQ GRIS RIP C CINTA A CUADRO</t>
  </si>
  <si>
    <t>CASQ EJERC C ABROJO</t>
  </si>
  <si>
    <t>CASQ RIP EJERCITO MULTICAM</t>
  </si>
  <si>
    <t>CASQ RIP AZUL CRIO INSPECTOR VISERA BOR</t>
  </si>
  <si>
    <t>CASQ RIP NEGRO CRIO INSPECTOR VISERA BOR</t>
  </si>
  <si>
    <t>BONNY RIP MIMETICO RER</t>
  </si>
  <si>
    <t>BONNY RIP RURAL RER</t>
  </si>
  <si>
    <t>CASQ RIP DIGITAL MIMET RURAL</t>
  </si>
  <si>
    <t>CASQ REVER RIP MIME/NEG</t>
  </si>
  <si>
    <t>CASQ REVER RIP GRIS/NEG</t>
  </si>
  <si>
    <t>CASQ REVER RIP INFANT/NEG</t>
  </si>
  <si>
    <t>CASQ RIP NEGRO C/OJALITO BORD NQN</t>
  </si>
  <si>
    <t>CASQ RIP AZUL C/OJALITO BORD NQN</t>
  </si>
  <si>
    <t>CASQ RIP RURAL  C/ABROJO</t>
  </si>
  <si>
    <t>CASQ RIP NEGRO STA FE C ABROJO C/ESC RER</t>
  </si>
  <si>
    <t>CASQ RIP NEGRO STA FE SERRETA Y LAU RER</t>
  </si>
  <si>
    <t>CASQ RIP AZUL NQUEN. VISERA BORDADA RER</t>
  </si>
  <si>
    <t>CASQ RIP NEGRO C ABROJO Y CINTA A CUA</t>
  </si>
  <si>
    <t>CASQ MUNIC. GUAYMALLEN RER</t>
  </si>
  <si>
    <t>GORRA BLANCA SIN ATRIBUTO RER</t>
  </si>
  <si>
    <t>GORRA GENDARMERIA NACIONAL</t>
  </si>
  <si>
    <t>GORRA AZUL VISERA SUB COMISA/COMISA RER</t>
  </si>
  <si>
    <t>GORRA AZUL VISERA COMISARIO GENERAL RER</t>
  </si>
  <si>
    <t>GORRA AZUL VISERA COMISARIO INSPECT RER</t>
  </si>
  <si>
    <t>BONNY RIP AZUL RER</t>
  </si>
  <si>
    <t>CHAMBERGO LMGE VERDE LSA</t>
  </si>
  <si>
    <t>CHAMBERGO DE LANA GRIS</t>
  </si>
  <si>
    <t>CHAMBERGO DE LANA NEGRO LSA</t>
  </si>
  <si>
    <t>SOMBRERO GRIS PERLA COPA NAT SRH</t>
  </si>
  <si>
    <t>SOMBRERO NEGRO COPA NAT SRH</t>
  </si>
  <si>
    <t>PERISCOPIO TACTICO NEGRO UZI RER</t>
  </si>
  <si>
    <t>GORRITA MZA  AZUL LMGE</t>
  </si>
  <si>
    <t>GORRITA PLANTA VERIFICADORA</t>
  </si>
  <si>
    <t>GORRITA CAP 008</t>
  </si>
  <si>
    <t>GORRITA BASEBALL CAP 4689-4691</t>
  </si>
  <si>
    <t>GORRITA CAP 002</t>
  </si>
  <si>
    <t>GORRITA AMERICA SEGURIDAD</t>
  </si>
  <si>
    <t>GORRITA MZA IUSP NEGRA RER</t>
  </si>
  <si>
    <t>GORRITA NQN POL</t>
  </si>
  <si>
    <t>GORRITA MARRON SEG PRIV CENTRAL</t>
  </si>
  <si>
    <t>GORRITA RIO NEGRO CIEP NEGRA BI</t>
  </si>
  <si>
    <t>GORRITA NEGRA MUNI SEMILLOSA BORDA</t>
  </si>
  <si>
    <t>GORRO BLANCO POLAR RER</t>
  </si>
  <si>
    <t>GORRO VERDE POLAR RER</t>
  </si>
  <si>
    <t>GORRO NIEVE CAP076 RER</t>
  </si>
  <si>
    <t>GORRITA LA RIOJA POLICIA</t>
  </si>
  <si>
    <t>GORRITA LA RIOJA MONTADA</t>
  </si>
  <si>
    <t>GORRITA POLICIA STA FE BORD AMARILLO</t>
  </si>
  <si>
    <t>GORRITA POLICIA STA FE  BORD BLANCO</t>
  </si>
  <si>
    <t>GORRITA POLICIA STA FE BORD DORADO RER</t>
  </si>
  <si>
    <t>GORRITA POLICIA STA FE BORD PLATEADO</t>
  </si>
  <si>
    <t>GORRA TMAN POL NEGRA RER</t>
  </si>
  <si>
    <t>GORRO NATWAY PASAMONTA¥A RER</t>
  </si>
  <si>
    <t>GORRO SPINIT PASAMONTA¥A</t>
  </si>
  <si>
    <t>GORRO NATWQY FACE MASK 01</t>
  </si>
  <si>
    <t>GORRO DOBLE POLAR CON VISERA</t>
  </si>
  <si>
    <t>GORRITA PCN F1 NEGRA RER</t>
  </si>
  <si>
    <t>GORRITA PCN F1 AZUL RER</t>
  </si>
  <si>
    <t>GORRITA UPAT POL TURISTICA AZUL</t>
  </si>
  <si>
    <t>GORRITA SAN JUAN POLICIA HILO BLANCO RER</t>
  </si>
  <si>
    <t>GORRITA SEGURYTEC NEGRA C LOGO</t>
  </si>
  <si>
    <t>GORRITA RIO GALLEGOS TRANSITO</t>
  </si>
  <si>
    <t>GORRITA STA CRUZ  D.I.C.C. RER</t>
  </si>
  <si>
    <t>GORRITA JUJUY POLICIA</t>
  </si>
  <si>
    <t>GORRO CAP 158</t>
  </si>
  <si>
    <t>GORRITA POLICIA TURISTICA</t>
  </si>
  <si>
    <t>GORRITA JUJUY BOMBEROS 1907</t>
  </si>
  <si>
    <t>GORRITA CANES</t>
  </si>
  <si>
    <t>GORRITA MZA UPAT</t>
  </si>
  <si>
    <t>GORRITA MZA BOMBEROS RER</t>
  </si>
  <si>
    <t>GORRITA NEGRA TRANSITO GUAYMALLEN ABROJO</t>
  </si>
  <si>
    <t>GORRITA MZA BODEGA PULENTA ESTATE</t>
  </si>
  <si>
    <t>GORRO LANA ROCKY FORRADO 53190</t>
  </si>
  <si>
    <t>GORRITA BORD UROF VI AZUL</t>
  </si>
  <si>
    <t>GORRITA LAS PIRCAS NEGRA</t>
  </si>
  <si>
    <t>GORRITA NEGRA KINETA RER</t>
  </si>
  <si>
    <t>GORRITA MZA KINETA</t>
  </si>
  <si>
    <t>GORRITA TMAN ASUNTOS INTERNOS RER</t>
  </si>
  <si>
    <t>GORRITA NEGRA PREVENTORES/MUNI MZA</t>
  </si>
  <si>
    <t>GORRITA SAN LUIS ISSP J.P.PRINGLES</t>
  </si>
  <si>
    <t>GORRITA LR CHAMICAL MOTORIZADA NEGRA</t>
  </si>
  <si>
    <t>GORRITA POLI CONTRA NARCOTRAFICO BORD</t>
  </si>
  <si>
    <t>GORRITA MZA CANES RER</t>
  </si>
  <si>
    <t>GORRITA MZA MUNICIPALIDAD DE LAS HERAS</t>
  </si>
  <si>
    <t>GORRITA MZA PENITENCIARIA IFOPE</t>
  </si>
  <si>
    <t>GORRITA ASPIRANTE NEGRA</t>
  </si>
  <si>
    <t>GORRITA SARPOL CON CINTA A CUADROS BI</t>
  </si>
  <si>
    <t>GORRITA SAN JUAN PENITENCIARIA</t>
  </si>
  <si>
    <t>GORRITA INVESTIGACIONES AZ RIO NEGRO</t>
  </si>
  <si>
    <t>GORRITA NEGRA GREY FOX</t>
  </si>
  <si>
    <t>GORRO VERDUGO C/ CALAVERA RER</t>
  </si>
  <si>
    <t>GORRO VERDUGO C FORRO POLAR</t>
  </si>
  <si>
    <t>GORRO VERDUGO C/ FORRO PIEL</t>
  </si>
  <si>
    <t>GORRITA SAN JUAN POLICIA HOLO DORADO BI</t>
  </si>
  <si>
    <t>GORRITA AHB43907</t>
  </si>
  <si>
    <t>GORRITA POLICIA IMVESTIGACIONES AZUL</t>
  </si>
  <si>
    <t>SUDADERA RED MILITAR BLANCA ORF</t>
  </si>
  <si>
    <t>SUDADERA MICRORED MILITAR XL NEGRA RER</t>
  </si>
  <si>
    <t>SUDADERA MICRORED MILITAR XL CAMUFLA RER</t>
  </si>
  <si>
    <t>ESPOSAS SMITH &amp; WESS CADE NEG J10095 RER</t>
  </si>
  <si>
    <t>ESPOSAS CON CADENA IMP-7/3 1211</t>
  </si>
  <si>
    <t>PECT. B.I. AUXILIAR B.VISB</t>
  </si>
  <si>
    <t>PORTA CREDENCIAL BILLLE PREMIUM 1034 TB</t>
  </si>
  <si>
    <t>PORTA CREDENCIAL RER</t>
  </si>
  <si>
    <t>CUCHILLO TRENTO COMANDO 131673</t>
  </si>
  <si>
    <t>INSIG BI CABO 1 GRIS PEN</t>
  </si>
  <si>
    <t>PORTA ELEMENTO POLIA NEG XTL 621</t>
  </si>
  <si>
    <t>PORTA CREDENCIAL CON CHAPA INVESTIG RER</t>
  </si>
  <si>
    <t>PORTA CREDENCIAL ESPECIAL RER</t>
  </si>
  <si>
    <t>ESPOSAS DESCARTABLES RRD RER</t>
  </si>
  <si>
    <t>ESPOSAS RERDA</t>
  </si>
  <si>
    <t>PROT. PHB3 HOMBRO Y ANTEBRAZO RER</t>
  </si>
  <si>
    <t>LINTERNA NEGRA CHICA LUG</t>
  </si>
  <si>
    <t>ESPOSA MARSHALL RER</t>
  </si>
  <si>
    <t>TONFA PLASTICA TECH.POLICE SOL</t>
  </si>
  <si>
    <t>ARTICULOS PARA DEFENSA PERSONAL</t>
  </si>
  <si>
    <t>PROT. PP01 PIERNA RODILLA TOBILL EM RER</t>
  </si>
  <si>
    <t>ESCUDO ANTIDIST. POLICARB. CURVO 50 SOL</t>
  </si>
  <si>
    <t>ESCUDO ANTIDIST BURBUJA C VISOR VB02 SOL</t>
  </si>
  <si>
    <t>CASQ RIP AZUL C/OJALITOS IMP</t>
  </si>
  <si>
    <t>BASTON RIGIDO BP 70 CM RER</t>
  </si>
  <si>
    <t>BASTON SEMIRIGIDO 45 CM ORF211</t>
  </si>
  <si>
    <t>BASTON DE MANDO RER</t>
  </si>
  <si>
    <t>PALMA BORD ORO BLANCA 11 HOJAS CAMISA DG</t>
  </si>
  <si>
    <t>PALMA BORD ORO CELESTE 7 HOJAS CAMISA DG</t>
  </si>
  <si>
    <t>BASTON RIGIDO BP 45CM RER207</t>
  </si>
  <si>
    <t>RELOJ LASIKA SPORT WR 30 MTS RER</t>
  </si>
  <si>
    <t>CASCO ANTIDIST. CA03 CON VISOR DE 3 SOL</t>
  </si>
  <si>
    <t>BASTON EXTENSIBLE IMP</t>
  </si>
  <si>
    <t>BASTON EXTENSIBLE GOMA NEGRO</t>
  </si>
  <si>
    <t>BASTON EXTENSIBLE CROMADO RER</t>
  </si>
  <si>
    <t>BASTON EXTENSIBLE</t>
  </si>
  <si>
    <t>BASTON EXTENSIBLE POLICE CORTO RER</t>
  </si>
  <si>
    <t>CARGADOR USB SOLAR RER</t>
  </si>
  <si>
    <t>BASTON LINTERNA RECARGABLE RER</t>
  </si>
  <si>
    <t>ESPOSA ALCATRAZ RER</t>
  </si>
  <si>
    <t>ESPOSAS TORO</t>
  </si>
  <si>
    <t>PROT. PAC BRAZO CODO Y ANTEBRAZO RER</t>
  </si>
  <si>
    <t>SABLE CORTO RER</t>
  </si>
  <si>
    <t>SET 4 ANTEOJOS IMP</t>
  </si>
  <si>
    <t>MASCARA REBATIBLE</t>
  </si>
  <si>
    <t>MASCARA CON VISERA P/NINIOS</t>
  </si>
  <si>
    <t>MASCARA REBATIBLE 0.23 X 0.24 MT POLICA</t>
  </si>
  <si>
    <t>ANTIPARRA SPORT 2003YT/13.80</t>
  </si>
  <si>
    <t>ANTIPARRA SPORT 3007PL/21.3</t>
  </si>
  <si>
    <t>ANTIPARRA SPORT 3007RP/21.3</t>
  </si>
  <si>
    <t>ANTIPARRA SPORT 3009PL/21.30</t>
  </si>
  <si>
    <t>ANTIPARRA SPORT 3009RP/21.30</t>
  </si>
  <si>
    <t>ANTIPARRA SPORT KITX3 3011ST/35.15</t>
  </si>
  <si>
    <t>ANTIPARRA SPORT 3101SM/13.80</t>
  </si>
  <si>
    <t>ANTIPARRA SPORT 3104CM/11.85 GLA</t>
  </si>
  <si>
    <t>ANTIPARRA SPORT 3104SM/11.85</t>
  </si>
  <si>
    <t>ANTIPARRA SPORT MIMET DIG</t>
  </si>
  <si>
    <t>ANTIPARRA/LENTES SPORT C SUJETADOR RER</t>
  </si>
  <si>
    <t>ANTIPARRA/LENTES 3 EN 1 C SUJETADOR</t>
  </si>
  <si>
    <t>LENTES PYRAMEX XSG KIT BALLIST CLEAR MIN</t>
  </si>
  <si>
    <t>PROTECTOR DE MUSLO BM</t>
  </si>
  <si>
    <t>PROT. PI INGLE RER</t>
  </si>
  <si>
    <t>TONFA TECH. POLICE TP60 SOL</t>
  </si>
  <si>
    <t>PECT ESC CADETES BARRA BL-AZ-NE BI</t>
  </si>
  <si>
    <t>PECT. B/DENS. 3 ROMBOS RER</t>
  </si>
  <si>
    <t>PECT. B/DENS. 1 ROMBO SERRE RER</t>
  </si>
  <si>
    <t>PECT. B/DENS. 1 ROMBO Y PAL RER</t>
  </si>
  <si>
    <t>PECT. B/DENS. 2 ROMBOS Y PA RER</t>
  </si>
  <si>
    <t>INSIG BI SARG PRIMERO</t>
  </si>
  <si>
    <t>PECT BORD SAN LUIS  1 LINEA RER</t>
  </si>
  <si>
    <t>PECT BORD SAN LUIS  2 LINEAS RER</t>
  </si>
  <si>
    <t>GRUPO SANGUINEO MOSQUETON/LLAVERO RER</t>
  </si>
  <si>
    <t>GRIFA POLICIA GALLO PAR RER</t>
  </si>
  <si>
    <t>GRIFA BOMBEROS EL PAR RER</t>
  </si>
  <si>
    <t>GRIFA PENITENCIARIA EL PAR RER</t>
  </si>
  <si>
    <t>PECT. BORD. ORO SANTA CRUZ CRIO. INSP.</t>
  </si>
  <si>
    <t>PECT. BORD. ORO SANTA CRUZ CRIO. MAYOR</t>
  </si>
  <si>
    <t>PECT. BORD. ORO SANTA CRUZ CRIO. GRAL.</t>
  </si>
  <si>
    <t>PECT BORD ORO S CRUZ JEFE 4 ESTR DG</t>
  </si>
  <si>
    <t>PECT ESC CADETES 3 BARRAS AZ BI</t>
  </si>
  <si>
    <t>PECT. BORD. AMERICA SEGURIDAD BI</t>
  </si>
  <si>
    <t>NOMBRE BORDADO LETRAS METALIZADAS BI</t>
  </si>
  <si>
    <t>NOMBRE PECTO ALTA SEGURIDAD BI</t>
  </si>
  <si>
    <t>NOMBRE BORD 2 LINEAS (NQN-TMAN) BI</t>
  </si>
  <si>
    <t>NOMBRE BORDADO MZA 2UNIDADES RER</t>
  </si>
  <si>
    <t>NOMBRE BORD TUC B.V. BI</t>
  </si>
  <si>
    <t>NOMBRE BORD + RANGO PCIA DE SANTA FE RER</t>
  </si>
  <si>
    <t>BARBIJO TAPABOCA TELA ECO</t>
  </si>
  <si>
    <t>PECT FUERZA AEREA DOS ALAS RER</t>
  </si>
  <si>
    <t>PECT BORD 4 ROMB 22MM DOR DIREC RER</t>
  </si>
  <si>
    <t>PECT. BORD 1 ESTRELLA ANTIG BARG RER</t>
  </si>
  <si>
    <t>PECT. BORD AUXILIAR SEGUNDO B. VIS</t>
  </si>
  <si>
    <t>PECT BI AUXILIAR PRIMERO BEIGE BI</t>
  </si>
  <si>
    <t>PECT BI AUXILIAR SEGUNDO BEIGE BI</t>
  </si>
  <si>
    <t>PECT BI AUXILIAR MAYOR BEIGE BI</t>
  </si>
  <si>
    <t>PECT BORD SL 2 ESTR SERR DOR COMIS BI</t>
  </si>
  <si>
    <t>BASE CHALECO CHICA</t>
  </si>
  <si>
    <t>PECT 1 SOL STA CRUZ RER</t>
  </si>
  <si>
    <t>PECT 4 SOL STA CRUZ BI</t>
  </si>
  <si>
    <t>PECT 2 SOL ADJUTOR MENDOZA RER</t>
  </si>
  <si>
    <t>PECT 2 SOL ADJUTOR MENDOZA BAJA VIS BI</t>
  </si>
  <si>
    <t>PECT 1 SOL SUB ADJUTOR MENDOZA B VIS BI</t>
  </si>
  <si>
    <t>PECT BORD 1 SOL PLAT RG</t>
  </si>
  <si>
    <t>PECT BORD 2 SOL PLAT RG</t>
  </si>
  <si>
    <t>PECT BORD 3 SOL PLAT RG</t>
  </si>
  <si>
    <t>PECT. BORD 1 ESTRELLA ANTIG</t>
  </si>
  <si>
    <t>PECT BORD 2 ESTRELLAS ANTIG BARG BI</t>
  </si>
  <si>
    <t>PECT. BORD 4 ESTRELLAS ANTIG RER</t>
  </si>
  <si>
    <t>PECT. BORD 6 ESTRELLAS ANTIG RER</t>
  </si>
  <si>
    <t>PECT BORD 5 ESTRELLAS ANTIG BARG RER</t>
  </si>
  <si>
    <t>PECT 1 ROMBO BASE FR PALMA BL C INSP BI</t>
  </si>
  <si>
    <t>PECT. BORD VOLUNTARIO 1RA EJERCITO BI</t>
  </si>
  <si>
    <t>PECT BORD VOLUNTARIO 2DA EJERCITO BI</t>
  </si>
  <si>
    <t>PECT. 2 ROMBOS Y PALMA CRIO MY BI</t>
  </si>
  <si>
    <t>PECT. COMISARIO PCIA. DE SA RER</t>
  </si>
  <si>
    <t>PECT. BORD 5 ESTRELLAS ANTIG</t>
  </si>
  <si>
    <t>PECT. 3 ROMBOS Y SERRETA CRIO PPAL RER</t>
  </si>
  <si>
    <t>PECT BORD MZA UMAR</t>
  </si>
  <si>
    <t>INSIG BI SUB OFICIAL AYUDANTE PENIT</t>
  </si>
  <si>
    <t>INSIG BI SUB OFICIAL AUXILIAR PENIT</t>
  </si>
  <si>
    <t>INSIG BI SUB OFICIAL MAYOR PENIT BI</t>
  </si>
  <si>
    <t>VISERA LISA NEGRA RER</t>
  </si>
  <si>
    <t>VISERA BORD ORO P.S.A.</t>
  </si>
  <si>
    <t>INSIG BI CABO PRIMERO BI  AZUL/AMARILLO</t>
  </si>
  <si>
    <t>INSIG BI CABO BEIGE BI</t>
  </si>
  <si>
    <t>INSIG BI CABO PRIMERO BEIGE BI</t>
  </si>
  <si>
    <t>INSIG BI SARGENTO BEIGE BI</t>
  </si>
  <si>
    <t>INSIG BI SARGENTO PRIMERO BEIGE BI</t>
  </si>
  <si>
    <t>INSIG BI SARGENTO AYUDANTE BEIGE BI</t>
  </si>
  <si>
    <t>INSIG BI SUB OF PPAL BEIGE BI</t>
  </si>
  <si>
    <t>INSIG BI SUB OF MAYOR BEIGE BI</t>
  </si>
  <si>
    <t>PECT BORD SANTA FE CDO RADIO ELECTR RER</t>
  </si>
  <si>
    <t>PECT BORD PROVINCIA SANTA FE RER</t>
  </si>
  <si>
    <t>PECT. BORD. CATACPOL TIRO TACTICO BI</t>
  </si>
  <si>
    <t>PINTURA ENMASCARAR RER</t>
  </si>
  <si>
    <t>LUSTRE CREMA CUERO 60/14001 RER</t>
  </si>
  <si>
    <t>LUSTRE REST 100/14001 RER</t>
  </si>
  <si>
    <t>LUSTRE ESPONJA SILIC22022 RER</t>
  </si>
  <si>
    <t>KIT DE LIMPIEZA KRICO  - BARALDO - RER</t>
  </si>
  <si>
    <t>CARGADOR CORTO BROW  10011 RER</t>
  </si>
  <si>
    <t>CARGADOR TAURUS 10023 RER</t>
  </si>
  <si>
    <t>CORBATA COLEGIAL ESCOSESA RER</t>
  </si>
  <si>
    <t>CORBATIN LMGE RER</t>
  </si>
  <si>
    <t>CORBATA UNIFORME MARRON JLC</t>
  </si>
  <si>
    <t>GUANTES TERMICOS Nº 7</t>
  </si>
  <si>
    <t>GUANTES TERMICOS Nº 8</t>
  </si>
  <si>
    <t>GUANTES TERMICOS Nº 9</t>
  </si>
  <si>
    <t>GUANTES TERMICOS Nº10 RER</t>
  </si>
  <si>
    <t>GUANTES TERMICOS Nº11</t>
  </si>
  <si>
    <t>GUANTES TERMICOS Nº12</t>
  </si>
  <si>
    <t>GUANTES TERMICOS Nº13</t>
  </si>
  <si>
    <t>GUANTES TERMICOS VERDE RER</t>
  </si>
  <si>
    <t>GUANTES PRIME RER</t>
  </si>
  <si>
    <t>GUANTES TINSULATE</t>
  </si>
  <si>
    <t>GUANTES CABRETILLA 07</t>
  </si>
  <si>
    <t>GUANTES CABRETILLA 8</t>
  </si>
  <si>
    <t>GUANTES CABRETILLA 9</t>
  </si>
  <si>
    <t>GUANTES CABRETILLA 10</t>
  </si>
  <si>
    <t>GUANTES CABRETILLA 7.5</t>
  </si>
  <si>
    <t>GUANTES CABRETILLA 8.5</t>
  </si>
  <si>
    <t>GUANTES CABRETILLA 9.5</t>
  </si>
  <si>
    <t>GUANTES TERMICOS BLANCO RER</t>
  </si>
  <si>
    <t>GUANTES TACTICO MITON NEGRO RER</t>
  </si>
  <si>
    <t>GUANTES TACTICO MITON VERDE LUG</t>
  </si>
  <si>
    <t>GUANTES TACTICO MITON BEIGE XL</t>
  </si>
  <si>
    <t>GUANTES TACTICO MITON VERDES L</t>
  </si>
  <si>
    <t>GUANTES TACTICO MITON VERDE XL</t>
  </si>
  <si>
    <t>GUANTE TACTICO NEGRO C/DEDO Y PROT RER</t>
  </si>
  <si>
    <t>CORBATA SARPOL JLC</t>
  </si>
  <si>
    <t>MASCARA NEOPRENE MOTO RER</t>
  </si>
  <si>
    <t>MASCARA NEOPRENE BARBIJO RER</t>
  </si>
  <si>
    <t>MASCARA FACIAL MALLA CH NEG CALAVERA RER</t>
  </si>
  <si>
    <t>MASCARA FACIAL MALLA M NEGRA RER</t>
  </si>
  <si>
    <t>MASCARA FACIAL MALLA XG NEGRA RER</t>
  </si>
  <si>
    <t>MASCARA BARBIJO TELA NEG C CALAVERA RER</t>
  </si>
  <si>
    <t>AEROSOL PEACE 110 GRS</t>
  </si>
  <si>
    <t>AEROSOL FRANCES 40ML RER</t>
  </si>
  <si>
    <t>AEROSOL GAS A.P.G THE GUARD 450GR</t>
  </si>
  <si>
    <t>AEROSOL GAS SABRE 150497-14GRS</t>
  </si>
  <si>
    <t>AEROSOL GAS SABRE 150498 - 22GR.</t>
  </si>
  <si>
    <t>AEROSOL GAS SABRE 150499 - 60 GRS</t>
  </si>
  <si>
    <t>AEROSOL GAS SABRE 150500 - 110 GRS</t>
  </si>
  <si>
    <t>AEROSOL GAS SABRE LADY 22 GR RER</t>
  </si>
  <si>
    <t>LINTERNA NITROL LPA2000 RER</t>
  </si>
  <si>
    <t>LINTERNA 9 LED P10311 RER</t>
  </si>
  <si>
    <t>LINTERNA 7781</t>
  </si>
  <si>
    <t>KIT SOS SUPERV TARJ MULT+PINZA+SILBATO</t>
  </si>
  <si>
    <t>LINTERNA TORCH 4059</t>
  </si>
  <si>
    <t>CAMPING FAROL WOOL 010 RER</t>
  </si>
  <si>
    <t>CAMPING FAROL WOLL 011 RER</t>
  </si>
  <si>
    <t>LINERNA TORCH 4037-4039</t>
  </si>
  <si>
    <t>LINTERNA 4048-4051C CAJA</t>
  </si>
  <si>
    <t>LINTERNA SPINIT MEGA 101/W 185015/0 RER</t>
  </si>
  <si>
    <t>LINTERNA TORCH 4060-4061</t>
  </si>
  <si>
    <t>LINTERNA 311 FLASJLIGTH 4733-4737</t>
  </si>
  <si>
    <t>LINTERNA 1932-1936</t>
  </si>
  <si>
    <t>LINTERNA USB BATTERY 4626-4629</t>
  </si>
  <si>
    <t>LINTERNA ACB9023C</t>
  </si>
  <si>
    <t>LINTERNA USB 18650 BATTERY 4629</t>
  </si>
  <si>
    <t>LNTERNA TORCH 4067-4069</t>
  </si>
  <si>
    <t>LINTERNA TORCH 4064</t>
  </si>
  <si>
    <t>LINTERNA TORCH 4030-4033</t>
  </si>
  <si>
    <t>LINTERNA 4045-4047</t>
  </si>
  <si>
    <t>LINTERNA 1941-1945</t>
  </si>
  <si>
    <t>LINTERNA 1946-1950</t>
  </si>
  <si>
    <t>LINTERNA 7745</t>
  </si>
  <si>
    <t>LINTERNA 7776</t>
  </si>
  <si>
    <t>LINTERNA 7750</t>
  </si>
  <si>
    <t>LINTERNA USB 4037-4039</t>
  </si>
  <si>
    <t>BINOCULAR SHILBA 12X50</t>
  </si>
  <si>
    <t>LINTERNA 4068 S/ACCESORIOS (8520051)</t>
  </si>
  <si>
    <t>LINTERNA ESTENSIBLE FELXIBLE RER</t>
  </si>
  <si>
    <t>LINTERNA USB ORF</t>
  </si>
  <si>
    <t>LINTERNA C/ ZOOM S/ACC (8520064)12.5X3</t>
  </si>
  <si>
    <t>LINTERNA 4067 ZOOM SIN /ACC (8520067)</t>
  </si>
  <si>
    <t>NAVAJA 23 CM TACTICA DIGITAL VERDE</t>
  </si>
  <si>
    <t>NAVAJA CORTAPLUMA 17 FUNCIONES 4209-4211</t>
  </si>
  <si>
    <t>LINTERNA SPINIT METAL. 2AA 185105 RER</t>
  </si>
  <si>
    <t>LINTERNA RECARGABLE CHICA RER</t>
  </si>
  <si>
    <t>NAVAJA 20 CM</t>
  </si>
  <si>
    <t>LINTERNA SPINIT METALB AA 5202B NEG RER</t>
  </si>
  <si>
    <t>LINTERNA MULTIFUNCION DAMA</t>
  </si>
  <si>
    <t>MOSQUETON CON TRABA ROSCA</t>
  </si>
  <si>
    <t>MOSQUETON CON SOGA</t>
  </si>
  <si>
    <t>PEDERNAL GRANDE RER</t>
  </si>
  <si>
    <t>PEDERNAL MEDIANO RER</t>
  </si>
  <si>
    <t>LINTERNA RECARGABLE CAJA NEGRA RER</t>
  </si>
  <si>
    <t>BALIZA KIT X 3  C/ BASE</t>
  </si>
  <si>
    <t>BALIZA KIT X 6 SOLES</t>
  </si>
  <si>
    <t>BALIZA MINI MULTIUSO USB</t>
  </si>
  <si>
    <t>LINTERNA RECARGABLE RER</t>
  </si>
  <si>
    <t>LINTERNA RECARGABLE CAJA VERDE RER</t>
  </si>
  <si>
    <t>GANCHO MOSQUETON MULTIFUNCION LUG</t>
  </si>
  <si>
    <t>LINTERNA CON ZOOM IMP</t>
  </si>
  <si>
    <t>LINTERNA BASTON RECARGABLE RER</t>
  </si>
  <si>
    <t>MANOPLA ACERO DEFENSA LUG</t>
  </si>
  <si>
    <t>CAMPING CADENA CERRUCHO P CORTAR</t>
  </si>
  <si>
    <t>SOGA PARA REMOLQUE LUG</t>
  </si>
  <si>
    <t>NAVAJA SMITH AND WESSON LUG</t>
  </si>
  <si>
    <t>MOSQUETON POLIM PLASTICO MOLLE NEGRO RER</t>
  </si>
  <si>
    <t>MOSQUETON POLIM PLASTICO MOLLE GRIS RER</t>
  </si>
  <si>
    <t>MOSQUETON POLIM PLASTICO MOLLE NARAN RER</t>
  </si>
  <si>
    <t>MOSQUETON POLIM PLASTICO MOLLE MARR RER</t>
  </si>
  <si>
    <t>MOSQUETON ACERO 9CM X 9MM</t>
  </si>
  <si>
    <t>LINTERNA RECARGABLE CON BRUJULA RER</t>
  </si>
  <si>
    <t>8520623</t>
  </si>
  <si>
    <t>PILAS AAA POR TRES RER</t>
  </si>
  <si>
    <t>LINTERNA NHL 8625 RER</t>
  </si>
  <si>
    <t>LINTERNA C/ZOOM S/ACC (8520729)</t>
  </si>
  <si>
    <t>LINTERNA  4738 S/ACCESORIOS (8520738)</t>
  </si>
  <si>
    <t>LINTERNA POLICE 7745 S/ACC (8520745)</t>
  </si>
  <si>
    <t>LINTERNA 7750 ZOOM 3 FUNCIONES S/ACC (85</t>
  </si>
  <si>
    <t>LINTERNA 7779</t>
  </si>
  <si>
    <t>NAVAJA 22 CM M/MADERA LUG</t>
  </si>
  <si>
    <t>NAVAJA 23 CM TACTICA BLACK LUG</t>
  </si>
  <si>
    <t>NAVAJA 28  CM M MADERA C ESTUCHE LUG</t>
  </si>
  <si>
    <t>LINTERNA 19421-7776 800 LUMENS S/CAJA  (</t>
  </si>
  <si>
    <t>LINTERNA 945</t>
  </si>
  <si>
    <t>LINTERNA 1946-7779 S/ACCESORIOS (8520946</t>
  </si>
  <si>
    <t>HACHA TACTICA COLUMBIA LUG</t>
  </si>
  <si>
    <t>LINTERNA NITROL LPA994 RER</t>
  </si>
  <si>
    <t>CUCHILLO CON MANGO</t>
  </si>
  <si>
    <t>CUCHILLO M.NIETO 3001 11CM</t>
  </si>
  <si>
    <t>CUCHILLO SCHRADE EXTREME F24</t>
  </si>
  <si>
    <t>CUCHILLO CORTAPLUMAS UNITED</t>
  </si>
  <si>
    <t>CUCHILLO CORTAPLUMAS COLUMBIA GOMA</t>
  </si>
  <si>
    <t>CUCHILLO CORTAPLUMA BOKER/SMITH AND WESS</t>
  </si>
  <si>
    <t>CUCHILLO CORTAPLUMA M-TECH  CAJA GR</t>
  </si>
  <si>
    <t>CUCHILLO CORTAPLUMAS COLUMBIA CHICO</t>
  </si>
  <si>
    <t>CUCHILLO F19</t>
  </si>
  <si>
    <t>CUCHILLO 5082</t>
  </si>
  <si>
    <t>CUCHILLO TARJETA</t>
  </si>
  <si>
    <t>BRUJULA WATERDOG DC45-1</t>
  </si>
  <si>
    <t>CUCHILLO CORTAPLUMA KNIVES</t>
  </si>
  <si>
    <t>CUCHILLO CORTAPLUMA GARBE</t>
  </si>
  <si>
    <t>CUCHILLO CORTA PLUMA NAVAJA 305 RER</t>
  </si>
  <si>
    <t>CUCHILLO DOS COLORES</t>
  </si>
  <si>
    <t>BOLIGRAFO CON CUCHILLO</t>
  </si>
  <si>
    <t>MINI CUCHILLO COLG CUELLO FUNDA RIGI LUG</t>
  </si>
  <si>
    <t>CUCHILLO 22 CM TACT C PCR Y ESTUCHE LUG</t>
  </si>
  <si>
    <t>PINZA MULTIFUNCION ACU 37D LUG</t>
  </si>
  <si>
    <t>CUCHILLO COLUMBIA NEGRO C/BRUJULA</t>
  </si>
  <si>
    <t>PINZA MULTIFUNCION TRENTO 131499 AB</t>
  </si>
  <si>
    <t>CUCHILLO CORTAPLUMA TRENTO BUTTERFLY 572</t>
  </si>
  <si>
    <t>CUCHILLO TRENTO COMMANDER 593</t>
  </si>
  <si>
    <t>CUCHILLO TRENTO ARMY STONEWASH</t>
  </si>
  <si>
    <t>CORREAS DE AMARRE R01</t>
  </si>
  <si>
    <t>CORTAPLUMAS 20 FNC CAMUFLADO C/NEGRO LUG</t>
  </si>
  <si>
    <t>CORTAPLUMAS 20 FCN ROJO (SUIZO) LUG</t>
  </si>
  <si>
    <t>AEROSOL POLICE 110 GRS RER</t>
  </si>
  <si>
    <t>CAMPING</t>
  </si>
  <si>
    <t>CARPA CAMUFLADA YH-094 4 PERS 4462/4468</t>
  </si>
  <si>
    <t>CARPA DOBLE AUTOMATICA 4526-29-35-4</t>
  </si>
  <si>
    <t>CARPA CAMPING 4793</t>
  </si>
  <si>
    <t>CARPA 4794-4795</t>
  </si>
  <si>
    <t>CONSERVADORA 5LTS LUNCHERA 1010</t>
  </si>
  <si>
    <t>BOLSA DORMIR MUMMY 200</t>
  </si>
  <si>
    <t>PALA CAMPING GRANDE</t>
  </si>
  <si>
    <t>CARPA DE EMERGENCIA NYLON ALUMINIO RER</t>
  </si>
  <si>
    <t>PALA PLEGABLE PICO - SERRUCHO - ABRIDOR</t>
  </si>
  <si>
    <t>COLCHON INFLABLE 1 PLAZA OUTDOORS</t>
  </si>
  <si>
    <t>LINTERNA FAROL RER</t>
  </si>
  <si>
    <t>BRUJULA 4239-4240</t>
  </si>
  <si>
    <t>GORRO PESCA</t>
  </si>
  <si>
    <t>CAMPING SILLON CHS65283 RER</t>
  </si>
  <si>
    <t>CAMPING 2P</t>
  </si>
  <si>
    <t>CAMPING 4P</t>
  </si>
  <si>
    <t>BOLSA DORMIR GRAVIRY 230X80X55</t>
  </si>
  <si>
    <t>CARPA 3 PERSONAS AUTOMATICA RER</t>
  </si>
  <si>
    <t>HANDY BAOFENG UV-6 RER</t>
  </si>
  <si>
    <t>COCINA MARMITA DSW1002 RER</t>
  </si>
  <si>
    <t>CAMPING SILLON2 RER</t>
  </si>
  <si>
    <t>HANDY BAOFENG UV-82 RER</t>
  </si>
  <si>
    <t>BOLSA</t>
  </si>
  <si>
    <t>CONO VIAL 65/75</t>
  </si>
  <si>
    <t>CINTO MONOCROM RER</t>
  </si>
  <si>
    <t>CINTURON POLIA VERDE GN</t>
  </si>
  <si>
    <t>CINTURON FEDERAL REGLAMENT 1010 TB RER</t>
  </si>
  <si>
    <t>RI¥ONERAS RER</t>
  </si>
  <si>
    <t>CINTURON DELTA XT L SMP2001 XTR</t>
  </si>
  <si>
    <t>CINTURON INFANTERIA</t>
  </si>
  <si>
    <t>CINTURON AMERICANO NEGRO T ESPECIAL BLK</t>
  </si>
  <si>
    <t>CINTURON POLIA GRIS T663 TB RER</t>
  </si>
  <si>
    <t>CINTURON GEO - MAZ TALLE ESPECIAL RER</t>
  </si>
  <si>
    <t>CINTURON POLIA VERDE C/BROCHE GN</t>
  </si>
  <si>
    <t>CINTURON MERACCION T656 TB</t>
  </si>
  <si>
    <t>CINTURON SIN ARMAR TB</t>
  </si>
  <si>
    <t>CINTURON CUERO OFICIAL SIN DADO 100</t>
  </si>
  <si>
    <t>CINTURON CUERO OFICIAL SIN DADO 105</t>
  </si>
  <si>
    <t>CINTURON CUERO OFICIAL SIN DADO 110</t>
  </si>
  <si>
    <t>CINTURON CUERO OFICIAL SIN DADO 120</t>
  </si>
  <si>
    <t>CINTURON CUERO OFICIAL SIN DADO 115</t>
  </si>
  <si>
    <t>CINTURON CUERO OFICIAL SIN DADO 80</t>
  </si>
  <si>
    <t>CINTURON CUERO OFICIAL SIN DADO 85</t>
  </si>
  <si>
    <t>CINTURON CUERO OFICIAL SIN DADO 90</t>
  </si>
  <si>
    <t>CINTURON CUERO OFICIAL SIN DADO 95</t>
  </si>
  <si>
    <t>CINTURON CUERO OFICIAL SIN DADO BLANC TB</t>
  </si>
  <si>
    <t>CINTURON DE CUERO BLANCO LICEO ES BM</t>
  </si>
  <si>
    <t>CINTURON CUERO 30MM LMGE 100</t>
  </si>
  <si>
    <t>CINTURON CUERO 30MM LMGE 105</t>
  </si>
  <si>
    <t>CINTURON CUERO 30MM LMGE 110</t>
  </si>
  <si>
    <t>CINTURON CUERO 30MM LMGE 115</t>
  </si>
  <si>
    <t>CINTURON CUERO 30MM LMGE 120</t>
  </si>
  <si>
    <t>CINTURON CUERO 30MM LMGE 125</t>
  </si>
  <si>
    <t>CINTURON CUERO 30MM LMGE 70</t>
  </si>
  <si>
    <t>CINTURON CUERO 30MM LMGE 75</t>
  </si>
  <si>
    <t>CINTURON CUERO 30MM LMGE 80</t>
  </si>
  <si>
    <t>CINTURON CUERO 30MM LMGE 85</t>
  </si>
  <si>
    <t>CINTURON CUERO 30MM LMGE 90</t>
  </si>
  <si>
    <t>CINTURON CUERO 30MM LMGE 95</t>
  </si>
  <si>
    <t>CANANA RRD70</t>
  </si>
  <si>
    <t>PORTA CARTUCHO VERDE</t>
  </si>
  <si>
    <t>PIST POLIA NEGRO CAJONERA RER</t>
  </si>
  <si>
    <t>FUNDA POLIA UNIVERSAL MAZ</t>
  </si>
  <si>
    <t>FUNDA POLIA ASTRA RER</t>
  </si>
  <si>
    <t>PIST C/ MIRA MOLLE MOL-011 KAE</t>
  </si>
  <si>
    <t>PIST AVENGER CON CUERO CORTA TB</t>
  </si>
  <si>
    <t>PIST. TERMO TAC COMB BERSA/THUN XTL2028</t>
  </si>
  <si>
    <t>PIST CUERO PANQ CORTA TAURUS 10036 RER</t>
  </si>
  <si>
    <t>PIST CUERO PANQ CORTA THUNDER 10036 RER</t>
  </si>
  <si>
    <t>PIST. CUERO UNIV 1038 TB RER</t>
  </si>
  <si>
    <t>PIST. CUERO BERSA RER</t>
  </si>
  <si>
    <t>PIST. CUERO THUNDER 1038 TB RER</t>
  </si>
  <si>
    <t>PIST. CUERO PANQUEQ C TIRA BLANCA TB</t>
  </si>
  <si>
    <t>PIST CUERO SAQUE RAP TAURUS 1041 TB RER</t>
  </si>
  <si>
    <t>PIST CUERO SAQ RAPID THUNDER 1041 TB RER</t>
  </si>
  <si>
    <t>RINIONERA DELTA STR062 XTL</t>
  </si>
  <si>
    <t>CINTO DELTA XS/2XL</t>
  </si>
  <si>
    <t>ESTUCHE MTM 802C P ARMA CORTA COMP 8140</t>
  </si>
  <si>
    <t>RI¥ONERA POLIA RER</t>
  </si>
  <si>
    <t>MIRA LASER +LINTERNA+DISPARAD TACTIL RER</t>
  </si>
  <si>
    <t>FUNDA FOBUS 4108 EM17 GLOCK 17 TACT MIN</t>
  </si>
  <si>
    <t>FUNDA FOBUS UNIVERSAL IWBM HOLSTERS MIN</t>
  </si>
  <si>
    <t>RINIONER PORTA PIST. OLA RIN-121 RER</t>
  </si>
  <si>
    <t>PIST. CUERO AVENGER TANFOGLIO LARGA RER</t>
  </si>
  <si>
    <t>PIST. CUERO AVENCER TANFOGLIO CORTA RER</t>
  </si>
  <si>
    <t>FUNDA INFANTERIA</t>
  </si>
  <si>
    <t>FUNDA PIST. UNIV XTL SM92001 RER</t>
  </si>
  <si>
    <t>PIST. NIVEL 2 H.N237 BROWNING FUN</t>
  </si>
  <si>
    <t>PIST NIVEL 2 H.N2PX4/BS BERETTA PX4B FUN</t>
  </si>
  <si>
    <t>MUSLERA CON BAQUETA XTL 567</t>
  </si>
  <si>
    <t>PIST. AMERICANA CON TAPA</t>
  </si>
  <si>
    <t>REPLICAS BLUE GUN RER</t>
  </si>
  <si>
    <t>PIST. MULTIM REGULABLE MOLLE M005 TB</t>
  </si>
  <si>
    <t>FUNDA PIST. NIVEL2 XTL NOP1517 XTR</t>
  </si>
  <si>
    <t>MUSLERA C/BASE Y PORT CARG VERDE GN</t>
  </si>
  <si>
    <t>PIST. NIVEL 2 TAU809/GLOCK 17 5660 ZURDA</t>
  </si>
  <si>
    <t>CASQ. RIP STOP NEGRO 4674-4677</t>
  </si>
  <si>
    <t>CASQ. RIP STOP AZUL 4674-4677</t>
  </si>
  <si>
    <t>FUNDA DE POLIA 9MM.</t>
  </si>
  <si>
    <t>FUNDA PORTA ELEMENTOS MULTIF ZHI ZHU RER</t>
  </si>
  <si>
    <t>PIST. NIVEL 2 H.N2T800 PT809 FUN</t>
  </si>
  <si>
    <t>PIST. GUERRILLERA VERDE</t>
  </si>
  <si>
    <t>PIST. POLIA GUERR. BERSA SAQUE MAZ</t>
  </si>
  <si>
    <t>PORTA GAS POLIA CHICO T666 TB</t>
  </si>
  <si>
    <t>PORTA GAS POLIA GRANDE T666 TB</t>
  </si>
  <si>
    <t>PORTA OBJETO MOLLE MOL-06 KAE</t>
  </si>
  <si>
    <t>PORTA SMARTFHONE MOLLE MOL-07 KAE</t>
  </si>
  <si>
    <t>PORTABASTON MOLLE MOL-09 KAE</t>
  </si>
  <si>
    <t>PORTA LINTERNA MOLLE MOL-01 KAE</t>
  </si>
  <si>
    <t>PORTA CARG DOBLE POLIMERO 9MM TB29</t>
  </si>
  <si>
    <t>TONFA C/ PORTATON.OFERTA RER NO USAR</t>
  </si>
  <si>
    <t>PORTA CARGADOR DOBLE BLANCO TB</t>
  </si>
  <si>
    <t>PORTA CARG DOBLE TERMO TACTICO T555 TB</t>
  </si>
  <si>
    <t>PORTA CARGADOR DOBLE MOLLE M001 TB</t>
  </si>
  <si>
    <t>PORTA CARGADOR DOBLE TERMO MOLLE RRD13BL</t>
  </si>
  <si>
    <t>PORTA OBJETO CON CIERRE MOLLE GRANDE KAE</t>
  </si>
  <si>
    <t>PORTA OBJETO CON ABROJO POR 214 RER</t>
  </si>
  <si>
    <t>PORTA CELULAR MOLLE M004 TB</t>
  </si>
  <si>
    <t>PORTA OBJETOS RER</t>
  </si>
  <si>
    <t>PORTA OBJETO CON CIERRE RER</t>
  </si>
  <si>
    <t>PORTA CELULAR S-3 S-4 RER</t>
  </si>
  <si>
    <t>PORTA CARG. NEGRO USAR 8705-100</t>
  </si>
  <si>
    <t>PORTA CARG VERDE POLIA RER</t>
  </si>
  <si>
    <t>PORTA CARG TERMO DOBLE VERDE TB</t>
  </si>
  <si>
    <t>PORTA CARGADOR TRIPLE TERMOFORM TB557</t>
  </si>
  <si>
    <t>PORTA TONFA POLIA METAL T651 TB</t>
  </si>
  <si>
    <t>PORTA CARTUCHO VERDE SISTEMA MOLLE</t>
  </si>
  <si>
    <t>PORTA CARGADOR TRIPLE T557 TERMOFORMADO</t>
  </si>
  <si>
    <t>PORTA CARG DOBLE C/ABRJO MOLLE MOL05 KAE</t>
  </si>
  <si>
    <t>PORTA ESPOSA MOLLE MOL-03 KAE</t>
  </si>
  <si>
    <t>PORTA ESPOSAS POLIA VER GN C/TAPA GANCHO</t>
  </si>
  <si>
    <t>PORTA ESPOSAS CUERO C/TAPA</t>
  </si>
  <si>
    <t>MOCHILA DELTA STM050 XTL</t>
  </si>
  <si>
    <t>MOCHILA COMANDO DELTA XTL STM206</t>
  </si>
  <si>
    <t>PORTA ESPOSAS ANATOMICO XTL 556</t>
  </si>
  <si>
    <t>CORDONES EL PAR ART 108 X2M MC</t>
  </si>
  <si>
    <t>PORTA CARG VERDE POLIA GUERRILLERO RER</t>
  </si>
  <si>
    <t>PORTA ESPOSA USAR 8705-100 RER</t>
  </si>
  <si>
    <t>MOCHILA SPINIT TECNOS NEGRO GRIS LA</t>
  </si>
  <si>
    <t>MOCHILA SPINIT ODISEA GRIS/NARANJA</t>
  </si>
  <si>
    <t>MOCHILA SPINIT ODISEA NEGRA/ROJA</t>
  </si>
  <si>
    <t>MOCHILA SPINIT TECNOS NEGRO AZUL LA</t>
  </si>
  <si>
    <t>MOCHILA MIMETICA DIG GRANDE C SOLAPA</t>
  </si>
  <si>
    <t>MOCHILA MIMETICA CHICA SIMPLE MOLLE RER</t>
  </si>
  <si>
    <t>MOCHILA MIMETICA DIG MULTIBOL MOLLE</t>
  </si>
  <si>
    <t>MOCHILA NEW LASER</t>
  </si>
  <si>
    <t>BOLSO MULTICAM XG RUEDAS BOLSILLOS</t>
  </si>
  <si>
    <t>MORRAL BOLSO CON PIST MOR-03 KAE</t>
  </si>
  <si>
    <t>PLATAFORMA UNIVERSAL 980 XTR</t>
  </si>
  <si>
    <t>ESTUCHE MTM 802C P ARMA CORTA COMP 8144</t>
  </si>
  <si>
    <t>ESTUCHE MTM 803 P ARMA CORTA 8146</t>
  </si>
  <si>
    <t>ESTUCHE MTM 804 HASTA 4' 8124</t>
  </si>
  <si>
    <t>ESTUCHE MTM 803 PARA ARMA CORTA 8141</t>
  </si>
  <si>
    <t>BOLSIN M.O.L.L.E. RRD RER</t>
  </si>
  <si>
    <t>BOLSO DE TIRO 4 PIEZAS RRD43 BLK</t>
  </si>
  <si>
    <t>MUSLERA UNIVERSAL KENT 199</t>
  </si>
  <si>
    <t>BOLSO ABH40200</t>
  </si>
  <si>
    <t>MOCHILA 3 BOLSILLOS VERDE GN</t>
  </si>
  <si>
    <t>MOCHILA MOLLE GRANDE VERDE GN</t>
  </si>
  <si>
    <t>MUSLERA TACTICA UNIVERSAL T615</t>
  </si>
  <si>
    <t>MORRAL MUSLERA RER</t>
  </si>
  <si>
    <t>MORRAL MOR - 01 RER</t>
  </si>
  <si>
    <t>CHALECO FUNDA MOLLE</t>
  </si>
  <si>
    <t>BANDOLERA DE CUERO BLANCA</t>
  </si>
  <si>
    <t>SOBAQ. TERMO C/PORTACARG SIMPLE MAZ RER</t>
  </si>
  <si>
    <t>SOBAQ. MIAMI CON PORTA T707 RER</t>
  </si>
  <si>
    <t>GUANTE PRIME RER</t>
  </si>
  <si>
    <t>CAMUFLAJE MANTA 1MX1M HOJAS VERDES RER</t>
  </si>
  <si>
    <t>CAMUFLAJE GHILLE COMPLETO PELO VERDE RER</t>
  </si>
  <si>
    <t>CAMUFLAJE GHILLE HOJAS VERDE RER</t>
  </si>
  <si>
    <t>CAMUFLAJE GHILLE 2 PIEZAS ARENA HOJA RER</t>
  </si>
  <si>
    <t>BALDE/CABO/MOPAS GIRATORIA 360</t>
  </si>
  <si>
    <t>CARTEL ESTAMPADO COMANDO ESPALDA RER</t>
  </si>
  <si>
    <t>CARTEL ESTAMPADO PUCARA ESPALDA RER</t>
  </si>
  <si>
    <t>BORDADO EN PRENDA PECT ASOC COOP ARG RER</t>
  </si>
  <si>
    <t>BORDADO PRENDA PECT MUNI RIVADAVIA RER</t>
  </si>
  <si>
    <t>BORD CARTEL P CHALECO SECC ECONOMATO BI</t>
  </si>
  <si>
    <t>BORD EN PRENDA DIV LOG SANTA FE RER</t>
  </si>
  <si>
    <t>CARTEL ESTAMPADO GEVOP SEGURIDAD ESP RER</t>
  </si>
  <si>
    <t>LOGO ESTAMPADO GEVOP LEON FRENTE RER</t>
  </si>
  <si>
    <t>BORD PRENDA SERMEN FRENTE IZQ CAMISA BI</t>
  </si>
  <si>
    <t>BORD PRENDA SERMEN ESC GRIS MANGA IZ BI</t>
  </si>
  <si>
    <t>BORD PRENDA SERMEN P CHOMBA ESPALDA RER</t>
  </si>
  <si>
    <t>BORDADO EN PRENDA LAS PIRCAS RER</t>
  </si>
  <si>
    <t>BORDADO PRENDA LORENZO AUTOM LOGO ESP BI</t>
  </si>
  <si>
    <t>BORDADO EN PRENDA PIQUE PECTORAL CEO BI</t>
  </si>
  <si>
    <t>BORDADO PRENDA CAMISA CEO FRENTE IZQ BI</t>
  </si>
  <si>
    <t>BORDADO EN PRENDA MUNI MZA BI</t>
  </si>
  <si>
    <t>BORDADO PRENDA TALCA FTE IZQ CAMISA BI</t>
  </si>
  <si>
    <t>BORDADO PRENDA ESCUDO MUNI AMBIENTE BI</t>
  </si>
  <si>
    <t>BORDADO EN PRENDA ESCUDO LMGE BI</t>
  </si>
  <si>
    <t>LOGO TALCA BL/RO ESTAMPADO ESPALDA BI</t>
  </si>
  <si>
    <t>BORDADO EN CORBATA VITAR BI</t>
  </si>
  <si>
    <t>LOGO CATACPOL ESTAMP X5  2FR+2BR+1ESP BI</t>
  </si>
  <si>
    <t>BORDADO EN PRENDA VITAR BI</t>
  </si>
  <si>
    <t>BORDADO PRENDA MUNI CIPOLLETTI CRECIE BI</t>
  </si>
  <si>
    <t>BORD PRENDA MUNI SENILLOSA FR GORRA BI</t>
  </si>
  <si>
    <t>BORD PRENDA PIQ DIVISION LOG STA FE RER</t>
  </si>
  <si>
    <t>BORD EN PRENDA GORRA CENTENA MUNI NQN BI</t>
  </si>
  <si>
    <t>BORD EN PRENDA PIQUE CENTENARIO MUNI BI</t>
  </si>
  <si>
    <t>BORD PRENDA ESC POL RIO NEGRO INVEST BI</t>
  </si>
  <si>
    <t>BORD EN PRENDA CARTEL POLICIA AZ BI</t>
  </si>
  <si>
    <t>MUESTRA ESCUDO DE LA PROV. DE NQUEN MANG</t>
  </si>
  <si>
    <t>LIMIT BORD. LOGO ESPALDA 25X10 CM BI</t>
  </si>
  <si>
    <t>ESC BOR. LIMIT MANGA 8X10CM BI</t>
  </si>
  <si>
    <t>PECT. NOMBRE BORD LIMIT SEG 4X10CM BI</t>
  </si>
  <si>
    <t>MEDIAS LA06B SOX</t>
  </si>
  <si>
    <t>MEDIAS LA08C SOX</t>
  </si>
  <si>
    <t>MEDIAS TE32C SOX</t>
  </si>
  <si>
    <t>MEDIAS TE54A SOX</t>
  </si>
  <si>
    <t>MEDIAS TE59A SOX</t>
  </si>
  <si>
    <t>MEDIAS TE47A RER</t>
  </si>
  <si>
    <t>MEDIAS FREE TIME LMGE RER</t>
  </si>
  <si>
    <t>MEDIAS TERMICAS TRECKING 365 STX T1 RER</t>
  </si>
  <si>
    <t>MEDIAS TERMICAS TRECKING 365 STX T2 RER</t>
  </si>
  <si>
    <t>MEDIAS TERMICAS SKI T.37/41 RER</t>
  </si>
  <si>
    <t>MEDIAS TERMICAS SKI T.42/46 RER</t>
  </si>
  <si>
    <t>MEDIAS SKY STX180981 AB</t>
  </si>
  <si>
    <t>MEDIAS TERMICAS OUTDOOR RER</t>
  </si>
  <si>
    <t>MEDIAS TERMICAS OUTDOOR T.37/41</t>
  </si>
  <si>
    <t>MEDIAS TERMICAS OUTDOOR T.42/46</t>
  </si>
  <si>
    <t>MEDIAS STX 180986 AB</t>
  </si>
  <si>
    <t>MEDIAS STX DOBLE CAPA</t>
  </si>
  <si>
    <t>TELA PLASTICA POLIESTER 100% NEGRO INT</t>
  </si>
  <si>
    <t>TELA IMPO POLYESTER CAM 001 RER</t>
  </si>
  <si>
    <t>TELA IMPO VERDE CLARO 002 RER</t>
  </si>
  <si>
    <t>TELA IMPO HEXA 003 RER</t>
  </si>
  <si>
    <t>TELA IMPO VERDE LISA 004 RER</t>
  </si>
  <si>
    <t>TELA IMPO HEXA VERDE 005 RER</t>
  </si>
  <si>
    <t>TELA SARGA  0480 INT</t>
  </si>
  <si>
    <t>ALPACUNA AZUL FC</t>
  </si>
  <si>
    <t>BOLSA ESTANCO</t>
  </si>
  <si>
    <t>MAS COMPUTACION</t>
  </si>
  <si>
    <t>PERCHAS UNIDAD LMGE RER</t>
  </si>
  <si>
    <t>FUNDA PARA TRAJE LMGE</t>
  </si>
  <si>
    <t>ABROJO ASP+SUA 0.50 X 0.60 RER</t>
  </si>
  <si>
    <t>ABROJO SOBRE COMBINADO RER</t>
  </si>
  <si>
    <t>CINTA TEXTIL TRANSFER 5CM</t>
  </si>
  <si>
    <t>ALMA CABO</t>
  </si>
  <si>
    <t>ALMA M-EC</t>
  </si>
  <si>
    <t>ALMA M-T2</t>
  </si>
  <si>
    <t>ALMA P1</t>
  </si>
  <si>
    <t>ALMA PG</t>
  </si>
  <si>
    <t>ALMA PORTA INSIGNIA</t>
  </si>
  <si>
    <t>ALMA SARGENTO</t>
  </si>
  <si>
    <t>ALMA CABO 1 ESC</t>
  </si>
  <si>
    <t>ALMA PARA CINTURON</t>
  </si>
  <si>
    <t>BALLENITAS BLANCO</t>
  </si>
  <si>
    <t>CARTELES SEGURIDAD POLICIA</t>
  </si>
  <si>
    <t>CUELLO BLANCO 5092/375</t>
  </si>
  <si>
    <t>CIERRE CADENA NEGRO</t>
  </si>
  <si>
    <t>CIERRE D. DE PERRO DESM. AZUL 550114 YKK</t>
  </si>
  <si>
    <t>CIERRE D. DE PERRO DESM. GRIS 550114 YKK</t>
  </si>
  <si>
    <t>CIERRE D. DE PERRO DESM NEGRO 550114 YKK</t>
  </si>
  <si>
    <t>CIERRE FIJO AZUL 0402248 CIF 056DA</t>
  </si>
  <si>
    <t>CIERRE REF. DESM. AZUL 0451277 CIF0056</t>
  </si>
  <si>
    <t>CIERRE FIJO GRIS 0402248 CIF C 056 DA E</t>
  </si>
  <si>
    <t>CIERRE FIJO NEGRO 0402248 CIF C 056 DA E</t>
  </si>
  <si>
    <t>CUELLO FUSE TOP BLANCO 5092</t>
  </si>
  <si>
    <t>CUELLO FUSE TOP GRIS TOPO 5092/353 EA</t>
  </si>
  <si>
    <t>CUELLO GRIS TOPO 5092-375</t>
  </si>
  <si>
    <t>CIERRE INVISIBLE DESMONTABLE NEGRO</t>
  </si>
  <si>
    <t>CIERRES VARIOS</t>
  </si>
  <si>
    <t>CINTA ADHESIVA 4,5 CM</t>
  </si>
  <si>
    <t>CINTA GROSS 1,5CM</t>
  </si>
  <si>
    <t>CINTO NATO NEGRO</t>
  </si>
  <si>
    <t>CINTA CUADRO BLANCA 2CM</t>
  </si>
  <si>
    <t>CINTA CUADRO BLANCO 4CM</t>
  </si>
  <si>
    <t>CINTA CUADRO NEGRA 2 CM</t>
  </si>
  <si>
    <t>CINTA CUADRO NEGRA 4CM</t>
  </si>
  <si>
    <t>CINTA LAUREADA AMARILLA</t>
  </si>
  <si>
    <t>COLLARIN</t>
  </si>
  <si>
    <t>CORDON NEGRO</t>
  </si>
  <si>
    <t>CIERRE REF DESM AZUL 0451277 CIF0056 YKK</t>
  </si>
  <si>
    <t>CIERRE REF. DESM. GRIS 0451277 CIF 0056</t>
  </si>
  <si>
    <t>CIERRE REF. DESM. GRIS 0451277</t>
  </si>
  <si>
    <t>CIERRE REF. DESM. NEGRO 0451277 CIF0056</t>
  </si>
  <si>
    <t>DESLIZADORES NEGRO</t>
  </si>
  <si>
    <t>ELASTICO 2CM CRUDO</t>
  </si>
  <si>
    <t>ETIQUETA DE COMPOSICION</t>
  </si>
  <si>
    <t>ETIQUETA DE TALLE</t>
  </si>
  <si>
    <t>GALON SARGENTO 1-CABO</t>
  </si>
  <si>
    <t>GALON SARGENTO</t>
  </si>
  <si>
    <t>GALON SARGENTO AYTE-CABO1</t>
  </si>
  <si>
    <t>GRIFA RERDA GRANDE NEGRO</t>
  </si>
  <si>
    <t>GRIFA REDA GOMA CHICA NEGRO</t>
  </si>
  <si>
    <t>HEBILLA CINTO AMERICANO NEGRO</t>
  </si>
  <si>
    <t>HEBILLA HEMBRA NEGRA</t>
  </si>
  <si>
    <t>HEBILLA MACHO NEGRA</t>
  </si>
  <si>
    <t>HILO GRIS GCY72 COA</t>
  </si>
  <si>
    <t>HILO GRIS GCY83 COA</t>
  </si>
  <si>
    <t>HILO BLANCO COA</t>
  </si>
  <si>
    <t>HILO NEGRO GCY84</t>
  </si>
  <si>
    <t>HOMBRERA ALMA GALA</t>
  </si>
  <si>
    <t>HILO POLIESTER GRIS 2250</t>
  </si>
  <si>
    <t>HILO POLIESTER NEGRO 2250 COA</t>
  </si>
  <si>
    <t>PASADORES NEGRO</t>
  </si>
  <si>
    <t>PUNTERAS BLANCAS EA</t>
  </si>
  <si>
    <t>TALLES ADHESIVOS</t>
  </si>
  <si>
    <t>TALLE BOMBACHA</t>
  </si>
  <si>
    <t>TIRA CUELLO</t>
  </si>
  <si>
    <t>VISERA NO REVERSIBLE</t>
  </si>
  <si>
    <t>VISERA REVERSILE</t>
  </si>
  <si>
    <t>PUNTERAS GRISES EA</t>
  </si>
  <si>
    <t>CAMISA BLANCA MANGA CORTA SOLAPA LOGO BO</t>
  </si>
  <si>
    <t>PANT NEG C BOLS BOMB CLAS LAT SP</t>
  </si>
  <si>
    <t>PANT NEG C BOLS BOMB CLAS LAT SPB</t>
  </si>
  <si>
    <t>CINTURONNEGR HEBILLA METALICA</t>
  </si>
  <si>
    <t>CHOMBA DE PIQUE BLANCA C LOG BORD</t>
  </si>
  <si>
    <t>AJUSTE DE CAJA</t>
  </si>
  <si>
    <t>AVIOS</t>
  </si>
  <si>
    <t>BANDERA TALLER</t>
  </si>
  <si>
    <t>BANDERA ECONOMICA ARGENTINA</t>
  </si>
  <si>
    <t>BOLSA TRANSPARENTE</t>
  </si>
  <si>
    <t>BOTON PERLADO CELESTE POLICIAL 16MM</t>
  </si>
  <si>
    <t>CORTE BOMBACHAS CONDOR AZUL</t>
  </si>
  <si>
    <t>CAMISA BLANCA MANGA LARGA LOGO 36/44</t>
  </si>
  <si>
    <t>CAMISA BLANCA MANGA LARGA LOGO 46/50</t>
  </si>
  <si>
    <t>PANT NEGRO CON BOLSILLO LAT 36/48</t>
  </si>
  <si>
    <t>PANT NEGRO CON BOLSILLOS LAT 50/54</t>
  </si>
  <si>
    <t>TRICOTA NEGRA FORRADA C LOGO</t>
  </si>
  <si>
    <t>CAMP LARGO C BOLS CAPUCH LOGO</t>
  </si>
  <si>
    <t>CHALECO NEGRO CON LOGO</t>
  </si>
  <si>
    <t>CAMP TERMICAS XL</t>
  </si>
  <si>
    <t>CAMP TERMICAS XXL</t>
  </si>
  <si>
    <t>TRICOTA</t>
  </si>
  <si>
    <t>BOMB CLAS 46</t>
  </si>
  <si>
    <t>BOMB CLAS 56</t>
  </si>
  <si>
    <t>BORCEGUI</t>
  </si>
  <si>
    <t>CAMISA BLANCA UNIFORME REGLAMENTARIA</t>
  </si>
  <si>
    <t>CAMISA MANGA CORTA COMBINADA</t>
  </si>
  <si>
    <t>CAMISA DEFENSA CIVIL MUNI GUAYMALLEN</t>
  </si>
  <si>
    <t>CAMISA GRIS TRANSITO MUNI GUAYMALLEN</t>
  </si>
  <si>
    <t>PAR CAPONAS GALA P/UNIF C/EMBLEMA DE BAN</t>
  </si>
  <si>
    <t>CARTON</t>
  </si>
  <si>
    <t>CHAQUETILLA GALA BANDA DE MUSICA</t>
  </si>
  <si>
    <t>CHOMBA CON POLO</t>
  </si>
  <si>
    <t>CINTURON DE GALA CON HEBILLA</t>
  </si>
  <si>
    <t>CORBATA NEGRA DE UNIFORME</t>
  </si>
  <si>
    <t>CORBATAS NEGRAS UNIFORME</t>
  </si>
  <si>
    <t>CUELLO PARA CAMISA</t>
  </si>
  <si>
    <t>ART PARA PRUEBA</t>
  </si>
  <si>
    <t>ENTRETELA TAPA BOLSILLO</t>
  </si>
  <si>
    <t>ENTRETELA PARA CARTERON</t>
  </si>
  <si>
    <t>GASTO "ENVIO DE MERCADERIA"</t>
  </si>
  <si>
    <t>ETIQ. COMPOSICION</t>
  </si>
  <si>
    <t>ETIQUETA DE RERDA</t>
  </si>
  <si>
    <t>FLETE</t>
  </si>
  <si>
    <t>GABARDINA</t>
  </si>
  <si>
    <t>TELA GABARDINA DE SEGUNDA INT</t>
  </si>
  <si>
    <t>GASTO ADMINISTRATIVO</t>
  </si>
  <si>
    <t>NO USARRRRRRRRRRRRR</t>
  </si>
  <si>
    <t>GORRITA ALGODON POLYESTER BORDADAS</t>
  </si>
  <si>
    <t>GORRA DE GALA COMPLETA C/ATRIBUTOS</t>
  </si>
  <si>
    <t>GORRITA GALA OFICIAL COMPLETA CON ATRIBU</t>
  </si>
  <si>
    <t>GORRA</t>
  </si>
  <si>
    <t>HEBILLA 5494/2</t>
  </si>
  <si>
    <t>HEBILLA 5494/3</t>
  </si>
  <si>
    <t>HEBILLA 5646</t>
  </si>
  <si>
    <t>HEBILLA 5664</t>
  </si>
  <si>
    <t>TRICOTA C/ POLERA FORRADA AZUL L</t>
  </si>
  <si>
    <t>MUESTRA TELA</t>
  </si>
  <si>
    <t>PAR DE PALETAS OFICIAL AYUDANTE</t>
  </si>
  <si>
    <t>PANT UNIFORME GAB. MASCULINO</t>
  </si>
  <si>
    <t>PANT UNIFORME GABARDINA</t>
  </si>
  <si>
    <t>PEDIDO EN PROCESO</t>
  </si>
  <si>
    <t>POLLERAS REGLAMENTARIAS UNI. FEMENINO</t>
  </si>
  <si>
    <t>ARTICULO PRUEBA</t>
  </si>
  <si>
    <t>PUENTERA DE CUELLO (DCHA + IZQ)</t>
  </si>
  <si>
    <t>REMERA BEIG CON LOGO</t>
  </si>
  <si>
    <t>REMERA</t>
  </si>
  <si>
    <t>REMERA MC GRIS TOPO PENITENCIARIA RG</t>
  </si>
  <si>
    <t>RETENCION AL PERS POL ENERO 2016</t>
  </si>
  <si>
    <t>RETENCION AL PERS POL JUNIO 2015</t>
  </si>
  <si>
    <t>ROMPEVIENTO</t>
  </si>
  <si>
    <t>SILVATO</t>
  </si>
  <si>
    <t>ALPACUNA AZUL 1234</t>
  </si>
  <si>
    <t>TIRILLA - TIRA DE CUELLO</t>
  </si>
  <si>
    <t>ZAPATO REGLAMENTARIO UNIFORME FEMENINO</t>
  </si>
  <si>
    <t>ZAPATOS REGLAM. UNIFORME MASCULINO</t>
  </si>
  <si>
    <t>ZAPATO REGLAMENTARIO UNIFORME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</si>
</sst>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 [$$-2C0A]\ * #,##0.00_ ;_ [$$-2C0A]\ * \-#,##0.00_ ;_ [$$-2C0A]\ * &quot;-&quot;??_ ;_ @_ "/>
  </numFmts>
  <fonts count="10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0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4" fillId="0" borderId="0"/>
    <xf numFmtId="0" fontId="9" fillId="0" borderId="0"/>
  </cellStyleXfs>
  <cellXfs count="19">
    <xf numFmtId="0" fontId="0" fillId="0" borderId="0" xfId="0"/>
    <xf numFmtId="0" fontId="0" fillId="0" borderId="1" xfId="0" applyBorder="1"/>
    <xf numFmtId="0" fontId="2" fillId="2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164" fontId="1" fillId="0" borderId="1" xfId="0" applyNumberFormat="1" applyFont="1" applyBorder="1" applyAlignment="1">
      <alignment vertical="center" wrapText="1"/>
    </xf>
    <xf numFmtId="164" fontId="1" fillId="0" borderId="0" xfId="0" applyNumberFormat="1" applyFont="1" applyBorder="1" applyAlignment="1">
      <alignment vertical="center" wrapText="1"/>
    </xf>
    <xf numFmtId="0" fontId="4" fillId="0" borderId="1" xfId="1" applyBorder="1"/>
    <xf numFmtId="0" fontId="0" fillId="0" borderId="0" xfId="0" applyBorder="1"/>
    <xf numFmtId="0" fontId="1" fillId="0" borderId="0" xfId="0" applyFont="1" applyBorder="1" applyAlignment="1">
      <alignment horizontal="center" vertical="center" wrapText="1"/>
    </xf>
    <xf numFmtId="0" fontId="1" fillId="0" borderId="0" xfId="0" applyFont="1" applyBorder="1" applyAlignment="1">
      <alignment vertical="center" wrapText="1"/>
    </xf>
    <xf numFmtId="0" fontId="6" fillId="0" borderId="0" xfId="0" applyFont="1" applyBorder="1"/>
    <xf numFmtId="0" fontId="8" fillId="0" borderId="0" xfId="1" applyFont="1" applyBorder="1"/>
    <xf numFmtId="0" fontId="5" fillId="0" borderId="2" xfId="1" applyFont="1" applyFill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/>
    </xf>
    <xf numFmtId="1" fontId="1" fillId="0" borderId="1" xfId="0" applyNumberFormat="1" applyFont="1" applyBorder="1" applyAlignment="1">
      <alignment vertical="center" wrapText="1"/>
    </xf>
    <xf numFmtId="0" fontId="9" fillId="0" borderId="1" xfId="2" applyBorder="1"/>
    <xf numFmtId="0" fontId="9" fillId="0" borderId="1" xfId="2" applyBorder="1"/>
    <xf numFmtId="0" fontId="9" fillId="0" borderId="1" xfId="2" applyBorder="1"/>
    <xf numFmtId="0" fontId="3" fillId="3" borderId="0" xfId="0" applyFont="1" applyFill="1" applyAlignment="1">
      <alignment horizontal="center"/>
    </xf>
  </cellXfs>
  <cellStyles count="3">
    <cellStyle name="Normal" xfId="0" builtinId="0"/>
    <cellStyle name="Normal 2" xfId="1"/>
    <cellStyle name="Normal 3" xfId="2"/>
  </cellStyles>
  <dxfs count="2"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jpeg"/><Relationship Id="rId13" Type="http://schemas.openxmlformats.org/officeDocument/2006/relationships/image" Target="../media/image13.jpeg"/><Relationship Id="rId18" Type="http://schemas.openxmlformats.org/officeDocument/2006/relationships/image" Target="../media/image18.png"/><Relationship Id="rId3" Type="http://schemas.openxmlformats.org/officeDocument/2006/relationships/image" Target="../media/image3.jpeg"/><Relationship Id="rId7" Type="http://schemas.openxmlformats.org/officeDocument/2006/relationships/image" Target="../media/image7.jpeg"/><Relationship Id="rId12" Type="http://schemas.openxmlformats.org/officeDocument/2006/relationships/image" Target="../media/image12.jpeg"/><Relationship Id="rId17" Type="http://schemas.openxmlformats.org/officeDocument/2006/relationships/image" Target="../media/image17.jpeg"/><Relationship Id="rId2" Type="http://schemas.openxmlformats.org/officeDocument/2006/relationships/image" Target="../media/image2.jpeg"/><Relationship Id="rId16" Type="http://schemas.openxmlformats.org/officeDocument/2006/relationships/image" Target="../media/image16.jpeg"/><Relationship Id="rId1" Type="http://schemas.openxmlformats.org/officeDocument/2006/relationships/image" Target="../media/image1.jpeg"/><Relationship Id="rId6" Type="http://schemas.openxmlformats.org/officeDocument/2006/relationships/image" Target="../media/image6.jpeg"/><Relationship Id="rId11" Type="http://schemas.openxmlformats.org/officeDocument/2006/relationships/image" Target="../media/image11.jpeg"/><Relationship Id="rId5" Type="http://schemas.openxmlformats.org/officeDocument/2006/relationships/image" Target="../media/image5.jpeg"/><Relationship Id="rId15" Type="http://schemas.openxmlformats.org/officeDocument/2006/relationships/image" Target="../media/image15.jpeg"/><Relationship Id="rId10" Type="http://schemas.openxmlformats.org/officeDocument/2006/relationships/image" Target="../media/image10.jpeg"/><Relationship Id="rId19" Type="http://schemas.openxmlformats.org/officeDocument/2006/relationships/image" Target="../media/image19.jpeg"/><Relationship Id="rId4" Type="http://schemas.openxmlformats.org/officeDocument/2006/relationships/image" Target="../media/image4.jpeg"/><Relationship Id="rId9" Type="http://schemas.openxmlformats.org/officeDocument/2006/relationships/image" Target="../media/image9.jpeg"/><Relationship Id="rId14" Type="http://schemas.openxmlformats.org/officeDocument/2006/relationships/image" Target="../media/image14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50800</xdr:colOff>
      <xdr:row>317</xdr:row>
      <xdr:rowOff>50800</xdr:rowOff>
    </xdr:from>
    <xdr:to>
      <xdr:col>0</xdr:col>
      <xdr:colOff>1539875</xdr:colOff>
      <xdr:row>317</xdr:row>
      <xdr:rowOff>1539875</xdr:rowOff>
    </xdr:to>
    <xdr:pic>
      <xdr:nvPicPr>
        <xdr:cNvPr id="464" name="Imagen 46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" y="54771925"/>
          <a:ext cx="1489075" cy="1489075"/>
        </a:xfrm>
        <a:prstGeom prst="rect">
          <a:avLst/>
        </a:prstGeom>
      </xdr:spPr>
    </xdr:pic>
    <xdr:clientData/>
  </xdr:twoCellAnchor>
  <xdr:twoCellAnchor editAs="oneCell">
    <xdr:from>
      <xdr:col>0</xdr:col>
      <xdr:colOff>50800</xdr:colOff>
      <xdr:row>316</xdr:row>
      <xdr:rowOff>50800</xdr:rowOff>
    </xdr:from>
    <xdr:to>
      <xdr:col>0</xdr:col>
      <xdr:colOff>1539875</xdr:colOff>
      <xdr:row>316</xdr:row>
      <xdr:rowOff>1539875</xdr:rowOff>
    </xdr:to>
    <xdr:pic>
      <xdr:nvPicPr>
        <xdr:cNvPr id="473" name="Imagen 47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" y="53124100"/>
          <a:ext cx="1489075" cy="1489075"/>
        </a:xfrm>
        <a:prstGeom prst="rect">
          <a:avLst/>
        </a:prstGeom>
      </xdr:spPr>
    </xdr:pic>
    <xdr:clientData/>
  </xdr:twoCellAnchor>
  <xdr:twoCellAnchor editAs="oneCell">
    <xdr:from>
      <xdr:col>0</xdr:col>
      <xdr:colOff>50800</xdr:colOff>
      <xdr:row>314</xdr:row>
      <xdr:rowOff>50800</xdr:rowOff>
    </xdr:from>
    <xdr:to>
      <xdr:col>0</xdr:col>
      <xdr:colOff>1539875</xdr:colOff>
      <xdr:row>314</xdr:row>
      <xdr:rowOff>1539875</xdr:rowOff>
    </xdr:to>
    <xdr:pic>
      <xdr:nvPicPr>
        <xdr:cNvPr id="477" name="Imagen 476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" y="49828450"/>
          <a:ext cx="1489075" cy="1489075"/>
        </a:xfrm>
        <a:prstGeom prst="rect">
          <a:avLst/>
        </a:prstGeom>
      </xdr:spPr>
    </xdr:pic>
    <xdr:clientData/>
  </xdr:twoCellAnchor>
  <xdr:twoCellAnchor editAs="oneCell">
    <xdr:from>
      <xdr:col>0</xdr:col>
      <xdr:colOff>50800</xdr:colOff>
      <xdr:row>313</xdr:row>
      <xdr:rowOff>50800</xdr:rowOff>
    </xdr:from>
    <xdr:to>
      <xdr:col>0</xdr:col>
      <xdr:colOff>1539875</xdr:colOff>
      <xdr:row>313</xdr:row>
      <xdr:rowOff>1539875</xdr:rowOff>
    </xdr:to>
    <xdr:pic>
      <xdr:nvPicPr>
        <xdr:cNvPr id="478" name="Imagen 477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" y="48180625"/>
          <a:ext cx="1489075" cy="1489075"/>
        </a:xfrm>
        <a:prstGeom prst="rect">
          <a:avLst/>
        </a:prstGeom>
      </xdr:spPr>
    </xdr:pic>
    <xdr:clientData/>
  </xdr:twoCellAnchor>
  <xdr:twoCellAnchor editAs="oneCell">
    <xdr:from>
      <xdr:col>0</xdr:col>
      <xdr:colOff>212725</xdr:colOff>
      <xdr:row>310</xdr:row>
      <xdr:rowOff>50800</xdr:rowOff>
    </xdr:from>
    <xdr:to>
      <xdr:col>0</xdr:col>
      <xdr:colOff>1343007</xdr:colOff>
      <xdr:row>310</xdr:row>
      <xdr:rowOff>1582173</xdr:rowOff>
    </xdr:to>
    <xdr:pic>
      <xdr:nvPicPr>
        <xdr:cNvPr id="481" name="Imagen 480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725" y="43237150"/>
          <a:ext cx="1130282" cy="1531373"/>
        </a:xfrm>
        <a:prstGeom prst="rect">
          <a:avLst/>
        </a:prstGeom>
      </xdr:spPr>
    </xdr:pic>
    <xdr:clientData/>
  </xdr:twoCellAnchor>
  <xdr:twoCellAnchor editAs="oneCell">
    <xdr:from>
      <xdr:col>0</xdr:col>
      <xdr:colOff>50800</xdr:colOff>
      <xdr:row>308</xdr:row>
      <xdr:rowOff>50800</xdr:rowOff>
    </xdr:from>
    <xdr:to>
      <xdr:col>0</xdr:col>
      <xdr:colOff>1539875</xdr:colOff>
      <xdr:row>308</xdr:row>
      <xdr:rowOff>1539875</xdr:rowOff>
    </xdr:to>
    <xdr:pic>
      <xdr:nvPicPr>
        <xdr:cNvPr id="483" name="Imagen 48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" y="39941500"/>
          <a:ext cx="1489075" cy="1489075"/>
        </a:xfrm>
        <a:prstGeom prst="rect">
          <a:avLst/>
        </a:prstGeom>
      </xdr:spPr>
    </xdr:pic>
    <xdr:clientData/>
  </xdr:twoCellAnchor>
  <xdr:twoCellAnchor editAs="oneCell">
    <xdr:from>
      <xdr:col>0</xdr:col>
      <xdr:colOff>50800</xdr:colOff>
      <xdr:row>307</xdr:row>
      <xdr:rowOff>50800</xdr:rowOff>
    </xdr:from>
    <xdr:to>
      <xdr:col>0</xdr:col>
      <xdr:colOff>1539875</xdr:colOff>
      <xdr:row>307</xdr:row>
      <xdr:rowOff>1539875</xdr:rowOff>
    </xdr:to>
    <xdr:pic>
      <xdr:nvPicPr>
        <xdr:cNvPr id="484" name="Imagen 483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" y="38293675"/>
          <a:ext cx="1489075" cy="1489075"/>
        </a:xfrm>
        <a:prstGeom prst="rect">
          <a:avLst/>
        </a:prstGeom>
      </xdr:spPr>
    </xdr:pic>
    <xdr:clientData/>
  </xdr:twoCellAnchor>
  <xdr:twoCellAnchor editAs="oneCell">
    <xdr:from>
      <xdr:col>0</xdr:col>
      <xdr:colOff>50800</xdr:colOff>
      <xdr:row>306</xdr:row>
      <xdr:rowOff>50800</xdr:rowOff>
    </xdr:from>
    <xdr:to>
      <xdr:col>0</xdr:col>
      <xdr:colOff>1539875</xdr:colOff>
      <xdr:row>306</xdr:row>
      <xdr:rowOff>1539875</xdr:rowOff>
    </xdr:to>
    <xdr:pic>
      <xdr:nvPicPr>
        <xdr:cNvPr id="485" name="Imagen 484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" y="36645850"/>
          <a:ext cx="1489075" cy="1489075"/>
        </a:xfrm>
        <a:prstGeom prst="rect">
          <a:avLst/>
        </a:prstGeom>
      </xdr:spPr>
    </xdr:pic>
    <xdr:clientData/>
  </xdr:twoCellAnchor>
  <xdr:twoCellAnchor editAs="oneCell">
    <xdr:from>
      <xdr:col>0</xdr:col>
      <xdr:colOff>50800</xdr:colOff>
      <xdr:row>305</xdr:row>
      <xdr:rowOff>50800</xdr:rowOff>
    </xdr:from>
    <xdr:to>
      <xdr:col>0</xdr:col>
      <xdr:colOff>1539875</xdr:colOff>
      <xdr:row>305</xdr:row>
      <xdr:rowOff>1539875</xdr:rowOff>
    </xdr:to>
    <xdr:pic>
      <xdr:nvPicPr>
        <xdr:cNvPr id="486" name="Imagen 485"/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" y="34998025"/>
          <a:ext cx="1489075" cy="1489075"/>
        </a:xfrm>
        <a:prstGeom prst="rect">
          <a:avLst/>
        </a:prstGeom>
      </xdr:spPr>
    </xdr:pic>
    <xdr:clientData/>
  </xdr:twoCellAnchor>
  <xdr:twoCellAnchor editAs="oneCell">
    <xdr:from>
      <xdr:col>0</xdr:col>
      <xdr:colOff>50800</xdr:colOff>
      <xdr:row>253</xdr:row>
      <xdr:rowOff>50800</xdr:rowOff>
    </xdr:from>
    <xdr:to>
      <xdr:col>0</xdr:col>
      <xdr:colOff>1539875</xdr:colOff>
      <xdr:row>253</xdr:row>
      <xdr:rowOff>1539875</xdr:rowOff>
    </xdr:to>
    <xdr:pic>
      <xdr:nvPicPr>
        <xdr:cNvPr id="534" name="Imagen 533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" y="15224125"/>
          <a:ext cx="1489075" cy="1489075"/>
        </a:xfrm>
        <a:prstGeom prst="rect">
          <a:avLst/>
        </a:prstGeom>
      </xdr:spPr>
    </xdr:pic>
    <xdr:clientData/>
  </xdr:twoCellAnchor>
  <xdr:twoCellAnchor editAs="oneCell">
    <xdr:from>
      <xdr:col>0</xdr:col>
      <xdr:colOff>50800</xdr:colOff>
      <xdr:row>252</xdr:row>
      <xdr:rowOff>50800</xdr:rowOff>
    </xdr:from>
    <xdr:to>
      <xdr:col>0</xdr:col>
      <xdr:colOff>1539875</xdr:colOff>
      <xdr:row>252</xdr:row>
      <xdr:rowOff>1539875</xdr:rowOff>
    </xdr:to>
    <xdr:pic>
      <xdr:nvPicPr>
        <xdr:cNvPr id="535" name="Imagen 534"/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" y="13576300"/>
          <a:ext cx="1489075" cy="1489075"/>
        </a:xfrm>
        <a:prstGeom prst="rect">
          <a:avLst/>
        </a:prstGeom>
      </xdr:spPr>
    </xdr:pic>
    <xdr:clientData/>
  </xdr:twoCellAnchor>
  <xdr:twoCellAnchor editAs="oneCell">
    <xdr:from>
      <xdr:col>0</xdr:col>
      <xdr:colOff>50800</xdr:colOff>
      <xdr:row>251</xdr:row>
      <xdr:rowOff>50800</xdr:rowOff>
    </xdr:from>
    <xdr:to>
      <xdr:col>0</xdr:col>
      <xdr:colOff>1539875</xdr:colOff>
      <xdr:row>251</xdr:row>
      <xdr:rowOff>1539875</xdr:rowOff>
    </xdr:to>
    <xdr:pic>
      <xdr:nvPicPr>
        <xdr:cNvPr id="536" name="Imagen 535"/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" y="11928475"/>
          <a:ext cx="1489075" cy="1489075"/>
        </a:xfrm>
        <a:prstGeom prst="rect">
          <a:avLst/>
        </a:prstGeom>
      </xdr:spPr>
    </xdr:pic>
    <xdr:clientData/>
  </xdr:twoCellAnchor>
  <xdr:twoCellAnchor editAs="oneCell">
    <xdr:from>
      <xdr:col>0</xdr:col>
      <xdr:colOff>50800</xdr:colOff>
      <xdr:row>250</xdr:row>
      <xdr:rowOff>50800</xdr:rowOff>
    </xdr:from>
    <xdr:to>
      <xdr:col>0</xdr:col>
      <xdr:colOff>1539875</xdr:colOff>
      <xdr:row>250</xdr:row>
      <xdr:rowOff>1539875</xdr:rowOff>
    </xdr:to>
    <xdr:pic>
      <xdr:nvPicPr>
        <xdr:cNvPr id="537" name="Imagen 536"/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" y="10280650"/>
          <a:ext cx="1489075" cy="1489075"/>
        </a:xfrm>
        <a:prstGeom prst="rect">
          <a:avLst/>
        </a:prstGeom>
      </xdr:spPr>
    </xdr:pic>
    <xdr:clientData/>
  </xdr:twoCellAnchor>
  <xdr:twoCellAnchor editAs="oneCell">
    <xdr:from>
      <xdr:col>0</xdr:col>
      <xdr:colOff>50800</xdr:colOff>
      <xdr:row>249</xdr:row>
      <xdr:rowOff>50800</xdr:rowOff>
    </xdr:from>
    <xdr:to>
      <xdr:col>0</xdr:col>
      <xdr:colOff>1539875</xdr:colOff>
      <xdr:row>249</xdr:row>
      <xdr:rowOff>1539875</xdr:rowOff>
    </xdr:to>
    <xdr:pic>
      <xdr:nvPicPr>
        <xdr:cNvPr id="538" name="Imagen 537"/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" y="8632825"/>
          <a:ext cx="1489075" cy="1489075"/>
        </a:xfrm>
        <a:prstGeom prst="rect">
          <a:avLst/>
        </a:prstGeom>
      </xdr:spPr>
    </xdr:pic>
    <xdr:clientData/>
  </xdr:twoCellAnchor>
  <xdr:twoCellAnchor editAs="oneCell">
    <xdr:from>
      <xdr:col>0</xdr:col>
      <xdr:colOff>50800</xdr:colOff>
      <xdr:row>248</xdr:row>
      <xdr:rowOff>50800</xdr:rowOff>
    </xdr:from>
    <xdr:to>
      <xdr:col>0</xdr:col>
      <xdr:colOff>1539875</xdr:colOff>
      <xdr:row>248</xdr:row>
      <xdr:rowOff>1539875</xdr:rowOff>
    </xdr:to>
    <xdr:pic>
      <xdr:nvPicPr>
        <xdr:cNvPr id="539" name="Imagen 538"/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" y="6985000"/>
          <a:ext cx="1489075" cy="1489075"/>
        </a:xfrm>
        <a:prstGeom prst="rect">
          <a:avLst/>
        </a:prstGeom>
      </xdr:spPr>
    </xdr:pic>
    <xdr:clientData/>
  </xdr:twoCellAnchor>
  <xdr:twoCellAnchor editAs="oneCell">
    <xdr:from>
      <xdr:col>0</xdr:col>
      <xdr:colOff>50800</xdr:colOff>
      <xdr:row>247</xdr:row>
      <xdr:rowOff>50800</xdr:rowOff>
    </xdr:from>
    <xdr:to>
      <xdr:col>0</xdr:col>
      <xdr:colOff>1539875</xdr:colOff>
      <xdr:row>247</xdr:row>
      <xdr:rowOff>1539875</xdr:rowOff>
    </xdr:to>
    <xdr:pic>
      <xdr:nvPicPr>
        <xdr:cNvPr id="540" name="Imagen 539"/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" y="5337175"/>
          <a:ext cx="1489075" cy="1489075"/>
        </a:xfrm>
        <a:prstGeom prst="rect">
          <a:avLst/>
        </a:prstGeom>
      </xdr:spPr>
    </xdr:pic>
    <xdr:clientData/>
  </xdr:twoCellAnchor>
  <xdr:twoCellAnchor editAs="oneCell">
    <xdr:from>
      <xdr:col>0</xdr:col>
      <xdr:colOff>50800</xdr:colOff>
      <xdr:row>246</xdr:row>
      <xdr:rowOff>50800</xdr:rowOff>
    </xdr:from>
    <xdr:to>
      <xdr:col>0</xdr:col>
      <xdr:colOff>1539875</xdr:colOff>
      <xdr:row>246</xdr:row>
      <xdr:rowOff>1539875</xdr:rowOff>
    </xdr:to>
    <xdr:pic>
      <xdr:nvPicPr>
        <xdr:cNvPr id="542" name="Imagen 541"/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" y="3689350"/>
          <a:ext cx="1489075" cy="1489075"/>
        </a:xfrm>
        <a:prstGeom prst="rect">
          <a:avLst/>
        </a:prstGeom>
      </xdr:spPr>
    </xdr:pic>
    <xdr:clientData/>
  </xdr:twoCellAnchor>
  <xdr:twoCellAnchor editAs="oneCell">
    <xdr:from>
      <xdr:col>0</xdr:col>
      <xdr:colOff>50800</xdr:colOff>
      <xdr:row>309</xdr:row>
      <xdr:rowOff>50800</xdr:rowOff>
    </xdr:from>
    <xdr:to>
      <xdr:col>0</xdr:col>
      <xdr:colOff>1539875</xdr:colOff>
      <xdr:row>309</xdr:row>
      <xdr:rowOff>1539875</xdr:rowOff>
    </xdr:to>
    <xdr:pic>
      <xdr:nvPicPr>
        <xdr:cNvPr id="543" name="Imagen 542"/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" y="107502325"/>
          <a:ext cx="1489075" cy="1489075"/>
        </a:xfrm>
        <a:prstGeom prst="rect">
          <a:avLst/>
        </a:prstGeom>
      </xdr:spPr>
    </xdr:pic>
    <xdr:clientData/>
  </xdr:twoCellAnchor>
  <xdr:twoCellAnchor editAs="oneCell">
    <xdr:from>
      <xdr:col>0</xdr:col>
      <xdr:colOff>50800</xdr:colOff>
      <xdr:row>6</xdr:row>
      <xdr:rowOff>50800</xdr:rowOff>
    </xdr:from>
    <xdr:to>
      <xdr:col>0</xdr:col>
      <xdr:colOff>1539750</xdr:colOff>
      <xdr:row>6</xdr:row>
      <xdr:rowOff>1536104</xdr:rowOff>
    </xdr:to>
    <xdr:pic>
      <xdr:nvPicPr>
        <xdr:cNvPr id="781" name="Imagen 780"/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" y="389467"/>
          <a:ext cx="1488950" cy="148530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 filterMode="1"/>
  <dimension ref="A1:E2563"/>
  <sheetViews>
    <sheetView tabSelected="1" zoomScale="90" zoomScaleNormal="90" workbookViewId="0"/>
  </sheetViews>
  <sheetFormatPr baseColWidth="10" defaultRowHeight="15" x14ac:dyDescent="0.25"/>
  <cols>
    <col min="1" max="1" width="23.85546875" customWidth="1"/>
    <col min="2" max="2" width="11.28515625" customWidth="1"/>
    <col min="3" max="3" width="35.28515625" customWidth="1"/>
    <col min="4" max="4" width="16.7109375" customWidth="1"/>
    <col min="5" max="5" width="9.140625" customWidth="1"/>
  </cols>
  <sheetData>
    <row r="1" spans="1:5" ht="27" customHeight="1" x14ac:dyDescent="0.25">
      <c r="A1" s="2" t="s">
        <v>3</v>
      </c>
      <c r="B1" s="2" t="s">
        <v>0</v>
      </c>
      <c r="C1" s="2" t="s">
        <v>1415</v>
      </c>
      <c r="D1" s="2" t="s">
        <v>2</v>
      </c>
      <c r="E1" s="2" t="s">
        <v>1438</v>
      </c>
    </row>
    <row r="2" spans="1:5" ht="129.94999999999999" hidden="1" customHeight="1" x14ac:dyDescent="0.25">
      <c r="A2" s="1"/>
      <c r="B2" s="3">
        <v>82505881</v>
      </c>
      <c r="C2" s="4" t="str">
        <f>IF(IFERROR(VLOOKUP($B2,LINCE!$A$5:$D$4000,3,FALSE),"")=0,"",IFERROR(VLOOKUP($B2,LINCE!$A$5:$D$4000,3,FALSE),""))</f>
        <v/>
      </c>
      <c r="D2" s="4" t="str">
        <f>IF(IFERROR(VLOOKUP($B2,LINCE!$A$5:$D$4000,4,FALSE),"")=0,"",IFERROR(VLOOKUP($B2,LINCE!$A$5:$D$4000,4,FALSE),""))</f>
        <v/>
      </c>
      <c r="E2" s="14"/>
    </row>
    <row r="3" spans="1:5" ht="129.94999999999999" hidden="1" customHeight="1" x14ac:dyDescent="0.25">
      <c r="A3" s="1"/>
      <c r="B3" s="3">
        <v>8205016</v>
      </c>
      <c r="C3" s="4" t="str">
        <f>IF(IFERROR(VLOOKUP($B3,LINCE!$A$5:$D$4000,3,FALSE),"")=0,"",IFERROR(VLOOKUP($B3,LINCE!$A$5:$D$4000,3,FALSE),""))</f>
        <v>BOTIN CORTO BLANCO CUERO/GAMUZA 1016</v>
      </c>
      <c r="D3" s="4">
        <f>IF(IFERROR(VLOOKUP($B3,LINCE!$A$5:$D$4000,4,FALSE),"")=0,"",IFERROR(VLOOKUP($B3,LINCE!$A$5:$D$4000,4,FALSE),""))</f>
        <v>2099.9899999999998</v>
      </c>
      <c r="E3" s="14"/>
    </row>
    <row r="4" spans="1:5" ht="129.94999999999999" hidden="1" customHeight="1" x14ac:dyDescent="0.25">
      <c r="A4" s="1"/>
      <c r="B4" s="3">
        <v>8205117</v>
      </c>
      <c r="C4" s="4" t="str">
        <f>IF(IFERROR(VLOOKUP($B4,LINCE!$A$5:$D$4000,3,FALSE),"")=0,"",IFERROR(VLOOKUP($B4,LINCE!$A$5:$D$4000,3,FALSE),""))</f>
        <v>BORCEGUI FULL GRAIN 1071 RER</v>
      </c>
      <c r="D4" s="4">
        <f>IF(IFERROR(VLOOKUP($B4,LINCE!$A$5:$D$4000,4,FALSE),"")=0,"",IFERROR(VLOOKUP($B4,LINCE!$A$5:$D$4000,4,FALSE),""))</f>
        <v>2199.9899999999998</v>
      </c>
      <c r="E4" s="14"/>
    </row>
    <row r="5" spans="1:5" ht="129.94999999999999" hidden="1" customHeight="1" x14ac:dyDescent="0.25">
      <c r="A5" s="1"/>
      <c r="B5" s="3">
        <v>5101050</v>
      </c>
      <c r="C5" s="4" t="str">
        <f>IF(IFERROR(VLOOKUP($B5,LINCE!$A$5:$D$4000,3,FALSE),"")=0,"",IFERROR(VLOOKUP($B5,LINCE!$A$5:$D$4000,3,FALSE),""))</f>
        <v/>
      </c>
      <c r="D5" s="4" t="str">
        <f>IF(IFERROR(VLOOKUP($B5,LINCE!$A$5:$D$4000,4,FALSE),"")=0,"",IFERROR(VLOOKUP($B5,LINCE!$A$5:$D$4000,4,FALSE),""))</f>
        <v/>
      </c>
      <c r="E5" s="14" t="str">
        <f>IF(IFERROR(VLOOKUP($B5,LINCE!$A$5:$E$4000,5,FALSE),"")=0,"",IFERROR(VLOOKUP($B5,LINCE!$A$5:$E$4000,5,FALSE),""))</f>
        <v/>
      </c>
    </row>
    <row r="6" spans="1:5" ht="129.94999999999999" hidden="1" customHeight="1" x14ac:dyDescent="0.25">
      <c r="A6" s="1"/>
      <c r="B6" s="3">
        <v>5101495</v>
      </c>
      <c r="C6" s="4" t="str">
        <f>IF(IFERROR(VLOOKUP($B6,LINCE!$A$5:$D$4000,3,FALSE),"")=0,"",IFERROR(VLOOKUP($B6,LINCE!$A$5:$D$4000,3,FALSE),""))</f>
        <v>GARIBALDINA ARMY RIP AZUL 2XS/2XL RER</v>
      </c>
      <c r="D6" s="4">
        <f>IF(IFERROR(VLOOKUP($B6,LINCE!$A$5:$D$4000,4,FALSE),"")=0,"",IFERROR(VLOOKUP($B6,LINCE!$A$5:$D$4000,4,FALSE),""))</f>
        <v>3617.9</v>
      </c>
      <c r="E6" s="14">
        <f>IF(IFERROR(VLOOKUP($B6,LINCE!$A$5:$E$4000,5,FALSE),"")=0,"",IFERROR(VLOOKUP($B6,LINCE!$A$5:$E$4000,5,FALSE),""))</f>
        <v>7</v>
      </c>
    </row>
    <row r="7" spans="1:5" ht="129.94999999999999" customHeight="1" x14ac:dyDescent="0.25">
      <c r="A7" s="1"/>
      <c r="B7" s="3">
        <v>8520209</v>
      </c>
      <c r="C7" s="4" t="str">
        <f>IF(IFERROR(VLOOKUP($B7,LINCE!$A$5:$D$6000,3,FALSE),"")=0,"",IFERROR(VLOOKUP($B7,LINCE!$A$5:$D$6000,3,FALSE),""))</f>
        <v>CORTAPLUMAS 17 FUNCIONES 4209</v>
      </c>
      <c r="D7" s="4">
        <f>IF(IFERROR(VLOOKUP($B7,LINCE!$A$5:$D$6000,4,FALSE),"")=0,"",IFERROR(VLOOKUP($B7,LINCE!$A$5:$D$6000,4,FALSE),""))</f>
        <v>700</v>
      </c>
      <c r="E7" s="14">
        <f>IF(IFERROR(VLOOKUP($B7,LINCE!$A$5:$E$6000,5,FALSE),"")=0,"",IFERROR(VLOOKUP($B7,LINCE!$A$5:$E$6000,5,FALSE),""))</f>
        <v>11</v>
      </c>
    </row>
    <row r="8" spans="1:5" ht="129.94999999999999" hidden="1" customHeight="1" x14ac:dyDescent="0.25">
      <c r="A8" s="1"/>
      <c r="B8" s="3">
        <v>2103218</v>
      </c>
      <c r="C8" s="4" t="str">
        <f>IF(IFERROR(VLOOKUP($B8,LINCE!$A$5:$D$4000,3,FALSE),"")=0,"",IFERROR(VLOOKUP($B8,LINCE!$A$5:$D$4000,3,FALSE),""))</f>
        <v>CHOMBA ML COMBAT RRD INFANTERIA RER</v>
      </c>
      <c r="D8" s="4">
        <f>IF(IFERROR(VLOOKUP($B8,LINCE!$A$5:$D$4000,4,FALSE),"")=0,"",IFERROR(VLOOKUP($B8,LINCE!$A$5:$D$4000,4,FALSE),""))</f>
        <v>2418.79</v>
      </c>
      <c r="E8" s="14">
        <f>IF(IFERROR(VLOOKUP($B8,LINCE!$A$5:$E$4000,5,FALSE),"")=0,"",IFERROR(VLOOKUP($B8,LINCE!$A$5:$E$4000,5,FALSE),""))</f>
        <v>23</v>
      </c>
    </row>
    <row r="9" spans="1:5" ht="129.94999999999999" hidden="1" customHeight="1" x14ac:dyDescent="0.25">
      <c r="A9" s="1"/>
      <c r="B9" s="3">
        <v>2103495</v>
      </c>
      <c r="C9" s="4" t="str">
        <f>IF(IFERROR(VLOOKUP($B9,LINCE!$A$5:$D$4000,3,FALSE),"")=0,"",IFERROR(VLOOKUP($B9,LINCE!$A$5:$D$4000,3,FALSE),""))</f>
        <v>REMERA ML COMBAT AZUL</v>
      </c>
      <c r="D9" s="4">
        <f>IF(IFERROR(VLOOKUP($B9,LINCE!$A$5:$D$4000,4,FALSE),"")=0,"",IFERROR(VLOOKUP($B9,LINCE!$A$5:$D$4000,4,FALSE),""))</f>
        <v>2490</v>
      </c>
      <c r="E9" s="14">
        <f>IF(IFERROR(VLOOKUP($B9,LINCE!$A$5:$E$4000,5,FALSE),"")=0,"",IFERROR(VLOOKUP($B9,LINCE!$A$5:$E$4000,5,FALSE),""))</f>
        <v>21</v>
      </c>
    </row>
    <row r="10" spans="1:5" ht="129.94999999999999" hidden="1" customHeight="1" x14ac:dyDescent="0.25">
      <c r="A10" s="1"/>
      <c r="B10" s="3">
        <v>7703601</v>
      </c>
      <c r="C10" s="4" t="str">
        <f>IF(IFERROR(VLOOKUP($B10,LINCE!$A$5:$D$4000,3,FALSE),"")=0,"",IFERROR(VLOOKUP($B10,LINCE!$A$5:$D$4000,3,FALSE),""))</f>
        <v>HOMB POL CABO</v>
      </c>
      <c r="D10" s="4">
        <f>IF(IFERROR(VLOOKUP($B10,LINCE!$A$5:$D$4000,4,FALSE),"")=0,"",IFERROR(VLOOKUP($B10,LINCE!$A$5:$D$4000,4,FALSE),""))</f>
        <v>350.89</v>
      </c>
      <c r="E10" s="14">
        <f>IF(IFERROR(VLOOKUP($B10,LINCE!$A$5:$E$4000,5,FALSE),"")=0,"",IFERROR(VLOOKUP($B10,LINCE!$A$5:$E$4000,5,FALSE),""))</f>
        <v>34</v>
      </c>
    </row>
    <row r="11" spans="1:5" ht="129.94999999999999" hidden="1" customHeight="1" x14ac:dyDescent="0.25">
      <c r="A11" s="1"/>
      <c r="B11" s="3">
        <v>7703050</v>
      </c>
      <c r="C11" s="4" t="str">
        <f>IF(IFERROR(VLOOKUP($B11,LINCE!$A$5:$D$4000,3,FALSE),"")=0,"",IFERROR(VLOOKUP($B11,LINCE!$A$5:$D$4000,3,FALSE),""))</f>
        <v>HOMB BI PENIT MZA SUB ADJUTOR</v>
      </c>
      <c r="D11" s="4">
        <f>IF(IFERROR(VLOOKUP($B11,LINCE!$A$5:$D$4000,4,FALSE),"")=0,"",IFERROR(VLOOKUP($B11,LINCE!$A$5:$D$4000,4,FALSE),""))</f>
        <v>665.5</v>
      </c>
      <c r="E11" s="14" t="str">
        <f>IF(IFERROR(VLOOKUP($B11,LINCE!$A$5:$E$4000,5,FALSE),"")=0,"",IFERROR(VLOOKUP($B11,LINCE!$A$5:$E$4000,5,FALSE),""))</f>
        <v/>
      </c>
    </row>
    <row r="12" spans="1:5" ht="129.94999999999999" hidden="1" customHeight="1" x14ac:dyDescent="0.25">
      <c r="A12" s="1"/>
      <c r="B12" s="3">
        <v>7703607</v>
      </c>
      <c r="C12" s="4" t="str">
        <f>IF(IFERROR(VLOOKUP($B12,LINCE!$A$5:$D$4000,3,FALSE),"")=0,"",IFERROR(VLOOKUP($B12,LINCE!$A$5:$D$4000,3,FALSE),""))</f>
        <v>HOMB POL  SUBOF MAYOR</v>
      </c>
      <c r="D12" s="4">
        <f>IF(IFERROR(VLOOKUP($B12,LINCE!$A$5:$D$4000,4,FALSE),"")=0,"",IFERROR(VLOOKUP($B12,LINCE!$A$5:$D$4000,4,FALSE),""))</f>
        <v>423.49</v>
      </c>
      <c r="E12" s="14" t="str">
        <f>IF(IFERROR(VLOOKUP($B12,LINCE!$A$5:$E$4000,5,FALSE),"")=0,"",IFERROR(VLOOKUP($B12,LINCE!$A$5:$E$4000,5,FALSE),""))</f>
        <v/>
      </c>
    </row>
    <row r="13" spans="1:5" ht="129.94999999999999" hidden="1" customHeight="1" x14ac:dyDescent="0.25">
      <c r="A13" s="1"/>
      <c r="B13" s="3">
        <v>8505209</v>
      </c>
      <c r="C13" s="4" t="str">
        <f>IF(IFERROR(VLOOKUP($B13,LINCE!$A$5:$D$4000,3,FALSE),"")=0,"",IFERROR(VLOOKUP($B13,LINCE!$A$5:$D$4000,3,FALSE),""))</f>
        <v>PECT 1 SOL F/ AZUL Y SERR SUB ALCAID BI</v>
      </c>
      <c r="D13" s="4">
        <f>IF(IFERROR(VLOOKUP($B13,LINCE!$A$5:$D$4000,4,FALSE),"")=0,"",IFERROR(VLOOKUP($B13,LINCE!$A$5:$D$4000,4,FALSE),""))</f>
        <v>178.87</v>
      </c>
      <c r="E13" s="14" t="str">
        <f>IF(IFERROR(VLOOKUP($B13,LINCE!$A$5:$E$4000,5,FALSE),"")=0,"",IFERROR(VLOOKUP($B13,LINCE!$A$5:$E$4000,5,FALSE),""))</f>
        <v/>
      </c>
    </row>
    <row r="14" spans="1:5" ht="129.94999999999999" hidden="1" customHeight="1" x14ac:dyDescent="0.25">
      <c r="A14" s="1"/>
      <c r="B14" s="3">
        <v>7703001</v>
      </c>
      <c r="C14" s="4" t="str">
        <f>IF(IFERROR(VLOOKUP($B14,LINCE!$A$5:$D$4000,3,FALSE),"")=0,"",IFERROR(VLOOKUP($B14,LINCE!$A$5:$D$4000,3,FALSE),""))</f>
        <v>HOMB POLICIA SIN BOTON MET</v>
      </c>
      <c r="D14" s="4">
        <f>IF(IFERROR(VLOOKUP($B14,LINCE!$A$5:$D$4000,4,FALSE),"")=0,"",IFERROR(VLOOKUP($B14,LINCE!$A$5:$D$4000,4,FALSE),""))</f>
        <v>220</v>
      </c>
      <c r="E14" s="14">
        <f>IF(IFERROR(VLOOKUP($B14,LINCE!$A$5:$E$4000,5,FALSE),"")=0,"",IFERROR(VLOOKUP($B14,LINCE!$A$5:$E$4000,5,FALSE),""))</f>
        <v>4</v>
      </c>
    </row>
    <row r="15" spans="1:5" ht="129.94999999999999" hidden="1" customHeight="1" x14ac:dyDescent="0.25">
      <c r="A15" s="1"/>
      <c r="B15" s="3">
        <v>7703110</v>
      </c>
      <c r="C15" s="4" t="str">
        <f>IF(IFERROR(VLOOKUP($B15,LINCE!$A$5:$D$4000,3,FALSE),"")=0,"",IFERROR(VLOOKUP($B15,LINCE!$A$5:$D$4000,3,FALSE),""))</f>
        <v>HOMB BI POL AUXILIAR</v>
      </c>
      <c r="D15" s="4">
        <f>IF(IFERROR(VLOOKUP($B15,LINCE!$A$5:$D$4000,4,FALSE),"")=0,"",IFERROR(VLOOKUP($B15,LINCE!$A$5:$D$4000,4,FALSE),""))</f>
        <v>483.99</v>
      </c>
      <c r="E15" s="14">
        <f>IF(IFERROR(VLOOKUP($B15,LINCE!$A$5:$E$4000,5,FALSE),"")=0,"",IFERROR(VLOOKUP($B15,LINCE!$A$5:$E$4000,5,FALSE),""))</f>
        <v>39</v>
      </c>
    </row>
    <row r="16" spans="1:5" ht="129.94999999999999" hidden="1" customHeight="1" x14ac:dyDescent="0.25">
      <c r="A16" s="1"/>
      <c r="B16" s="3">
        <v>7703105</v>
      </c>
      <c r="C16" s="4" t="str">
        <f>IF(IFERROR(VLOOKUP($B16,LINCE!$A$5:$D$4000,3,FALSE),"")=0,"",IFERROR(VLOOKUP($B16,LINCE!$A$5:$D$4000,3,FALSE),""))</f>
        <v>HOMB BI POL SUBCOMISARIO (1 DORADA)</v>
      </c>
      <c r="D16" s="4">
        <f>IF(IFERROR(VLOOKUP($B16,LINCE!$A$5:$D$4000,4,FALSE),"")=0,"",IFERROR(VLOOKUP($B16,LINCE!$A$5:$D$4000,4,FALSE),""))</f>
        <v>699.99</v>
      </c>
      <c r="E16" s="14">
        <f>IF(IFERROR(VLOOKUP($B16,LINCE!$A$5:$E$4000,5,FALSE),"")=0,"",IFERROR(VLOOKUP($B16,LINCE!$A$5:$E$4000,5,FALSE),""))</f>
        <v>35</v>
      </c>
    </row>
    <row r="17" spans="1:5" ht="129.94999999999999" hidden="1" customHeight="1" x14ac:dyDescent="0.25">
      <c r="A17" s="1"/>
      <c r="B17" s="3">
        <v>7703116</v>
      </c>
      <c r="C17" s="4" t="str">
        <f>IF(IFERROR(VLOOKUP($B17,LINCE!$A$5:$D$4000,3,FALSE),"")=0,"",IFERROR(VLOOKUP($B17,LINCE!$A$5:$D$4000,3,FALSE),""))</f>
        <v>HOMB BI POL 1 ROMBO PLATEADO CHICO</v>
      </c>
      <c r="D17" s="4">
        <f>IF(IFERROR(VLOOKUP($B17,LINCE!$A$5:$D$4000,4,FALSE),"")=0,"",IFERROR(VLOOKUP($B17,LINCE!$A$5:$D$4000,4,FALSE),""))</f>
        <v>499.99</v>
      </c>
      <c r="E17" s="14">
        <f>IF(IFERROR(VLOOKUP($B17,LINCE!$A$5:$E$4000,5,FALSE),"")=0,"",IFERROR(VLOOKUP($B17,LINCE!$A$5:$E$4000,5,FALSE),""))</f>
        <v>31</v>
      </c>
    </row>
    <row r="18" spans="1:5" ht="129.94999999999999" hidden="1" customHeight="1" x14ac:dyDescent="0.25">
      <c r="A18" s="1"/>
      <c r="B18" s="3">
        <v>7703118</v>
      </c>
      <c r="C18" s="4" t="str">
        <f>IF(IFERROR(VLOOKUP($B18,LINCE!$A$5:$D$4000,3,FALSE),"")=0,"",IFERROR(VLOOKUP($B18,LINCE!$A$5:$D$4000,3,FALSE),""))</f>
        <v>HOMB BI POL 3 ROMBOS PLATEADOS</v>
      </c>
      <c r="D18" s="4">
        <f>IF(IFERROR(VLOOKUP($B18,LINCE!$A$5:$D$4000,4,FALSE),"")=0,"",IFERROR(VLOOKUP($B18,LINCE!$A$5:$D$4000,4,FALSE),""))</f>
        <v>699.99</v>
      </c>
      <c r="E18" s="14">
        <f>IF(IFERROR(VLOOKUP($B18,LINCE!$A$5:$E$4000,5,FALSE),"")=0,"",IFERROR(VLOOKUP($B18,LINCE!$A$5:$E$4000,5,FALSE),""))</f>
        <v>34</v>
      </c>
    </row>
    <row r="19" spans="1:5" ht="129.94999999999999" hidden="1" customHeight="1" x14ac:dyDescent="0.25">
      <c r="A19" s="1"/>
      <c r="B19" s="3">
        <v>7703117</v>
      </c>
      <c r="C19" s="4" t="str">
        <f>IF(IFERROR(VLOOKUP($B19,LINCE!$A$5:$D$4000,3,FALSE),"")=0,"",IFERROR(VLOOKUP($B19,LINCE!$A$5:$D$4000,3,FALSE),""))</f>
        <v>HOMB BI POL 2 ROMBOS PLATEADOS CHIC</v>
      </c>
      <c r="D19" s="4">
        <f>IF(IFERROR(VLOOKUP($B19,LINCE!$A$5:$D$4000,4,FALSE),"")=0,"",IFERROR(VLOOKUP($B19,LINCE!$A$5:$D$4000,4,FALSE),""))</f>
        <v>599.99</v>
      </c>
      <c r="E19" s="14">
        <f>IF(IFERROR(VLOOKUP($B19,LINCE!$A$5:$E$4000,5,FALSE),"")=0,"",IFERROR(VLOOKUP($B19,LINCE!$A$5:$E$4000,5,FALSE),""))</f>
        <v>48</v>
      </c>
    </row>
    <row r="20" spans="1:5" ht="129.94999999999999" hidden="1" customHeight="1" x14ac:dyDescent="0.25">
      <c r="A20" s="1"/>
      <c r="B20" s="3">
        <v>7703121</v>
      </c>
      <c r="C20" s="4" t="str">
        <f>IF(IFERROR(VLOOKUP($B20,LINCE!$A$5:$D$4000,3,FALSE),"")=0,"",IFERROR(VLOOKUP($B20,LINCE!$A$5:$D$4000,3,FALSE),""))</f>
        <v>HOMB BI POL COMISARIO INSPECTOR</v>
      </c>
      <c r="D20" s="4">
        <f>IF(IFERROR(VLOOKUP($B20,LINCE!$A$5:$D$4000,4,FALSE),"")=0,"",IFERROR(VLOOKUP($B20,LINCE!$A$5:$D$4000,4,FALSE),""))</f>
        <v>799.99</v>
      </c>
      <c r="E20" s="14">
        <f>IF(IFERROR(VLOOKUP($B20,LINCE!$A$5:$E$4000,5,FALSE),"")=0,"",IFERROR(VLOOKUP($B20,LINCE!$A$5:$E$4000,5,FALSE),""))</f>
        <v>10</v>
      </c>
    </row>
    <row r="21" spans="1:5" ht="129.94999999999999" hidden="1" customHeight="1" x14ac:dyDescent="0.25">
      <c r="A21" s="1"/>
      <c r="B21" s="3">
        <v>7703185</v>
      </c>
      <c r="C21" s="4" t="str">
        <f>IF(IFERROR(VLOOKUP($B21,LINCE!$A$5:$D$4000,3,FALSE),"")=0,"",IFERROR(VLOOKUP($B21,LINCE!$A$5:$D$4000,3,FALSE),""))</f>
        <v>HOMB BI POL COMISARIO GENERAL</v>
      </c>
      <c r="D21" s="4">
        <f>IF(IFERROR(VLOOKUP($B21,LINCE!$A$5:$D$4000,4,FALSE),"")=0,"",IFERROR(VLOOKUP($B21,LINCE!$A$5:$D$4000,4,FALSE),""))</f>
        <v>999.99</v>
      </c>
      <c r="E21" s="14">
        <f>IF(IFERROR(VLOOKUP($B21,LINCE!$A$5:$E$4000,5,FALSE),"")=0,"",IFERROR(VLOOKUP($B21,LINCE!$A$5:$E$4000,5,FALSE),""))</f>
        <v>2</v>
      </c>
    </row>
    <row r="22" spans="1:5" ht="129.94999999999999" hidden="1" customHeight="1" x14ac:dyDescent="0.25">
      <c r="A22" s="1"/>
      <c r="B22" s="3">
        <v>7703106</v>
      </c>
      <c r="C22" s="4" t="str">
        <f>IF(IFERROR(VLOOKUP($B22,LINCE!$A$5:$D$4000,3,FALSE),"")=0,"",IFERROR(VLOOKUP($B22,LINCE!$A$5:$D$4000,3,FALSE),""))</f>
        <v>HOMB BI POL COMISARIO (1PLAT+1DOR)</v>
      </c>
      <c r="D22" s="4">
        <f>IF(IFERROR(VLOOKUP($B22,LINCE!$A$5:$D$4000,4,FALSE),"")=0,"",IFERROR(VLOOKUP($B22,LINCE!$A$5:$D$4000,4,FALSE),""))</f>
        <v>899.99</v>
      </c>
      <c r="E22" s="14">
        <f>IF(IFERROR(VLOOKUP($B22,LINCE!$A$5:$E$4000,5,FALSE),"")=0,"",IFERROR(VLOOKUP($B22,LINCE!$A$5:$E$4000,5,FALSE),""))</f>
        <v>59</v>
      </c>
    </row>
    <row r="23" spans="1:5" ht="129.94999999999999" hidden="1" customHeight="1" x14ac:dyDescent="0.25">
      <c r="A23" s="1"/>
      <c r="B23" s="3">
        <v>7703115</v>
      </c>
      <c r="C23" s="4" t="str">
        <f>IF(IFERROR(VLOOKUP($B23,LINCE!$A$5:$D$4000,3,FALSE),"")=0,"",IFERROR(VLOOKUP($B23,LINCE!$A$5:$D$4000,3,FALSE),""))</f>
        <v>HOMB BI POL 1 ROMBO DORADO CHICO</v>
      </c>
      <c r="D23" s="4">
        <f>IF(IFERROR(VLOOKUP($B23,LINCE!$A$5:$D$4000,4,FALSE),"")=0,"",IFERROR(VLOOKUP($B23,LINCE!$A$5:$D$4000,4,FALSE),""))</f>
        <v>499.99</v>
      </c>
      <c r="E23" s="14">
        <f>IF(IFERROR(VLOOKUP($B23,LINCE!$A$5:$E$4000,5,FALSE),"")=0,"",IFERROR(VLOOKUP($B23,LINCE!$A$5:$E$4000,5,FALSE),""))</f>
        <v>76</v>
      </c>
    </row>
    <row r="24" spans="1:5" ht="129.94999999999999" hidden="1" customHeight="1" x14ac:dyDescent="0.25">
      <c r="A24" s="1"/>
      <c r="B24" s="3">
        <v>7703113</v>
      </c>
      <c r="C24" s="4" t="str">
        <f>IF(IFERROR(VLOOKUP($B24,LINCE!$A$5:$D$4000,3,FALSE),"")=0,"",IFERROR(VLOOKUP($B24,LINCE!$A$5:$D$4000,3,FALSE),""))</f>
        <v>HOMB BI POL AUXILIAR MAYOR BI</v>
      </c>
      <c r="D24" s="4">
        <f>IF(IFERROR(VLOOKUP($B24,LINCE!$A$5:$D$4000,4,FALSE),"")=0,"",IFERROR(VLOOKUP($B24,LINCE!$A$5:$D$4000,4,FALSE),""))</f>
        <v>544.49</v>
      </c>
      <c r="E24" s="14">
        <f>IF(IFERROR(VLOOKUP($B24,LINCE!$A$5:$E$4000,5,FALSE),"")=0,"",IFERROR(VLOOKUP($B24,LINCE!$A$5:$E$4000,5,FALSE),""))</f>
        <v>77</v>
      </c>
    </row>
    <row r="25" spans="1:5" ht="129.94999999999999" hidden="1" customHeight="1" x14ac:dyDescent="0.25">
      <c r="A25" s="1"/>
      <c r="B25" s="3">
        <v>7703002</v>
      </c>
      <c r="C25" s="4" t="str">
        <f>IF(IFERROR(VLOOKUP($B25,LINCE!$A$5:$D$4000,3,FALSE),"")=0,"",IFERROR(VLOOKUP($B25,LINCE!$A$5:$D$4000,3,FALSE),""))</f>
        <v>HOMB POLICIA LISA COMISARIO</v>
      </c>
      <c r="D25" s="4">
        <f>IF(IFERROR(VLOOKUP($B25,LINCE!$A$5:$D$4000,4,FALSE),"")=0,"",IFERROR(VLOOKUP($B25,LINCE!$A$5:$D$4000,4,FALSE),""))</f>
        <v>220</v>
      </c>
      <c r="E25" s="14">
        <f>IF(IFERROR(VLOOKUP($B25,LINCE!$A$5:$E$4000,5,FALSE),"")=0,"",IFERROR(VLOOKUP($B25,LINCE!$A$5:$E$4000,5,FALSE),""))</f>
        <v>60</v>
      </c>
    </row>
    <row r="26" spans="1:5" ht="129.94999999999999" hidden="1" customHeight="1" x14ac:dyDescent="0.25">
      <c r="A26" s="1"/>
      <c r="B26" s="3">
        <v>7703660</v>
      </c>
      <c r="C26" s="4" t="str">
        <f>IF(IFERROR(VLOOKUP($B26,LINCE!$A$5:$D$4000,3,FALSE),"")=0,"",IFERROR(VLOOKUP($B26,LINCE!$A$5:$D$4000,3,FALSE),""))</f>
        <v>HOMB LMGE AZUL</v>
      </c>
      <c r="D26" s="4">
        <f>IF(IFERROR(VLOOKUP($B26,LINCE!$A$5:$D$4000,4,FALSE),"")=0,"",IFERROR(VLOOKUP($B26,LINCE!$A$5:$D$4000,4,FALSE),""))</f>
        <v>220</v>
      </c>
      <c r="E26" s="14">
        <f>IF(IFERROR(VLOOKUP($B26,LINCE!$A$5:$E$4000,5,FALSE),"")=0,"",IFERROR(VLOOKUP($B26,LINCE!$A$5:$E$4000,5,FALSE),""))</f>
        <v>37</v>
      </c>
    </row>
    <row r="27" spans="1:5" ht="129.94999999999999" hidden="1" customHeight="1" x14ac:dyDescent="0.25">
      <c r="A27" s="1"/>
      <c r="B27" s="3">
        <v>7703606</v>
      </c>
      <c r="C27" s="4" t="str">
        <f>IF(IFERROR(VLOOKUP($B27,LINCE!$A$5:$D$4000,3,FALSE),"")=0,"",IFERROR(VLOOKUP($B27,LINCE!$A$5:$D$4000,3,FALSE),""))</f>
        <v>HOMB POL SUBOF PRINCIPAL</v>
      </c>
      <c r="D27" s="4">
        <f>IF(IFERROR(VLOOKUP($B27,LINCE!$A$5:$D$4000,4,FALSE),"")=0,"",IFERROR(VLOOKUP($B27,LINCE!$A$5:$D$4000,4,FALSE),""))</f>
        <v>350.89</v>
      </c>
      <c r="E27" s="14">
        <f>IF(IFERROR(VLOOKUP($B27,LINCE!$A$5:$E$4000,5,FALSE),"")=0,"",IFERROR(VLOOKUP($B27,LINCE!$A$5:$E$4000,5,FALSE),""))</f>
        <v>4</v>
      </c>
    </row>
    <row r="28" spans="1:5" ht="129.94999999999999" hidden="1" customHeight="1" x14ac:dyDescent="0.25">
      <c r="A28" s="1"/>
      <c r="B28" s="3">
        <v>7703604</v>
      </c>
      <c r="C28" s="4" t="str">
        <f>IF(IFERROR(VLOOKUP($B28,LINCE!$A$5:$D$4000,3,FALSE),"")=0,"",IFERROR(VLOOKUP($B28,LINCE!$A$5:$D$4000,3,FALSE),""))</f>
        <v>HOMB POL SARGENTO 1RO</v>
      </c>
      <c r="D28" s="4">
        <f>IF(IFERROR(VLOOKUP($B28,LINCE!$A$5:$D$4000,4,FALSE),"")=0,"",IFERROR(VLOOKUP($B28,LINCE!$A$5:$D$4000,4,FALSE),""))</f>
        <v>350.89</v>
      </c>
      <c r="E28" s="14">
        <f>IF(IFERROR(VLOOKUP($B28,LINCE!$A$5:$E$4000,5,FALSE),"")=0,"",IFERROR(VLOOKUP($B28,LINCE!$A$5:$E$4000,5,FALSE),""))</f>
        <v>8</v>
      </c>
    </row>
    <row r="29" spans="1:5" ht="129.94999999999999" hidden="1" customHeight="1" x14ac:dyDescent="0.25">
      <c r="A29" s="1"/>
      <c r="B29" s="3">
        <v>7703602</v>
      </c>
      <c r="C29" s="4" t="str">
        <f>IF(IFERROR(VLOOKUP($B29,LINCE!$A$5:$D$4000,3,FALSE),"")=0,"",IFERROR(VLOOKUP($B29,LINCE!$A$5:$D$4000,3,FALSE),""))</f>
        <v>HOMB POL CABO 1RO</v>
      </c>
      <c r="D29" s="4">
        <f>IF(IFERROR(VLOOKUP($B29,LINCE!$A$5:$D$4000,4,FALSE),"")=0,"",IFERROR(VLOOKUP($B29,LINCE!$A$5:$D$4000,4,FALSE),""))</f>
        <v>350.89</v>
      </c>
      <c r="E29" s="14">
        <f>IF(IFERROR(VLOOKUP($B29,LINCE!$A$5:$E$4000,5,FALSE),"")=0,"",IFERROR(VLOOKUP($B29,LINCE!$A$5:$E$4000,5,FALSE),""))</f>
        <v>27</v>
      </c>
    </row>
    <row r="30" spans="1:5" ht="129.94999999999999" hidden="1" customHeight="1" x14ac:dyDescent="0.25">
      <c r="A30" s="1"/>
      <c r="B30" s="3">
        <v>7703605</v>
      </c>
      <c r="C30" s="4" t="str">
        <f>IF(IFERROR(VLOOKUP($B30,LINCE!$A$5:$D$4000,3,FALSE),"")=0,"",IFERROR(VLOOKUP($B30,LINCE!$A$5:$D$4000,3,FALSE),""))</f>
        <v>HOMB POL SARGENTO AYUDANTE</v>
      </c>
      <c r="D30" s="4">
        <f>IF(IFERROR(VLOOKUP($B30,LINCE!$A$5:$D$4000,4,FALSE),"")=0,"",IFERROR(VLOOKUP($B30,LINCE!$A$5:$D$4000,4,FALSE),""))</f>
        <v>350.89</v>
      </c>
      <c r="E30" s="14">
        <f>IF(IFERROR(VLOOKUP($B30,LINCE!$A$5:$E$4000,5,FALSE),"")=0,"",IFERROR(VLOOKUP($B30,LINCE!$A$5:$E$4000,5,FALSE),""))</f>
        <v>28</v>
      </c>
    </row>
    <row r="31" spans="1:5" ht="129.94999999999999" hidden="1" customHeight="1" x14ac:dyDescent="0.25">
      <c r="A31" s="1"/>
      <c r="B31" s="3">
        <v>7703158</v>
      </c>
      <c r="C31" s="4" t="str">
        <f>IF(IFERROR(VLOOKUP($B31,LINCE!$A$5:$D$4000,3,FALSE),"")=0,"",IFERROR(VLOOKUP($B31,LINCE!$A$5:$D$4000,3,FALSE),""))</f>
        <v>HOMB BORD ORO CRIO GRAL 3 ROMBOS DG</v>
      </c>
      <c r="D31" s="4">
        <f>IF(IFERROR(VLOOKUP($B31,LINCE!$A$5:$D$4000,4,FALSE),"")=0,"",IFERROR(VLOOKUP($B31,LINCE!$A$5:$D$4000,4,FALSE),""))</f>
        <v>5699.99</v>
      </c>
      <c r="E31" s="14">
        <f>IF(IFERROR(VLOOKUP($B31,LINCE!$A$5:$E$4000,5,FALSE),"")=0,"",IFERROR(VLOOKUP($B31,LINCE!$A$5:$E$4000,5,FALSE),""))</f>
        <v>2</v>
      </c>
    </row>
    <row r="32" spans="1:5" ht="129.94999999999999" hidden="1" customHeight="1" x14ac:dyDescent="0.25">
      <c r="A32" s="1"/>
      <c r="B32" s="3">
        <v>7703112</v>
      </c>
      <c r="C32" s="4" t="str">
        <f>IF(IFERROR(VLOOKUP($B32,LINCE!$A$5:$D$4000,3,FALSE),"")=0,"",IFERROR(VLOOKUP($B32,LINCE!$A$5:$D$4000,3,FALSE),""))</f>
        <v>HOMB BI POL AUXILIAR SEGUNDO</v>
      </c>
      <c r="D32" s="4">
        <f>IF(IFERROR(VLOOKUP($B32,LINCE!$A$5:$D$4000,4,FALSE),"")=0,"",IFERROR(VLOOKUP($B32,LINCE!$A$5:$D$4000,4,FALSE),""))</f>
        <v>532.39</v>
      </c>
      <c r="E32" s="14">
        <f>IF(IFERROR(VLOOKUP($B32,LINCE!$A$5:$E$4000,5,FALSE),"")=0,"",IFERROR(VLOOKUP($B32,LINCE!$A$5:$E$4000,5,FALSE),""))</f>
        <v>54</v>
      </c>
    </row>
    <row r="33" spans="1:5" ht="129.94999999999999" hidden="1" customHeight="1" x14ac:dyDescent="0.25">
      <c r="A33" s="1"/>
      <c r="B33" s="3">
        <v>7703111</v>
      </c>
      <c r="C33" s="4" t="str">
        <f>IF(IFERROR(VLOOKUP($B33,LINCE!$A$5:$D$4000,3,FALSE),"")=0,"",IFERROR(VLOOKUP($B33,LINCE!$A$5:$D$4000,3,FALSE),""))</f>
        <v>HOMB BI POL AUXILIAR PRIMERO</v>
      </c>
      <c r="D33" s="4">
        <f>IF(IFERROR(VLOOKUP($B33,LINCE!$A$5:$D$4000,4,FALSE),"")=0,"",IFERROR(VLOOKUP($B33,LINCE!$A$5:$D$4000,4,FALSE),""))</f>
        <v>483.99</v>
      </c>
      <c r="E33" s="14">
        <f>IF(IFERROR(VLOOKUP($B33,LINCE!$A$5:$E$4000,5,FALSE),"")=0,"",IFERROR(VLOOKUP($B33,LINCE!$A$5:$E$4000,5,FALSE),""))</f>
        <v>52</v>
      </c>
    </row>
    <row r="34" spans="1:5" ht="129.94999999999999" hidden="1" customHeight="1" x14ac:dyDescent="0.25">
      <c r="A34" s="1"/>
      <c r="B34" s="3">
        <v>7703052</v>
      </c>
      <c r="C34" s="4" t="str">
        <f>IF(IFERROR(VLOOKUP($B34,LINCE!$A$5:$D$4000,3,FALSE),"")=0,"",IFERROR(VLOOKUP($B34,LINCE!$A$5:$D$4000,3,FALSE),""))</f>
        <v>HOMB BI PENIT MZA ADJUTOR PRINCIPAL</v>
      </c>
      <c r="D34" s="4">
        <f>IF(IFERROR(VLOOKUP($B34,LINCE!$A$5:$D$4000,4,FALSE),"")=0,"",IFERROR(VLOOKUP($B34,LINCE!$A$5:$D$4000,4,FALSE),""))</f>
        <v>786.5</v>
      </c>
      <c r="E34" s="14" t="str">
        <f>IF(IFERROR(VLOOKUP($B34,LINCE!$A$5:$E$4000,5,FALSE),"")=0,"",IFERROR(VLOOKUP($B34,LINCE!$A$5:$E$4000,5,FALSE),""))</f>
        <v/>
      </c>
    </row>
    <row r="35" spans="1:5" ht="129.94999999999999" hidden="1" customHeight="1" x14ac:dyDescent="0.25">
      <c r="A35" s="1"/>
      <c r="B35" s="3">
        <v>7703051</v>
      </c>
      <c r="C35" s="4" t="str">
        <f>IF(IFERROR(VLOOKUP($B35,LINCE!$A$5:$D$4000,3,FALSE),"")=0,"",IFERROR(VLOOKUP($B35,LINCE!$A$5:$D$4000,3,FALSE),""))</f>
        <v>HOMB BI PENIT MZA ADJUTOR</v>
      </c>
      <c r="D35" s="4" t="str">
        <f>IF(IFERROR(VLOOKUP($B35,LINCE!$A$5:$D$4000,4,FALSE),"")=0,"",IFERROR(VLOOKUP($B35,LINCE!$A$5:$D$4000,4,FALSE),""))</f>
        <v/>
      </c>
      <c r="E35" s="14" t="str">
        <f>IF(IFERROR(VLOOKUP($B35,LINCE!$A$5:$E$4000,5,FALSE),"")=0,"",IFERROR(VLOOKUP($B35,LINCE!$A$5:$E$4000,5,FALSE),""))</f>
        <v/>
      </c>
    </row>
    <row r="36" spans="1:5" ht="129.94999999999999" hidden="1" customHeight="1" x14ac:dyDescent="0.25">
      <c r="A36" s="1"/>
      <c r="B36" s="3">
        <v>7703603</v>
      </c>
      <c r="C36" s="4" t="str">
        <f>IF(IFERROR(VLOOKUP($B36,LINCE!$A$5:$D$4000,3,FALSE),"")=0,"",IFERROR(VLOOKUP($B36,LINCE!$A$5:$D$4000,3,FALSE),""))</f>
        <v>HOMB POL SARGENTO</v>
      </c>
      <c r="D36" s="4">
        <f>IF(IFERROR(VLOOKUP($B36,LINCE!$A$5:$D$4000,4,FALSE),"")=0,"",IFERROR(VLOOKUP($B36,LINCE!$A$5:$D$4000,4,FALSE),""))</f>
        <v>350.89</v>
      </c>
      <c r="E36" s="14">
        <f>IF(IFERROR(VLOOKUP($B36,LINCE!$A$5:$E$4000,5,FALSE),"")=0,"",IFERROR(VLOOKUP($B36,LINCE!$A$5:$E$4000,5,FALSE),""))</f>
        <v>21</v>
      </c>
    </row>
    <row r="37" spans="1:5" ht="129.94999999999999" hidden="1" customHeight="1" x14ac:dyDescent="0.25">
      <c r="A37" s="1"/>
      <c r="B37" s="3">
        <v>7707710</v>
      </c>
      <c r="C37" s="4" t="str">
        <f>IF(IFERROR(VLOOKUP($B37,LINCE!$A$5:$D$4000,3,FALSE),"")=0,"",IFERROR(VLOOKUP($B37,LINCE!$A$5:$D$4000,3,FALSE),""))</f>
        <v>METAL ROSETON Y/O ESTADO MAYOR FEM</v>
      </c>
      <c r="D37" s="4">
        <f>IF(IFERROR(VLOOKUP($B37,LINCE!$A$5:$D$4000,4,FALSE),"")=0,"",IFERROR(VLOOKUP($B37,LINCE!$A$5:$D$4000,4,FALSE),""))</f>
        <v>219.99</v>
      </c>
      <c r="E37" s="14">
        <f>IF(IFERROR(VLOOKUP($B37,LINCE!$A$5:$E$4000,5,FALSE),"")=0,"",IFERROR(VLOOKUP($B37,LINCE!$A$5:$E$4000,5,FALSE),""))</f>
        <v>41</v>
      </c>
    </row>
    <row r="38" spans="1:5" ht="129.94999999999999" hidden="1" customHeight="1" x14ac:dyDescent="0.25">
      <c r="A38" s="1"/>
      <c r="B38" s="3">
        <v>7707154</v>
      </c>
      <c r="C38" s="4" t="str">
        <f>IF(IFERROR(VLOOKUP($B38,LINCE!$A$5:$D$4000,3,FALSE),"")=0,"",IFERROR(VLOOKUP($B38,LINCE!$A$5:$D$4000,3,FALSE),""))</f>
        <v>METAL ROMBO 22 PLATEADO FEM</v>
      </c>
      <c r="D38" s="4">
        <f>IF(IFERROR(VLOOKUP($B38,LINCE!$A$5:$D$4000,4,FALSE),"")=0,"",IFERROR(VLOOKUP($B38,LINCE!$A$5:$D$4000,4,FALSE),""))</f>
        <v>96.8</v>
      </c>
      <c r="E38" s="14">
        <f>IF(IFERROR(VLOOKUP($B38,LINCE!$A$5:$E$4000,5,FALSE),"")=0,"",IFERROR(VLOOKUP($B38,LINCE!$A$5:$E$4000,5,FALSE),""))</f>
        <v>49</v>
      </c>
    </row>
    <row r="39" spans="1:5" ht="129.94999999999999" hidden="1" customHeight="1" x14ac:dyDescent="0.25">
      <c r="A39" s="1"/>
      <c r="B39" s="3">
        <v>7707714</v>
      </c>
      <c r="C39" s="4" t="str">
        <f>IF(IFERROR(VLOOKUP($B39,LINCE!$A$5:$D$4000,3,FALSE),"")=0,"",IFERROR(VLOOKUP($B39,LINCE!$A$5:$D$4000,3,FALSE),""))</f>
        <v>METAL ROMBO 22 DORADO FEM</v>
      </c>
      <c r="D39" s="4">
        <f>IF(IFERROR(VLOOKUP($B39,LINCE!$A$5:$D$4000,4,FALSE),"")=0,"",IFERROR(VLOOKUP($B39,LINCE!$A$5:$D$4000,4,FALSE),""))</f>
        <v>99.99</v>
      </c>
      <c r="E39" s="14">
        <f>IF(IFERROR(VLOOKUP($B39,LINCE!$A$5:$E$4000,5,FALSE),"")=0,"",IFERROR(VLOOKUP($B39,LINCE!$A$5:$E$4000,5,FALSE),""))</f>
        <v>77</v>
      </c>
    </row>
    <row r="40" spans="1:5" ht="129.94999999999999" hidden="1" customHeight="1" x14ac:dyDescent="0.25">
      <c r="A40" s="1"/>
      <c r="B40" s="3">
        <v>7707557</v>
      </c>
      <c r="C40" s="4" t="str">
        <f>IF(IFERROR(VLOOKUP($B40,LINCE!$A$5:$D$4000,3,FALSE),"")=0,"",IFERROR(VLOOKUP($B40,LINCE!$A$5:$D$4000,3,FALSE),""))</f>
        <v>METAL ROMBO 16MM.PLATEADO FEM</v>
      </c>
      <c r="D40" s="4">
        <f>IF(IFERROR(VLOOKUP($B40,LINCE!$A$5:$D$4000,4,FALSE),"")=0,"",IFERROR(VLOOKUP($B40,LINCE!$A$5:$D$4000,4,FALSE),""))</f>
        <v>84.99</v>
      </c>
      <c r="E40" s="14">
        <f>IF(IFERROR(VLOOKUP($B40,LINCE!$A$5:$E$4000,5,FALSE),"")=0,"",IFERROR(VLOOKUP($B40,LINCE!$A$5:$E$4000,5,FALSE),""))</f>
        <v>165</v>
      </c>
    </row>
    <row r="41" spans="1:5" ht="129.94999999999999" hidden="1" customHeight="1" x14ac:dyDescent="0.25">
      <c r="A41" s="1"/>
      <c r="B41" s="3">
        <v>7707556</v>
      </c>
      <c r="C41" s="4" t="str">
        <f>IF(IFERROR(VLOOKUP($B41,LINCE!$A$5:$D$4000,3,FALSE),"")=0,"",IFERROR(VLOOKUP($B41,LINCE!$A$5:$D$4000,3,FALSE),""))</f>
        <v>METAL ROMBO 16 MM. DORADO FEM</v>
      </c>
      <c r="D41" s="4">
        <f>IF(IFERROR(VLOOKUP($B41,LINCE!$A$5:$D$4000,4,FALSE),"")=0,"",IFERROR(VLOOKUP($B41,LINCE!$A$5:$D$4000,4,FALSE),""))</f>
        <v>84.99</v>
      </c>
      <c r="E41" s="14">
        <f>IF(IFERROR(VLOOKUP($B41,LINCE!$A$5:$E$4000,5,FALSE),"")=0,"",IFERROR(VLOOKUP($B41,LINCE!$A$5:$E$4000,5,FALSE),""))</f>
        <v>111</v>
      </c>
    </row>
    <row r="42" spans="1:5" ht="129.94999999999999" hidden="1" customHeight="1" x14ac:dyDescent="0.25">
      <c r="A42" s="1"/>
      <c r="B42" s="3">
        <v>7707161</v>
      </c>
      <c r="C42" s="4" t="str">
        <f>IF(IFERROR(VLOOKUP($B42,LINCE!$A$5:$D$4000,3,FALSE),"")=0,"",IFERROR(VLOOKUP($B42,LINCE!$A$5:$D$4000,3,FALSE),""))</f>
        <v>METAL RIEL P/NOMBRE DORADO FEM</v>
      </c>
      <c r="D42" s="4">
        <f>IF(IFERROR(VLOOKUP($B42,LINCE!$A$5:$D$4000,4,FALSE),"")=0,"",IFERROR(VLOOKUP($B42,LINCE!$A$5:$D$4000,4,FALSE),""))</f>
        <v>450</v>
      </c>
      <c r="E42" s="14" t="str">
        <f>IF(IFERROR(VLOOKUP($B42,LINCE!$A$5:$E$4000,5,FALSE),"")=0,"",IFERROR(VLOOKUP($B42,LINCE!$A$5:$E$4000,5,FALSE),""))</f>
        <v/>
      </c>
    </row>
    <row r="43" spans="1:5" ht="129.94999999999999" hidden="1" customHeight="1" x14ac:dyDescent="0.25">
      <c r="A43" s="1"/>
      <c r="B43" s="3">
        <v>7707246</v>
      </c>
      <c r="C43" s="4" t="str">
        <f>IF(IFERROR(VLOOKUP($B43,LINCE!$A$5:$D$4000,3,FALSE),"")=0,"",IFERROR(VLOOKUP($B43,LINCE!$A$5:$D$4000,3,FALSE),""))</f>
        <v>METAL RIEL DE 4 FEM</v>
      </c>
      <c r="D43" s="4">
        <f>IF(IFERROR(VLOOKUP($B43,LINCE!$A$5:$D$4000,4,FALSE),"")=0,"",IFERROR(VLOOKUP($B43,LINCE!$A$5:$D$4000,4,FALSE),""))</f>
        <v>250</v>
      </c>
      <c r="E43" s="14">
        <f>IF(IFERROR(VLOOKUP($B43,LINCE!$A$5:$E$4000,5,FALSE),"")=0,"",IFERROR(VLOOKUP($B43,LINCE!$A$5:$E$4000,5,FALSE),""))</f>
        <v>67</v>
      </c>
    </row>
    <row r="44" spans="1:5" ht="129.94999999999999" hidden="1" customHeight="1" x14ac:dyDescent="0.25">
      <c r="A44" s="1"/>
      <c r="B44" s="3">
        <v>7707013</v>
      </c>
      <c r="C44" s="4" t="str">
        <f>IF(IFERROR(VLOOKUP($B44,LINCE!$A$5:$D$4000,3,FALSE),"")=0,"",IFERROR(VLOOKUP($B44,LINCE!$A$5:$D$4000,3,FALSE),""))</f>
        <v>METAL RIEL DE 3 FEM</v>
      </c>
      <c r="D44" s="4">
        <f>IF(IFERROR(VLOOKUP($B44,LINCE!$A$5:$D$4000,4,FALSE),"")=0,"",IFERROR(VLOOKUP($B44,LINCE!$A$5:$D$4000,4,FALSE),""))</f>
        <v>198.97</v>
      </c>
      <c r="E44" s="14">
        <f>IF(IFERROR(VLOOKUP($B44,LINCE!$A$5:$E$4000,5,FALSE),"")=0,"",IFERROR(VLOOKUP($B44,LINCE!$A$5:$E$4000,5,FALSE),""))</f>
        <v>59</v>
      </c>
    </row>
    <row r="45" spans="1:5" ht="129.94999999999999" hidden="1" customHeight="1" x14ac:dyDescent="0.25">
      <c r="A45" s="1"/>
      <c r="B45" s="3">
        <v>7707002</v>
      </c>
      <c r="C45" s="4" t="str">
        <f>IF(IFERROR(VLOOKUP($B45,LINCE!$A$5:$D$4000,3,FALSE),"")=0,"",IFERROR(VLOOKUP($B45,LINCE!$A$5:$D$4000,3,FALSE),""))</f>
        <v>METAL RIEL DE 2 FEM</v>
      </c>
      <c r="D45" s="4">
        <f>IF(IFERROR(VLOOKUP($B45,LINCE!$A$5:$D$4000,4,FALSE),"")=0,"",IFERROR(VLOOKUP($B45,LINCE!$A$5:$D$4000,4,FALSE),""))</f>
        <v>190</v>
      </c>
      <c r="E45" s="14">
        <f>IF(IFERROR(VLOOKUP($B45,LINCE!$A$5:$E$4000,5,FALSE),"")=0,"",IFERROR(VLOOKUP($B45,LINCE!$A$5:$E$4000,5,FALSE),""))</f>
        <v>49</v>
      </c>
    </row>
    <row r="46" spans="1:5" ht="129.94999999999999" hidden="1" customHeight="1" x14ac:dyDescent="0.25">
      <c r="A46" s="1"/>
      <c r="B46" s="3">
        <v>7707357</v>
      </c>
      <c r="C46" s="4" t="str">
        <f>IF(IFERROR(VLOOKUP($B46,LINCE!$A$5:$D$4000,3,FALSE),"")=0,"",IFERROR(VLOOKUP($B46,LINCE!$A$5:$D$4000,3,FALSE),""))</f>
        <v>METAL RIEL DE 1 FEM</v>
      </c>
      <c r="D46" s="4">
        <f>IF(IFERROR(VLOOKUP($B46,LINCE!$A$5:$D$4000,4,FALSE),"")=0,"",IFERROR(VLOOKUP($B46,LINCE!$A$5:$D$4000,4,FALSE),""))</f>
        <v>180</v>
      </c>
      <c r="E46" s="14">
        <f>IF(IFERROR(VLOOKUP($B46,LINCE!$A$5:$E$4000,5,FALSE),"")=0,"",IFERROR(VLOOKUP($B46,LINCE!$A$5:$E$4000,5,FALSE),""))</f>
        <v>44</v>
      </c>
    </row>
    <row r="47" spans="1:5" ht="129.94999999999999" hidden="1" customHeight="1" x14ac:dyDescent="0.25">
      <c r="A47" s="1"/>
      <c r="B47" s="3">
        <v>7707571</v>
      </c>
      <c r="C47" s="4" t="str">
        <f>IF(IFERROR(VLOOKUP($B47,LINCE!$A$5:$D$4000,3,FALSE),"")=0,"",IFERROR(VLOOKUP($B47,LINCE!$A$5:$D$4000,3,FALSE),""))</f>
        <v>METAL RAYOS CRUZADOS FEM</v>
      </c>
      <c r="D47" s="4">
        <f>IF(IFERROR(VLOOKUP($B47,LINCE!$A$5:$D$4000,4,FALSE),"")=0,"",IFERROR(VLOOKUP($B47,LINCE!$A$5:$D$4000,4,FALSE),""))</f>
        <v>160</v>
      </c>
      <c r="E47" s="14">
        <f>IF(IFERROR(VLOOKUP($B47,LINCE!$A$5:$E$4000,5,FALSE),"")=0,"",IFERROR(VLOOKUP($B47,LINCE!$A$5:$E$4000,5,FALSE),""))</f>
        <v>18</v>
      </c>
    </row>
    <row r="48" spans="1:5" ht="129.94999999999999" hidden="1" customHeight="1" x14ac:dyDescent="0.25">
      <c r="A48" s="1"/>
      <c r="B48" s="3">
        <v>7707547</v>
      </c>
      <c r="C48" s="4" t="str">
        <f>IF(IFERROR(VLOOKUP($B48,LINCE!$A$5:$D$4000,3,FALSE),"")=0,"",IFERROR(VLOOKUP($B48,LINCE!$A$5:$D$4000,3,FALSE),""))</f>
        <v>METAL NUMERO CHICO FEM</v>
      </c>
      <c r="D48" s="4">
        <f>IF(IFERROR(VLOOKUP($B48,LINCE!$A$5:$D$4000,4,FALSE),"")=0,"",IFERROR(VLOOKUP($B48,LINCE!$A$5:$D$4000,4,FALSE),""))</f>
        <v>99.86</v>
      </c>
      <c r="E48" s="14">
        <f>IF(IFERROR(VLOOKUP($B48,LINCE!$A$5:$E$4000,5,FALSE),"")=0,"",IFERROR(VLOOKUP($B48,LINCE!$A$5:$E$4000,5,FALSE),""))</f>
        <v>32</v>
      </c>
    </row>
    <row r="49" spans="1:5" ht="129.94999999999999" hidden="1" customHeight="1" x14ac:dyDescent="0.25">
      <c r="A49" s="1"/>
      <c r="B49" s="3">
        <v>7707450</v>
      </c>
      <c r="C49" s="4" t="str">
        <f>IF(IFERROR(VLOOKUP($B49,LINCE!$A$5:$D$4000,3,FALSE),"")=0,"",IFERROR(VLOOKUP($B49,LINCE!$A$5:$D$4000,3,FALSE),""))</f>
        <v>METAL RUEDA ALADA NQN PLATEAD RER</v>
      </c>
      <c r="D49" s="4">
        <f>IF(IFERROR(VLOOKUP($B49,LINCE!$A$5:$D$4000,4,FALSE),"")=0,"",IFERROR(VLOOKUP($B49,LINCE!$A$5:$D$4000,4,FALSE),""))</f>
        <v>153.05000000000001</v>
      </c>
      <c r="E49" s="14">
        <f>IF(IFERROR(VLOOKUP($B49,LINCE!$A$5:$E$4000,5,FALSE),"")=0,"",IFERROR(VLOOKUP($B49,LINCE!$A$5:$E$4000,5,FALSE),""))</f>
        <v>26</v>
      </c>
    </row>
    <row r="50" spans="1:5" ht="129.94999999999999" hidden="1" customHeight="1" x14ac:dyDescent="0.25">
      <c r="A50" s="1"/>
      <c r="B50" s="3">
        <v>7707115</v>
      </c>
      <c r="C50" s="4" t="str">
        <f>IF(IFERROR(VLOOKUP($B50,LINCE!$A$5:$D$4000,3,FALSE),"")=0,"",IFERROR(VLOOKUP($B50,LINCE!$A$5:$D$4000,3,FALSE),""))</f>
        <v>METAL RUEDA ALADA NQN DOR FEM</v>
      </c>
      <c r="D50" s="4">
        <f>IF(IFERROR(VLOOKUP($B50,LINCE!$A$5:$D$4000,4,FALSE),"")=0,"",IFERROR(VLOOKUP($B50,LINCE!$A$5:$D$4000,4,FALSE),""))</f>
        <v>168.36</v>
      </c>
      <c r="E50" s="14">
        <f>IF(IFERROR(VLOOKUP($B50,LINCE!$A$5:$E$4000,5,FALSE),"")=0,"",IFERROR(VLOOKUP($B50,LINCE!$A$5:$E$4000,5,FALSE),""))</f>
        <v>24</v>
      </c>
    </row>
    <row r="51" spans="1:5" ht="129.94999999999999" hidden="1" customHeight="1" x14ac:dyDescent="0.25">
      <c r="A51" s="1"/>
      <c r="B51" s="3">
        <v>7707922</v>
      </c>
      <c r="C51" s="4" t="str">
        <f>IF(IFERROR(VLOOKUP($B51,LINCE!$A$5:$D$4000,3,FALSE),"")=0,"",IFERROR(VLOOKUP($B51,LINCE!$A$5:$D$4000,3,FALSE),""))</f>
        <v>METAL VIVO POL. MZA. SIN SOL FEM</v>
      </c>
      <c r="D51" s="4">
        <f>IF(IFERROR(VLOOKUP($B51,LINCE!$A$5:$D$4000,4,FALSE),"")=0,"",IFERROR(VLOOKUP($B51,LINCE!$A$5:$D$4000,4,FALSE),""))</f>
        <v>159.96</v>
      </c>
      <c r="E51" s="14">
        <f>IF(IFERROR(VLOOKUP($B51,LINCE!$A$5:$E$4000,5,FALSE),"")=0,"",IFERROR(VLOOKUP($B51,LINCE!$A$5:$E$4000,5,FALSE),""))</f>
        <v>35</v>
      </c>
    </row>
    <row r="52" spans="1:5" ht="129.94999999999999" hidden="1" customHeight="1" x14ac:dyDescent="0.25">
      <c r="A52" s="1"/>
      <c r="B52" s="3">
        <v>7707923</v>
      </c>
      <c r="C52" s="4" t="str">
        <f>IF(IFERROR(VLOOKUP($B52,LINCE!$A$5:$D$4000,3,FALSE),"")=0,"",IFERROR(VLOOKUP($B52,LINCE!$A$5:$D$4000,3,FALSE),""))</f>
        <v>METAL VIVO POL. MZA. CON SOL FEM</v>
      </c>
      <c r="D52" s="4">
        <f>IF(IFERROR(VLOOKUP($B52,LINCE!$A$5:$D$4000,4,FALSE),"")=0,"",IFERROR(VLOOKUP($B52,LINCE!$A$5:$D$4000,4,FALSE),""))</f>
        <v>179.99</v>
      </c>
      <c r="E52" s="14">
        <f>IF(IFERROR(VLOOKUP($B52,LINCE!$A$5:$E$4000,5,FALSE),"")=0,"",IFERROR(VLOOKUP($B52,LINCE!$A$5:$E$4000,5,FALSE),""))</f>
        <v>28</v>
      </c>
    </row>
    <row r="53" spans="1:5" ht="129.94999999999999" hidden="1" customHeight="1" x14ac:dyDescent="0.25">
      <c r="A53" s="1"/>
      <c r="B53" s="3">
        <v>7707567</v>
      </c>
      <c r="C53" s="4" t="str">
        <f>IF(IFERROR(VLOOKUP($B53,LINCE!$A$5:$D$4000,3,FALSE),"")=0,"",IFERROR(VLOOKUP($B53,LINCE!$A$5:$D$4000,3,FALSE),""))</f>
        <v>METAL TRABA CORBATA ESC. NAC FEM</v>
      </c>
      <c r="D53" s="4">
        <f>IF(IFERROR(VLOOKUP($B53,LINCE!$A$5:$D$4000,4,FALSE),"")=0,"",IFERROR(VLOOKUP($B53,LINCE!$A$5:$D$4000,4,FALSE),""))</f>
        <v>350</v>
      </c>
      <c r="E53" s="14" t="str">
        <f>IF(IFERROR(VLOOKUP($B53,LINCE!$A$5:$E$4000,5,FALSE),"")=0,"",IFERROR(VLOOKUP($B53,LINCE!$A$5:$E$4000,5,FALSE),""))</f>
        <v/>
      </c>
    </row>
    <row r="54" spans="1:5" ht="129.94999999999999" hidden="1" customHeight="1" x14ac:dyDescent="0.25">
      <c r="A54" s="1"/>
      <c r="B54" s="3">
        <v>7707100</v>
      </c>
      <c r="C54" s="4" t="str">
        <f>IF(IFERROR(VLOOKUP($B54,LINCE!$A$5:$D$4000,3,FALSE),"")=0,"",IFERROR(VLOOKUP($B54,LINCE!$A$5:$D$4000,3,FALSE),""))</f>
        <v>METAL PALMAS LAUREL CRUZADO 20*40 C FEM</v>
      </c>
      <c r="D54" s="4">
        <f>IF(IFERROR(VLOOKUP($B54,LINCE!$A$5:$D$4000,4,FALSE),"")=0,"",IFERROR(VLOOKUP($B54,LINCE!$A$5:$D$4000,4,FALSE),""))</f>
        <v>137.74</v>
      </c>
      <c r="E54" s="14">
        <f>IF(IFERROR(VLOOKUP($B54,LINCE!$A$5:$E$4000,5,FALSE),"")=0,"",IFERROR(VLOOKUP($B54,LINCE!$A$5:$E$4000,5,FALSE),""))</f>
        <v>27</v>
      </c>
    </row>
    <row r="55" spans="1:5" ht="129.94999999999999" hidden="1" customHeight="1" x14ac:dyDescent="0.25">
      <c r="A55" s="1"/>
      <c r="B55" s="3">
        <v>7707528</v>
      </c>
      <c r="C55" s="4" t="str">
        <f>IF(IFERROR(VLOOKUP($B55,LINCE!$A$5:$D$4000,3,FALSE),"")=0,"",IFERROR(VLOOKUP($B55,LINCE!$A$5:$D$4000,3,FALSE),""))</f>
        <v>METAL LIRA (BANDA MUSICA) FEM</v>
      </c>
      <c r="D55" s="4">
        <f>IF(IFERROR(VLOOKUP($B55,LINCE!$A$5:$D$4000,4,FALSE),"")=0,"",IFERROR(VLOOKUP($B55,LINCE!$A$5:$D$4000,4,FALSE),""))</f>
        <v>169.39</v>
      </c>
      <c r="E55" s="14">
        <f>IF(IFERROR(VLOOKUP($B55,LINCE!$A$5:$E$4000,5,FALSE),"")=0,"",IFERROR(VLOOKUP($B55,LINCE!$A$5:$E$4000,5,FALSE),""))</f>
        <v>40</v>
      </c>
    </row>
    <row r="56" spans="1:5" ht="129.94999999999999" hidden="1" customHeight="1" x14ac:dyDescent="0.25">
      <c r="A56" s="1"/>
      <c r="B56" s="3">
        <v>7707712</v>
      </c>
      <c r="C56" s="4" t="str">
        <f>IF(IFERROR(VLOOKUP($B56,LINCE!$A$5:$D$4000,3,FALSE),"")=0,"",IFERROR(VLOOKUP($B56,LINCE!$A$5:$D$4000,3,FALSE),""))</f>
        <v>METAL HACHA BOMBERO TROPA 30*-38 FEM</v>
      </c>
      <c r="D56" s="4">
        <f>IF(IFERROR(VLOOKUP($B56,LINCE!$A$5:$D$4000,4,FALSE),"")=0,"",IFERROR(VLOOKUP($B56,LINCE!$A$5:$D$4000,4,FALSE),""))</f>
        <v>120.99</v>
      </c>
      <c r="E56" s="14">
        <f>IF(IFERROR(VLOOKUP($B56,LINCE!$A$5:$E$4000,5,FALSE),"")=0,"",IFERROR(VLOOKUP($B56,LINCE!$A$5:$E$4000,5,FALSE),""))</f>
        <v>55</v>
      </c>
    </row>
    <row r="57" spans="1:5" ht="129.94999999999999" hidden="1" customHeight="1" x14ac:dyDescent="0.25">
      <c r="A57" s="1"/>
      <c r="B57" s="3">
        <v>7707900</v>
      </c>
      <c r="C57" s="4" t="str">
        <f>IF(IFERROR(VLOOKUP($B57,LINCE!$A$5:$D$4000,3,FALSE),"")=0,"",IFERROR(VLOOKUP($B57,LINCE!$A$5:$D$4000,3,FALSE),""))</f>
        <v>METAL G.N. P/CASQ RER</v>
      </c>
      <c r="D57" s="4" t="str">
        <f>IF(IFERROR(VLOOKUP($B57,LINCE!$A$5:$D$4000,4,FALSE),"")=0,"",IFERROR(VLOOKUP($B57,LINCE!$A$5:$D$4000,4,FALSE),""))</f>
        <v/>
      </c>
      <c r="E57" s="14" t="str">
        <f>IF(IFERROR(VLOOKUP($B57,LINCE!$A$5:$E$4000,5,FALSE),"")=0,"",IFERROR(VLOOKUP($B57,LINCE!$A$5:$E$4000,5,FALSE),""))</f>
        <v/>
      </c>
    </row>
    <row r="58" spans="1:5" ht="129.94999999999999" hidden="1" customHeight="1" x14ac:dyDescent="0.25">
      <c r="A58" s="1"/>
      <c r="B58" s="3">
        <v>7707586</v>
      </c>
      <c r="C58" s="4" t="str">
        <f>IF(IFERROR(VLOOKUP($B58,LINCE!$A$5:$D$4000,3,FALSE),"")=0,"",IFERROR(VLOOKUP($B58,LINCE!$A$5:$D$4000,3,FALSE),""))</f>
        <v>METAL LIBRITOS ESC DE CADETE FEM</v>
      </c>
      <c r="D58" s="4">
        <f>IF(IFERROR(VLOOKUP($B58,LINCE!$A$5:$D$4000,4,FALSE),"")=0,"",IFERROR(VLOOKUP($B58,LINCE!$A$5:$D$4000,4,FALSE),""))</f>
        <v>137.74</v>
      </c>
      <c r="E58" s="14">
        <f>IF(IFERROR(VLOOKUP($B58,LINCE!$A$5:$E$4000,5,FALSE),"")=0,"",IFERROR(VLOOKUP($B58,LINCE!$A$5:$E$4000,5,FALSE),""))</f>
        <v>50</v>
      </c>
    </row>
    <row r="59" spans="1:5" ht="129.94999999999999" hidden="1" customHeight="1" x14ac:dyDescent="0.25">
      <c r="A59" s="1"/>
      <c r="B59" s="3">
        <v>7707521</v>
      </c>
      <c r="C59" s="4" t="str">
        <f>IF(IFERROR(VLOOKUP($B59,LINCE!$A$5:$D$4000,3,FALSE),"")=0,"",IFERROR(VLOOKUP($B59,LINCE!$A$5:$D$4000,3,FALSE),""))</f>
        <v>METAL ESCARAPELA ESMALTADA LMGE FEM</v>
      </c>
      <c r="D59" s="4">
        <f>IF(IFERROR(VLOOKUP($B59,LINCE!$A$5:$D$4000,4,FALSE),"")=0,"",IFERROR(VLOOKUP($B59,LINCE!$A$5:$D$4000,4,FALSE),""))</f>
        <v>120</v>
      </c>
      <c r="E59" s="14">
        <f>IF(IFERROR(VLOOKUP($B59,LINCE!$A$5:$E$4000,5,FALSE),"")=0,"",IFERROR(VLOOKUP($B59,LINCE!$A$5:$E$4000,5,FALSE),""))</f>
        <v>273</v>
      </c>
    </row>
    <row r="60" spans="1:5" ht="129.94999999999999" hidden="1" customHeight="1" x14ac:dyDescent="0.25">
      <c r="A60" s="1"/>
      <c r="B60" s="3">
        <v>7707120</v>
      </c>
      <c r="C60" s="4" t="str">
        <f>IF(IFERROR(VLOOKUP($B60,LINCE!$A$5:$D$4000,3,FALSE),"")=0,"",IFERROR(VLOOKUP($B60,LINCE!$A$5:$D$4000,3,FALSE),""))</f>
        <v>METAL LAUREL SIMPLE GRANDE EL PAR C RER</v>
      </c>
      <c r="D60" s="4">
        <f>IF(IFERROR(VLOOKUP($B60,LINCE!$A$5:$D$4000,4,FALSE),"")=0,"",IFERROR(VLOOKUP($B60,LINCE!$A$5:$D$4000,4,FALSE),""))</f>
        <v>303.07</v>
      </c>
      <c r="E60" s="14" t="str">
        <f>IF(IFERROR(VLOOKUP($B60,LINCE!$A$5:$E$4000,5,FALSE),"")=0,"",IFERROR(VLOOKUP($B60,LINCE!$A$5:$E$4000,5,FALSE),""))</f>
        <v/>
      </c>
    </row>
    <row r="61" spans="1:5" ht="129.94999999999999" hidden="1" customHeight="1" x14ac:dyDescent="0.25">
      <c r="A61" s="1"/>
      <c r="B61" s="3">
        <v>7707324</v>
      </c>
      <c r="C61" s="4" t="str">
        <f>IF(IFERROR(VLOOKUP($B61,LINCE!$A$5:$D$4000,3,FALSE),"")=0,"",IFERROR(VLOOKUP($B61,LINCE!$A$5:$D$4000,3,FALSE),""))</f>
        <v>METAL HEBILLA RED TORREON PLATEADA RER</v>
      </c>
      <c r="D61" s="4">
        <f>IF(IFERROR(VLOOKUP($B61,LINCE!$A$5:$D$4000,4,FALSE),"")=0,"",IFERROR(VLOOKUP($B61,LINCE!$A$5:$D$4000,4,FALSE),""))</f>
        <v>531.07000000000005</v>
      </c>
      <c r="E61" s="14" t="str">
        <f>IF(IFERROR(VLOOKUP($B61,LINCE!$A$5:$E$4000,5,FALSE),"")=0,"",IFERROR(VLOOKUP($B61,LINCE!$A$5:$E$4000,5,FALSE),""))</f>
        <v/>
      </c>
    </row>
    <row r="62" spans="1:5" ht="129.94999999999999" hidden="1" customHeight="1" x14ac:dyDescent="0.25">
      <c r="A62" s="1"/>
      <c r="B62" s="3">
        <v>7707368</v>
      </c>
      <c r="C62" s="4" t="str">
        <f>IF(IFERROR(VLOOKUP($B62,LINCE!$A$5:$D$4000,3,FALSE),"")=0,"",IFERROR(VLOOKUP($B62,LINCE!$A$5:$D$4000,3,FALSE),""))</f>
        <v>METAL LANZAS CABALLERIA RER</v>
      </c>
      <c r="D62" s="4">
        <f>IF(IFERROR(VLOOKUP($B62,LINCE!$A$5:$D$4000,4,FALSE),"")=0,"",IFERROR(VLOOKUP($B62,LINCE!$A$5:$D$4000,4,FALSE),""))</f>
        <v>159.81</v>
      </c>
      <c r="E62" s="14">
        <f>IF(IFERROR(VLOOKUP($B62,LINCE!$A$5:$E$4000,5,FALSE),"")=0,"",IFERROR(VLOOKUP($B62,LINCE!$A$5:$E$4000,5,FALSE),""))</f>
        <v>22</v>
      </c>
    </row>
    <row r="63" spans="1:5" ht="129.94999999999999" hidden="1" customHeight="1" x14ac:dyDescent="0.25">
      <c r="A63" s="1"/>
      <c r="B63" s="3">
        <v>7707288</v>
      </c>
      <c r="C63" s="4" t="str">
        <f>IF(IFERROR(VLOOKUP($B63,LINCE!$A$5:$D$4000,3,FALSE),"")=0,"",IFERROR(VLOOKUP($B63,LINCE!$A$5:$D$4000,3,FALSE),""))</f>
        <v>METAL BOTON PATRIO 12 MM. PLATEADO FEM</v>
      </c>
      <c r="D63" s="4">
        <f>IF(IFERROR(VLOOKUP($B63,LINCE!$A$5:$D$4000,4,FALSE),"")=0,"",IFERROR(VLOOKUP($B63,LINCE!$A$5:$D$4000,4,FALSE),""))</f>
        <v>89.99</v>
      </c>
      <c r="E63" s="14" t="str">
        <f>IF(IFERROR(VLOOKUP($B63,LINCE!$A$5:$E$4000,5,FALSE),"")=0,"",IFERROR(VLOOKUP($B63,LINCE!$A$5:$E$4000,5,FALSE),""))</f>
        <v/>
      </c>
    </row>
    <row r="64" spans="1:5" ht="129.94999999999999" hidden="1" customHeight="1" x14ac:dyDescent="0.25">
      <c r="A64" s="1"/>
      <c r="B64" s="3">
        <v>7707508</v>
      </c>
      <c r="C64" s="4" t="str">
        <f>IF(IFERROR(VLOOKUP($B64,LINCE!$A$5:$D$4000,3,FALSE),"")=0,"",IFERROR(VLOOKUP($B64,LINCE!$A$5:$D$4000,3,FALSE),""))</f>
        <v>METAL BOTON PATRIO 12 MM DOR C/PATAS FEM</v>
      </c>
      <c r="D64" s="4">
        <f>IF(IFERROR(VLOOKUP($B64,LINCE!$A$5:$D$4000,4,FALSE),"")=0,"",IFERROR(VLOOKUP($B64,LINCE!$A$5:$D$4000,4,FALSE),""))</f>
        <v>90.75</v>
      </c>
      <c r="E64" s="14">
        <f>IF(IFERROR(VLOOKUP($B64,LINCE!$A$5:$E$4000,5,FALSE),"")=0,"",IFERROR(VLOOKUP($B64,LINCE!$A$5:$E$4000,5,FALSE),""))</f>
        <v>217</v>
      </c>
    </row>
    <row r="65" spans="1:5" ht="129.94999999999999" hidden="1" customHeight="1" x14ac:dyDescent="0.25">
      <c r="A65" s="1"/>
      <c r="B65" s="3">
        <v>7707322</v>
      </c>
      <c r="C65" s="4" t="str">
        <f>IF(IFERROR(VLOOKUP($B65,LINCE!$A$5:$D$4000,3,FALSE),"")=0,"",IFERROR(VLOOKUP($B65,LINCE!$A$5:$D$4000,3,FALSE),""))</f>
        <v>METAL HEBILLA RED TORREON DORADA RER</v>
      </c>
      <c r="D65" s="4">
        <f>IF(IFERROR(VLOOKUP($B65,LINCE!$A$5:$D$4000,4,FALSE),"")=0,"",IFERROR(VLOOKUP($B65,LINCE!$A$5:$D$4000,4,FALSE),""))</f>
        <v>531.07000000000005</v>
      </c>
      <c r="E65" s="14">
        <f>IF(IFERROR(VLOOKUP($B65,LINCE!$A$5:$E$4000,5,FALSE),"")=0,"",IFERROR(VLOOKUP($B65,LINCE!$A$5:$E$4000,5,FALSE),""))</f>
        <v>3</v>
      </c>
    </row>
    <row r="66" spans="1:5" ht="129.94999999999999" hidden="1" customHeight="1" x14ac:dyDescent="0.25">
      <c r="A66" s="1"/>
      <c r="B66" s="3">
        <v>7707532</v>
      </c>
      <c r="C66" s="4" t="str">
        <f>IF(IFERROR(VLOOKUP($B66,LINCE!$A$5:$D$4000,3,FALSE),"")=0,"",IFERROR(VLOOKUP($B66,LINCE!$A$5:$D$4000,3,FALSE),""))</f>
        <v>METAL HEBILLA RED ESC NAC PLAT LMGE FEM</v>
      </c>
      <c r="D66" s="4">
        <f>IF(IFERROR(VLOOKUP($B66,LINCE!$A$5:$D$4000,4,FALSE),"")=0,"",IFERROR(VLOOKUP($B66,LINCE!$A$5:$D$4000,4,FALSE),""))</f>
        <v>480</v>
      </c>
      <c r="E66" s="14">
        <f>IF(IFERROR(VLOOKUP($B66,LINCE!$A$5:$E$4000,5,FALSE),"")=0,"",IFERROR(VLOOKUP($B66,LINCE!$A$5:$E$4000,5,FALSE),""))</f>
        <v>98</v>
      </c>
    </row>
    <row r="67" spans="1:5" ht="129.94999999999999" hidden="1" customHeight="1" x14ac:dyDescent="0.25">
      <c r="A67" s="1"/>
      <c r="B67" s="3">
        <v>7707298</v>
      </c>
      <c r="C67" s="4" t="str">
        <f>IF(IFERROR(VLOOKUP($B67,LINCE!$A$5:$D$4000,3,FALSE),"")=0,"",IFERROR(VLOOKUP($B67,LINCE!$A$5:$D$4000,3,FALSE),""))</f>
        <v>METAL HEBILLA RED ESC NAC. DORADA FEM</v>
      </c>
      <c r="D67" s="4">
        <f>IF(IFERROR(VLOOKUP($B67,LINCE!$A$5:$D$4000,4,FALSE),"")=0,"",IFERROR(VLOOKUP($B67,LINCE!$A$5:$D$4000,4,FALSE),""))</f>
        <v>550</v>
      </c>
      <c r="E67" s="14">
        <f>IF(IFERROR(VLOOKUP($B67,LINCE!$A$5:$E$4000,5,FALSE),"")=0,"",IFERROR(VLOOKUP($B67,LINCE!$A$5:$E$4000,5,FALSE),""))</f>
        <v>23</v>
      </c>
    </row>
    <row r="68" spans="1:5" ht="129.94999999999999" hidden="1" customHeight="1" x14ac:dyDescent="0.25">
      <c r="A68" s="1"/>
      <c r="B68" s="3">
        <v>7707011</v>
      </c>
      <c r="C68" s="4" t="str">
        <f>IF(IFERROR(VLOOKUP($B68,LINCE!$A$5:$D$4000,3,FALSE),"")=0,"",IFERROR(VLOOKUP($B68,LINCE!$A$5:$D$4000,3,FALSE),""))</f>
        <v>METAL HEBILLA GALA C PASADOR LABRADO FEM</v>
      </c>
      <c r="D68" s="4">
        <f>IF(IFERROR(VLOOKUP($B68,LINCE!$A$5:$D$4000,4,FALSE),"")=0,"",IFERROR(VLOOKUP($B68,LINCE!$A$5:$D$4000,4,FALSE),""))</f>
        <v>1200</v>
      </c>
      <c r="E68" s="14">
        <f>IF(IFERROR(VLOOKUP($B68,LINCE!$A$5:$E$4000,5,FALSE),"")=0,"",IFERROR(VLOOKUP($B68,LINCE!$A$5:$E$4000,5,FALSE),""))</f>
        <v>4</v>
      </c>
    </row>
    <row r="69" spans="1:5" ht="129.94999999999999" hidden="1" customHeight="1" x14ac:dyDescent="0.25">
      <c r="A69" s="1"/>
      <c r="B69" s="3">
        <v>7707570</v>
      </c>
      <c r="C69" s="4" t="str">
        <f>IF(IFERROR(VLOOKUP($B69,LINCE!$A$5:$D$4000,3,FALSE),"")=0,"",IFERROR(VLOOKUP($B69,LINCE!$A$5:$D$4000,3,FALSE),""))</f>
        <v>METAL FUSILES CRUZADOS FEM</v>
      </c>
      <c r="D69" s="4">
        <f>IF(IFERROR(VLOOKUP($B69,LINCE!$A$5:$D$4000,4,FALSE),"")=0,"",IFERROR(VLOOKUP($B69,LINCE!$A$5:$D$4000,4,FALSE),""))</f>
        <v>145.19</v>
      </c>
      <c r="E69" s="14">
        <f>IF(IFERROR(VLOOKUP($B69,LINCE!$A$5:$E$4000,5,FALSE),"")=0,"",IFERROR(VLOOKUP($B69,LINCE!$A$5:$E$4000,5,FALSE),""))</f>
        <v>49</v>
      </c>
    </row>
    <row r="70" spans="1:5" ht="129.94999999999999" hidden="1" customHeight="1" x14ac:dyDescent="0.25">
      <c r="A70" s="1"/>
      <c r="B70" s="3">
        <v>7707522</v>
      </c>
      <c r="C70" s="4" t="str">
        <f>IF(IFERROR(VLOOKUP($B70,LINCE!$A$5:$D$4000,3,FALSE),"")=0,"",IFERROR(VLOOKUP($B70,LINCE!$A$5:$D$4000,3,FALSE),""))</f>
        <v>METAL ESTRELLA ANTIGUEDAD 5 PUNTAS FEM</v>
      </c>
      <c r="D70" s="4">
        <f>IF(IFERROR(VLOOKUP($B70,LINCE!$A$5:$D$4000,4,FALSE),"")=0,"",IFERROR(VLOOKUP($B70,LINCE!$A$5:$D$4000,4,FALSE),""))</f>
        <v>70</v>
      </c>
      <c r="E70" s="14">
        <f>IF(IFERROR(VLOOKUP($B70,LINCE!$A$5:$E$4000,5,FALSE),"")=0,"",IFERROR(VLOOKUP($B70,LINCE!$A$5:$E$4000,5,FALSE),""))</f>
        <v>133</v>
      </c>
    </row>
    <row r="71" spans="1:5" ht="129.94999999999999" hidden="1" customHeight="1" x14ac:dyDescent="0.25">
      <c r="A71" s="1"/>
      <c r="B71" s="3">
        <v>7707980</v>
      </c>
      <c r="C71" s="4" t="str">
        <f>IF(IFERROR(VLOOKUP($B71,LINCE!$A$5:$D$4000,3,FALSE),"")=0,"",IFERROR(VLOOKUP($B71,LINCE!$A$5:$D$4000,3,FALSE),""))</f>
        <v>METAL ESPADA CRUZADA STA CRUZ RER</v>
      </c>
      <c r="D71" s="4">
        <f>IF(IFERROR(VLOOKUP($B71,LINCE!$A$5:$D$4000,4,FALSE),"")=0,"",IFERROR(VLOOKUP($B71,LINCE!$A$5:$D$4000,4,FALSE),""))</f>
        <v>149.86000000000001</v>
      </c>
      <c r="E71" s="14" t="str">
        <f>IF(IFERROR(VLOOKUP($B71,LINCE!$A$5:$E$4000,5,FALSE),"")=0,"",IFERROR(VLOOKUP($B71,LINCE!$A$5:$E$4000,5,FALSE),""))</f>
        <v/>
      </c>
    </row>
    <row r="72" spans="1:5" ht="129.94999999999999" hidden="1" customHeight="1" x14ac:dyDescent="0.25">
      <c r="A72" s="1"/>
      <c r="B72" s="3">
        <v>7707519</v>
      </c>
      <c r="C72" s="4" t="str">
        <f>IF(IFERROR(VLOOKUP($B72,LINCE!$A$5:$D$4000,3,FALSE),"")=0,"",IFERROR(VLOOKUP($B72,LINCE!$A$5:$D$4000,3,FALSE),""))</f>
        <v>METAL ESC GORRA MZA OFIC (GRANDE) FEM</v>
      </c>
      <c r="D72" s="4">
        <f>IF(IFERROR(VLOOKUP($B72,LINCE!$A$5:$D$4000,4,FALSE),"")=0,"",IFERROR(VLOOKUP($B72,LINCE!$A$5:$D$4000,4,FALSE),""))</f>
        <v>599.99</v>
      </c>
      <c r="E72" s="14">
        <f>IF(IFERROR(VLOOKUP($B72,LINCE!$A$5:$E$4000,5,FALSE),"")=0,"",IFERROR(VLOOKUP($B72,LINCE!$A$5:$E$4000,5,FALSE),""))</f>
        <v>231</v>
      </c>
    </row>
    <row r="73" spans="1:5" ht="129.94999999999999" hidden="1" customHeight="1" x14ac:dyDescent="0.25">
      <c r="A73" s="1"/>
      <c r="B73" s="3">
        <v>7707952</v>
      </c>
      <c r="C73" s="4" t="str">
        <f>IF(IFERROR(VLOOKUP($B73,LINCE!$A$5:$D$4000,3,FALSE),"")=0,"",IFERROR(VLOOKUP($B73,LINCE!$A$5:$D$4000,3,FALSE),""))</f>
        <v>METAL ESC GORRA DORADO  POL. FED FEM</v>
      </c>
      <c r="D73" s="4">
        <f>IF(IFERROR(VLOOKUP($B73,LINCE!$A$5:$D$4000,4,FALSE),"")=0,"",IFERROR(VLOOKUP($B73,LINCE!$A$5:$D$4000,4,FALSE),""))</f>
        <v>604.99</v>
      </c>
      <c r="E73" s="14">
        <f>IF(IFERROR(VLOOKUP($B73,LINCE!$A$5:$E$4000,5,FALSE),"")=0,"",IFERROR(VLOOKUP($B73,LINCE!$A$5:$E$4000,5,FALSE),""))</f>
        <v>6</v>
      </c>
    </row>
    <row r="74" spans="1:5" ht="129.94999999999999" hidden="1" customHeight="1" x14ac:dyDescent="0.25">
      <c r="A74" s="1"/>
      <c r="B74" s="3">
        <v>7707545</v>
      </c>
      <c r="C74" s="4" t="str">
        <f>IF(IFERROR(VLOOKUP($B74,LINCE!$A$5:$D$4000,3,FALSE),"")=0,"",IFERROR(VLOOKUP($B74,LINCE!$A$5:$D$4000,3,FALSE),""))</f>
        <v>METAL CRISOL LMGE CHAQUETILLA FEM</v>
      </c>
      <c r="D74" s="4">
        <f>IF(IFERROR(VLOOKUP($B74,LINCE!$A$5:$D$4000,4,FALSE),"")=0,"",IFERROR(VLOOKUP($B74,LINCE!$A$5:$D$4000,4,FALSE),""))</f>
        <v>153.05000000000001</v>
      </c>
      <c r="E74" s="14" t="str">
        <f>IF(IFERROR(VLOOKUP($B74,LINCE!$A$5:$E$4000,5,FALSE),"")=0,"",IFERROR(VLOOKUP($B74,LINCE!$A$5:$E$4000,5,FALSE),""))</f>
        <v/>
      </c>
    </row>
    <row r="75" spans="1:5" ht="129.94999999999999" hidden="1" customHeight="1" x14ac:dyDescent="0.25">
      <c r="A75" s="1"/>
      <c r="B75" s="3">
        <v>7707285</v>
      </c>
      <c r="C75" s="4" t="str">
        <f>IF(IFERROR(VLOOKUP($B75,LINCE!$A$5:$D$4000,3,FALSE),"")=0,"",IFERROR(VLOOKUP($B75,LINCE!$A$5:$D$4000,3,FALSE),""))</f>
        <v>METAL BOTON PATRIO 22 MM. PLATEADO FEM</v>
      </c>
      <c r="D75" s="4">
        <f>IF(IFERROR(VLOOKUP($B75,LINCE!$A$5:$D$4000,4,FALSE),"")=0,"",IFERROR(VLOOKUP($B75,LINCE!$A$5:$D$4000,4,FALSE),""))</f>
        <v>114.95</v>
      </c>
      <c r="E75" s="14" t="str">
        <f>IF(IFERROR(VLOOKUP($B75,LINCE!$A$5:$E$4000,5,FALSE),"")=0,"",IFERROR(VLOOKUP($B75,LINCE!$A$5:$E$4000,5,FALSE),""))</f>
        <v/>
      </c>
    </row>
    <row r="76" spans="1:5" ht="129.94999999999999" hidden="1" customHeight="1" x14ac:dyDescent="0.25">
      <c r="A76" s="1"/>
      <c r="B76" s="3">
        <v>7707505</v>
      </c>
      <c r="C76" s="4" t="str">
        <f>IF(IFERROR(VLOOKUP($B76,LINCE!$A$5:$D$4000,3,FALSE),"")=0,"",IFERROR(VLOOKUP($B76,LINCE!$A$5:$D$4000,3,FALSE),""))</f>
        <v>METAL BOTON PATRIO 22 MM. DORA FEM</v>
      </c>
      <c r="D76" s="4">
        <f>IF(IFERROR(VLOOKUP($B76,LINCE!$A$5:$D$4000,4,FALSE),"")=0,"",IFERROR(VLOOKUP($B76,LINCE!$A$5:$D$4000,4,FALSE),""))</f>
        <v>114.95</v>
      </c>
      <c r="E76" s="14">
        <f>IF(IFERROR(VLOOKUP($B76,LINCE!$A$5:$E$4000,5,FALSE),"")=0,"",IFERROR(VLOOKUP($B76,LINCE!$A$5:$E$4000,5,FALSE),""))</f>
        <v>10</v>
      </c>
    </row>
    <row r="77" spans="1:5" ht="129.94999999999999" hidden="1" customHeight="1" x14ac:dyDescent="0.25">
      <c r="A77" s="1"/>
      <c r="B77" s="3">
        <v>7707284</v>
      </c>
      <c r="C77" s="4" t="str">
        <f>IF(IFERROR(VLOOKUP($B77,LINCE!$A$5:$D$4000,3,FALSE),"")=0,"",IFERROR(VLOOKUP($B77,LINCE!$A$5:$D$4000,3,FALSE),""))</f>
        <v>METAL BOTON PATRIO 16 MM PLATEA OJAL FEM</v>
      </c>
      <c r="D77" s="4">
        <f>IF(IFERROR(VLOOKUP($B77,LINCE!$A$5:$D$4000,4,FALSE),"")=0,"",IFERROR(VLOOKUP($B77,LINCE!$A$5:$D$4000,4,FALSE),""))</f>
        <v>102.85</v>
      </c>
      <c r="E77" s="14">
        <f>IF(IFERROR(VLOOKUP($B77,LINCE!$A$5:$E$4000,5,FALSE),"")=0,"",IFERROR(VLOOKUP($B77,LINCE!$A$5:$E$4000,5,FALSE),""))</f>
        <v>7</v>
      </c>
    </row>
    <row r="78" spans="1:5" ht="129.94999999999999" hidden="1" customHeight="1" x14ac:dyDescent="0.25">
      <c r="A78" s="1"/>
      <c r="B78" s="3">
        <v>7707504</v>
      </c>
      <c r="C78" s="4" t="str">
        <f>IF(IFERROR(VLOOKUP($B78,LINCE!$A$5:$D$4000,3,FALSE),"")=0,"",IFERROR(VLOOKUP($B78,LINCE!$A$5:$D$4000,3,FALSE),""))</f>
        <v>METAL BOTON PATRIO 16 MM. DORA OJAL FEM</v>
      </c>
      <c r="D78" s="4">
        <f>IF(IFERROR(VLOOKUP($B78,LINCE!$A$5:$D$4000,4,FALSE),"")=0,"",IFERROR(VLOOKUP($B78,LINCE!$A$5:$D$4000,4,FALSE),""))</f>
        <v>99</v>
      </c>
      <c r="E78" s="14">
        <f>IF(IFERROR(VLOOKUP($B78,LINCE!$A$5:$E$4000,5,FALSE),"")=0,"",IFERROR(VLOOKUP($B78,LINCE!$A$5:$E$4000,5,FALSE),""))</f>
        <v>31</v>
      </c>
    </row>
    <row r="79" spans="1:5" ht="129.94999999999999" hidden="1" customHeight="1" x14ac:dyDescent="0.25">
      <c r="A79" s="1"/>
      <c r="B79" s="3">
        <v>7707502</v>
      </c>
      <c r="C79" s="4" t="str">
        <f>IF(IFERROR(VLOOKUP($B79,LINCE!$A$5:$D$4000,3,FALSE),"")=0,"",IFERROR(VLOOKUP($B79,LINCE!$A$5:$D$4000,3,FALSE),""))</f>
        <v>METAL BARRA DE CURSO CADETE LMGE FEM</v>
      </c>
      <c r="D79" s="4">
        <f>IF(IFERROR(VLOOKUP($B79,LINCE!$A$5:$D$4000,4,FALSE),"")=0,"",IFERROR(VLOOKUP($B79,LINCE!$A$5:$D$4000,4,FALSE),""))</f>
        <v>110</v>
      </c>
      <c r="E79" s="14">
        <f>IF(IFERROR(VLOOKUP($B79,LINCE!$A$5:$E$4000,5,FALSE),"")=0,"",IFERROR(VLOOKUP($B79,LINCE!$A$5:$E$4000,5,FALSE),""))</f>
        <v>383</v>
      </c>
    </row>
    <row r="80" spans="1:5" ht="129.94999999999999" hidden="1" customHeight="1" x14ac:dyDescent="0.25">
      <c r="A80" s="1"/>
      <c r="B80" s="3">
        <v>7710001</v>
      </c>
      <c r="C80" s="4" t="str">
        <f>IF(IFERROR(VLOOKUP($B80,LINCE!$A$5:$D$4000,3,FALSE),"")=0,"",IFERROR(VLOOKUP($B80,LINCE!$A$5:$D$4000,3,FALSE),""))</f>
        <v>ESC GOMA POLICIA DE MENDOZA</v>
      </c>
      <c r="D80" s="4">
        <f>IF(IFERROR(VLOOKUP($B80,LINCE!$A$5:$D$4000,4,FALSE),"")=0,"",IFERROR(VLOOKUP($B80,LINCE!$A$5:$D$4000,4,FALSE),""))</f>
        <v>465.84</v>
      </c>
      <c r="E80" s="14">
        <f>IF(IFERROR(VLOOKUP($B80,LINCE!$A$5:$E$4000,5,FALSE),"")=0,"",IFERROR(VLOOKUP($B80,LINCE!$A$5:$E$4000,5,FALSE),""))</f>
        <v>217</v>
      </c>
    </row>
    <row r="81" spans="1:5" ht="129.94999999999999" hidden="1" customHeight="1" x14ac:dyDescent="0.25">
      <c r="A81" s="1"/>
      <c r="B81" s="3">
        <v>7709062</v>
      </c>
      <c r="C81" s="4" t="str">
        <f>IF(IFERROR(VLOOKUP($B81,LINCE!$A$5:$D$4000,3,FALSE),"")=0,"",IFERROR(VLOOKUP($B81,LINCE!$A$5:$D$4000,3,FALSE),""))</f>
        <v>ESC BORD PSA AEROPORTUARIA</v>
      </c>
      <c r="D81" s="4">
        <f>IF(IFERROR(VLOOKUP($B81,LINCE!$A$5:$D$4000,4,FALSE),"")=0,"",IFERROR(VLOOKUP($B81,LINCE!$A$5:$D$4000,4,FALSE),""))</f>
        <v>329.1</v>
      </c>
      <c r="E81" s="14">
        <f>IF(IFERROR(VLOOKUP($B81,LINCE!$A$5:$E$4000,5,FALSE),"")=0,"",IFERROR(VLOOKUP($B81,LINCE!$A$5:$E$4000,5,FALSE),""))</f>
        <v>15</v>
      </c>
    </row>
    <row r="82" spans="1:5" ht="129.94999999999999" hidden="1" customHeight="1" x14ac:dyDescent="0.25">
      <c r="A82" s="1"/>
      <c r="B82" s="3">
        <v>7709017</v>
      </c>
      <c r="C82" s="4" t="str">
        <f>IF(IFERROR(VLOOKUP($B82,LINCE!$A$5:$D$4000,3,FALSE),"")=0,"",IFERROR(VLOOKUP($B82,LINCE!$A$5:$D$4000,3,FALSE),""))</f>
        <v>ESC BORD MZA DEFENSA CIVIL</v>
      </c>
      <c r="D82" s="4">
        <f>IF(IFERROR(VLOOKUP($B82,LINCE!$A$5:$D$4000,4,FALSE),"")=0,"",IFERROR(VLOOKUP($B82,LINCE!$A$5:$D$4000,4,FALSE),""))</f>
        <v>325.56</v>
      </c>
      <c r="E82" s="14">
        <f>IF(IFERROR(VLOOKUP($B82,LINCE!$A$5:$E$4000,5,FALSE),"")=0,"",IFERROR(VLOOKUP($B82,LINCE!$A$5:$E$4000,5,FALSE),""))</f>
        <v>1</v>
      </c>
    </row>
    <row r="83" spans="1:5" ht="129.94999999999999" hidden="1" customHeight="1" x14ac:dyDescent="0.25">
      <c r="A83" s="1"/>
      <c r="B83" s="3">
        <v>7709787</v>
      </c>
      <c r="C83" s="4" t="str">
        <f>IF(IFERROR(VLOOKUP($B83,LINCE!$A$5:$D$4000,3,FALSE),"")=0,"",IFERROR(VLOOKUP($B83,LINCE!$A$5:$D$4000,3,FALSE),""))</f>
        <v>ESC BORD MZA UPP PARQUE BRAZO   BARG</v>
      </c>
      <c r="D83" s="4">
        <f>IF(IFERROR(VLOOKUP($B83,LINCE!$A$5:$D$4000,4,FALSE),"")=0,"",IFERROR(VLOOKUP($B83,LINCE!$A$5:$D$4000,4,FALSE),""))</f>
        <v>275.48</v>
      </c>
      <c r="E83" s="14" t="str">
        <f>IF(IFERROR(VLOOKUP($B83,LINCE!$A$5:$E$4000,5,FALSE),"")=0,"",IFERROR(VLOOKUP($B83,LINCE!$A$5:$E$4000,5,FALSE),""))</f>
        <v/>
      </c>
    </row>
    <row r="84" spans="1:5" ht="129.94999999999999" hidden="1" customHeight="1" x14ac:dyDescent="0.25">
      <c r="A84" s="1"/>
      <c r="B84" s="3">
        <v>7709755</v>
      </c>
      <c r="C84" s="4" t="str">
        <f>IF(IFERROR(VLOOKUP($B84,LINCE!$A$5:$D$4000,3,FALSE),"")=0,"",IFERROR(VLOOKUP($B84,LINCE!$A$5:$D$4000,3,FALSE),""))</f>
        <v>ESC BORD MZA UPAT</v>
      </c>
      <c r="D84" s="4">
        <f>IF(IFERROR(VLOOKUP($B84,LINCE!$A$5:$D$4000,4,FALSE),"")=0,"",IFERROR(VLOOKUP($B84,LINCE!$A$5:$D$4000,4,FALSE),""))</f>
        <v>290.81</v>
      </c>
      <c r="E84" s="14">
        <f>IF(IFERROR(VLOOKUP($B84,LINCE!$A$5:$E$4000,5,FALSE),"")=0,"",IFERROR(VLOOKUP($B84,LINCE!$A$5:$E$4000,5,FALSE),""))</f>
        <v>8</v>
      </c>
    </row>
    <row r="85" spans="1:5" ht="129.94999999999999" hidden="1" customHeight="1" x14ac:dyDescent="0.25">
      <c r="A85" s="1"/>
      <c r="B85" s="3">
        <v>7709661</v>
      </c>
      <c r="C85" s="4" t="str">
        <f>IF(IFERROR(VLOOKUP($B85,LINCE!$A$5:$D$4000,3,FALSE),"")=0,"",IFERROR(VLOOKUP($B85,LINCE!$A$5:$D$4000,3,FALSE),""))</f>
        <v>ESC BORD MZA UEP BAJA TUPUNGATO</v>
      </c>
      <c r="D85" s="4">
        <f>IF(IFERROR(VLOOKUP($B85,LINCE!$A$5:$D$4000,4,FALSE),"")=0,"",IFERROR(VLOOKUP($B85,LINCE!$A$5:$D$4000,4,FALSE),""))</f>
        <v>320.55</v>
      </c>
      <c r="E85" s="14" t="str">
        <f>IF(IFERROR(VLOOKUP($B85,LINCE!$A$5:$E$4000,5,FALSE),"")=0,"",IFERROR(VLOOKUP($B85,LINCE!$A$5:$E$4000,5,FALSE),""))</f>
        <v/>
      </c>
    </row>
    <row r="86" spans="1:5" ht="129.94999999999999" hidden="1" customHeight="1" x14ac:dyDescent="0.25">
      <c r="A86" s="1"/>
      <c r="B86" s="3">
        <v>7709662</v>
      </c>
      <c r="C86" s="4" t="str">
        <f>IF(IFERROR(VLOOKUP($B86,LINCE!$A$5:$D$4000,3,FALSE),"")=0,"",IFERROR(VLOOKUP($B86,LINCE!$A$5:$D$4000,3,FALSE),""))</f>
        <v>ESC BORD MZA UEP CAPITAL</v>
      </c>
      <c r="D86" s="4">
        <f>IF(IFERROR(VLOOKUP($B86,LINCE!$A$5:$D$4000,4,FALSE),"")=0,"",IFERROR(VLOOKUP($B86,LINCE!$A$5:$D$4000,4,FALSE),""))</f>
        <v>413.26</v>
      </c>
      <c r="E86" s="14" t="str">
        <f>IF(IFERROR(VLOOKUP($B86,LINCE!$A$5:$E$4000,5,FALSE),"")=0,"",IFERROR(VLOOKUP($B86,LINCE!$A$5:$E$4000,5,FALSE),""))</f>
        <v/>
      </c>
    </row>
    <row r="87" spans="1:5" ht="129.94999999999999" hidden="1" customHeight="1" x14ac:dyDescent="0.25">
      <c r="A87" s="1"/>
      <c r="B87" s="3">
        <v>7709668</v>
      </c>
      <c r="C87" s="4" t="str">
        <f>IF(IFERROR(VLOOKUP($B87,LINCE!$A$5:$D$4000,3,FALSE),"")=0,"",IFERROR(VLOOKUP($B87,LINCE!$A$5:$D$4000,3,FALSE),""))</f>
        <v>ESC UNIDAD CUERPOS ESPECIALES</v>
      </c>
      <c r="D87" s="4">
        <f>IF(IFERROR(VLOOKUP($B87,LINCE!$A$5:$D$4000,4,FALSE),"")=0,"",IFERROR(VLOOKUP($B87,LINCE!$A$5:$D$4000,4,FALSE),""))</f>
        <v>201.23</v>
      </c>
      <c r="E87" s="14" t="str">
        <f>IF(IFERROR(VLOOKUP($B87,LINCE!$A$5:$E$4000,5,FALSE),"")=0,"",IFERROR(VLOOKUP($B87,LINCE!$A$5:$E$4000,5,FALSE),""))</f>
        <v/>
      </c>
    </row>
    <row r="88" spans="1:5" ht="129.94999999999999" hidden="1" customHeight="1" x14ac:dyDescent="0.25">
      <c r="A88" s="1"/>
      <c r="B88" s="3">
        <v>7709421</v>
      </c>
      <c r="C88" s="4" t="str">
        <f>IF(IFERROR(VLOOKUP($B88,LINCE!$A$5:$D$4000,3,FALSE),"")=0,"",IFERROR(VLOOKUP($B88,LINCE!$A$5:$D$4000,3,FALSE),""))</f>
        <v>ESC BORD MZA PENIT.SEG.EXT NEGROS T</v>
      </c>
      <c r="D88" s="4">
        <f>IF(IFERROR(VLOOKUP($B88,LINCE!$A$5:$D$4000,4,FALSE),"")=0,"",IFERROR(VLOOKUP($B88,LINCE!$A$5:$D$4000,4,FALSE),""))</f>
        <v>332.74</v>
      </c>
      <c r="E88" s="14" t="str">
        <f>IF(IFERROR(VLOOKUP($B88,LINCE!$A$5:$E$4000,5,FALSE),"")=0,"",IFERROR(VLOOKUP($B88,LINCE!$A$5:$E$4000,5,FALSE),""))</f>
        <v/>
      </c>
    </row>
    <row r="89" spans="1:5" ht="129.94999999999999" hidden="1" customHeight="1" x14ac:dyDescent="0.25">
      <c r="A89" s="1"/>
      <c r="B89" s="3">
        <v>7709712</v>
      </c>
      <c r="C89" s="4" t="str">
        <f>IF(IFERROR(VLOOKUP($B89,LINCE!$A$5:$D$4000,3,FALSE),"")=0,"",IFERROR(VLOOKUP($B89,LINCE!$A$5:$D$4000,3,FALSE),""))</f>
        <v>ESC BORD MZA PENIT. CONDOR  BARG</v>
      </c>
      <c r="D89" s="4">
        <f>IF(IFERROR(VLOOKUP($B89,LINCE!$A$5:$D$4000,4,FALSE),"")=0,"",IFERROR(VLOOKUP($B89,LINCE!$A$5:$D$4000,4,FALSE),""))</f>
        <v>260.22000000000003</v>
      </c>
      <c r="E89" s="14" t="str">
        <f>IF(IFERROR(VLOOKUP($B89,LINCE!$A$5:$E$4000,5,FALSE),"")=0,"",IFERROR(VLOOKUP($B89,LINCE!$A$5:$E$4000,5,FALSE),""))</f>
        <v/>
      </c>
    </row>
    <row r="90" spans="1:5" ht="129.94999999999999" hidden="1" customHeight="1" x14ac:dyDescent="0.25">
      <c r="A90" s="1"/>
      <c r="B90" s="3">
        <v>7709943</v>
      </c>
      <c r="C90" s="4" t="str">
        <f>IF(IFERROR(VLOOKUP($B90,LINCE!$A$5:$D$4000,3,FALSE),"")=0,"",IFERROR(VLOOKUP($B90,LINCE!$A$5:$D$4000,3,FALSE),""))</f>
        <v>ESC BORD MZA SANIDAD POLICIAL</v>
      </c>
      <c r="D90" s="4">
        <f>IF(IFERROR(VLOOKUP($B90,LINCE!$A$5:$D$4000,4,FALSE),"")=0,"",IFERROR(VLOOKUP($B90,LINCE!$A$5:$D$4000,4,FALSE),""))</f>
        <v>339.43</v>
      </c>
      <c r="E90" s="14">
        <f>IF(IFERROR(VLOOKUP($B90,LINCE!$A$5:$E$4000,5,FALSE),"")=0,"",IFERROR(VLOOKUP($B90,LINCE!$A$5:$E$4000,5,FALSE),""))</f>
        <v>3</v>
      </c>
    </row>
    <row r="91" spans="1:5" ht="129.94999999999999" hidden="1" customHeight="1" x14ac:dyDescent="0.25">
      <c r="A91" s="1"/>
      <c r="B91" s="3">
        <v>7709156</v>
      </c>
      <c r="C91" s="4" t="str">
        <f>IF(IFERROR(VLOOKUP($B91,LINCE!$A$5:$D$4000,3,FALSE),"")=0,"",IFERROR(VLOOKUP($B91,LINCE!$A$5:$D$4000,3,FALSE),""))</f>
        <v>ESC BORD MZA VIAL P/ BRAZO TVS424-0</v>
      </c>
      <c r="D91" s="4">
        <f>IF(IFERROR(VLOOKUP($B91,LINCE!$A$5:$D$4000,4,FALSE),"")=0,"",IFERROR(VLOOKUP($B91,LINCE!$A$5:$D$4000,4,FALSE),""))</f>
        <v>350.58</v>
      </c>
      <c r="E91" s="14">
        <f>IF(IFERROR(VLOOKUP($B91,LINCE!$A$5:$E$4000,5,FALSE),"")=0,"",IFERROR(VLOOKUP($B91,LINCE!$A$5:$E$4000,5,FALSE),""))</f>
        <v>36</v>
      </c>
    </row>
    <row r="92" spans="1:5" ht="129.94999999999999" hidden="1" customHeight="1" x14ac:dyDescent="0.25">
      <c r="A92" s="1"/>
      <c r="B92" s="3">
        <v>7709753</v>
      </c>
      <c r="C92" s="4" t="str">
        <f>IF(IFERROR(VLOOKUP($B92,LINCE!$A$5:$D$4000,3,FALSE),"")=0,"",IFERROR(VLOOKUP($B92,LINCE!$A$5:$D$4000,3,FALSE),""))</f>
        <v>ESC BORD MZA CABALLERIA TV 424-14</v>
      </c>
      <c r="D92" s="4">
        <f>IF(IFERROR(VLOOKUP($B92,LINCE!$A$5:$D$4000,4,FALSE),"")=0,"",IFERROR(VLOOKUP($B92,LINCE!$A$5:$D$4000,4,FALSE),""))</f>
        <v>325.56</v>
      </c>
      <c r="E92" s="14">
        <f>IF(IFERROR(VLOOKUP($B92,LINCE!$A$5:$E$4000,5,FALSE),"")=0,"",IFERROR(VLOOKUP($B92,LINCE!$A$5:$E$4000,5,FALSE),""))</f>
        <v>8</v>
      </c>
    </row>
    <row r="93" spans="1:5" ht="129.94999999999999" hidden="1" customHeight="1" x14ac:dyDescent="0.25">
      <c r="A93" s="1"/>
      <c r="B93" s="3">
        <v>7709786</v>
      </c>
      <c r="C93" s="4" t="str">
        <f>IF(IFERROR(VLOOKUP($B93,LINCE!$A$5:$D$4000,3,FALSE),"")=0,"",IFERROR(VLOOKUP($B93,LINCE!$A$5:$D$4000,3,FALSE),""))</f>
        <v>ESC BORD MZA TRANVIA</v>
      </c>
      <c r="D93" s="4">
        <f>IF(IFERROR(VLOOKUP($B93,LINCE!$A$5:$D$4000,4,FALSE),"")=0,"",IFERROR(VLOOKUP($B93,LINCE!$A$5:$D$4000,4,FALSE),""))</f>
        <v>325.56</v>
      </c>
      <c r="E93" s="14" t="str">
        <f>IF(IFERROR(VLOOKUP($B93,LINCE!$A$5:$E$4000,5,FALSE),"")=0,"",IFERROR(VLOOKUP($B93,LINCE!$A$5:$E$4000,5,FALSE),""))</f>
        <v/>
      </c>
    </row>
    <row r="94" spans="1:5" ht="129.94999999999999" hidden="1" customHeight="1" x14ac:dyDescent="0.25">
      <c r="A94" s="1"/>
      <c r="B94" s="3">
        <v>7709420</v>
      </c>
      <c r="C94" s="4" t="str">
        <f>IF(IFERROR(VLOOKUP($B94,LINCE!$A$5:$D$4000,3,FALSE),"")=0,"",IFERROR(VLOOKUP($B94,LINCE!$A$5:$D$4000,3,FALSE),""))</f>
        <v>ESC BORD MZA UMAR MANGA  TVS424-0</v>
      </c>
      <c r="D94" s="4">
        <f>IF(IFERROR(VLOOKUP($B94,LINCE!$A$5:$D$4000,4,FALSE),"")=0,"",IFERROR(VLOOKUP($B94,LINCE!$A$5:$D$4000,4,FALSE),""))</f>
        <v>275.48</v>
      </c>
      <c r="E94" s="14">
        <f>IF(IFERROR(VLOOKUP($B94,LINCE!$A$5:$E$4000,5,FALSE),"")=0,"",IFERROR(VLOOKUP($B94,LINCE!$A$5:$E$4000,5,FALSE),""))</f>
        <v>25</v>
      </c>
    </row>
    <row r="95" spans="1:5" ht="129.94999999999999" hidden="1" customHeight="1" x14ac:dyDescent="0.25">
      <c r="A95" s="1"/>
      <c r="B95" s="3">
        <v>7709380</v>
      </c>
      <c r="C95" s="4" t="str">
        <f>IF(IFERROR(VLOOKUP($B95,LINCE!$A$5:$D$4000,3,FALSE),"")=0,"",IFERROR(VLOOKUP($B95,LINCE!$A$5:$D$4000,3,FALSE),""))</f>
        <v>ESC BORD MZA UCAR MANGA BB TVS424-0</v>
      </c>
      <c r="D95" s="4">
        <f>IF(IFERROR(VLOOKUP($B95,LINCE!$A$5:$D$4000,4,FALSE),"")=0,"",IFERROR(VLOOKUP($B95,LINCE!$A$5:$D$4000,4,FALSE),""))</f>
        <v>325.52</v>
      </c>
      <c r="E95" s="14">
        <f>IF(IFERROR(VLOOKUP($B95,LINCE!$A$5:$E$4000,5,FALSE),"")=0,"",IFERROR(VLOOKUP($B95,LINCE!$A$5:$E$4000,5,FALSE),""))</f>
        <v>18</v>
      </c>
    </row>
    <row r="96" spans="1:5" ht="129.94999999999999" hidden="1" customHeight="1" x14ac:dyDescent="0.25">
      <c r="A96" s="1"/>
      <c r="B96" s="3">
        <v>7709854</v>
      </c>
      <c r="C96" s="4" t="str">
        <f>IF(IFERROR(VLOOKUP($B96,LINCE!$A$5:$D$4000,3,FALSE),"")=0,"",IFERROR(VLOOKUP($B96,LINCE!$A$5:$D$4000,3,FALSE),""))</f>
        <v>ESC BORD MZA CANES BRAZO</v>
      </c>
      <c r="D96" s="4">
        <f>IF(IFERROR(VLOOKUP($B96,LINCE!$A$5:$D$4000,4,FALSE),"")=0,"",IFERROR(VLOOKUP($B96,LINCE!$A$5:$D$4000,4,FALSE),""))</f>
        <v>325.56</v>
      </c>
      <c r="E96" s="14">
        <f>IF(IFERROR(VLOOKUP($B96,LINCE!$A$5:$E$4000,5,FALSE),"")=0,"",IFERROR(VLOOKUP($B96,LINCE!$A$5:$E$4000,5,FALSE),""))</f>
        <v>11</v>
      </c>
    </row>
    <row r="97" spans="1:5" ht="129.94999999999999" hidden="1" customHeight="1" x14ac:dyDescent="0.25">
      <c r="A97" s="1"/>
      <c r="B97" s="3">
        <v>7709680</v>
      </c>
      <c r="C97" s="4" t="str">
        <f>IF(IFERROR(VLOOKUP($B97,LINCE!$A$5:$D$4000,3,FALSE),"")=0,"",IFERROR(VLOOKUP($B97,LINCE!$A$5:$D$4000,3,FALSE),""))</f>
        <v>ESC BORD MZA RURAL  MANGA TVS</v>
      </c>
      <c r="D97" s="4">
        <f>IF(IFERROR(VLOOKUP($B97,LINCE!$A$5:$D$4000,4,FALSE),"")=0,"",IFERROR(VLOOKUP($B97,LINCE!$A$5:$D$4000,4,FALSE),""))</f>
        <v>300.52999999999997</v>
      </c>
      <c r="E97" s="14" t="str">
        <f>IF(IFERROR(VLOOKUP($B97,LINCE!$A$5:$E$4000,5,FALSE),"")=0,"",IFERROR(VLOOKUP($B97,LINCE!$A$5:$E$4000,5,FALSE),""))</f>
        <v/>
      </c>
    </row>
    <row r="98" spans="1:5" ht="129.94999999999999" hidden="1" customHeight="1" x14ac:dyDescent="0.25">
      <c r="A98" s="1"/>
      <c r="B98" s="3">
        <v>7709333</v>
      </c>
      <c r="C98" s="4" t="str">
        <f>IF(IFERROR(VLOOKUP($B98,LINCE!$A$5:$D$4000,3,FALSE),"")=0,"",IFERROR(VLOOKUP($B98,LINCE!$A$5:$D$4000,3,FALSE),""))</f>
        <v>ESC BORD MZA POL VIEJO MODELO   BARG</v>
      </c>
      <c r="D98" s="4">
        <f>IF(IFERROR(VLOOKUP($B98,LINCE!$A$5:$D$4000,4,FALSE),"")=0,"",IFERROR(VLOOKUP($B98,LINCE!$A$5:$D$4000,4,FALSE),""))</f>
        <v>333.91</v>
      </c>
      <c r="E98" s="14">
        <f>IF(IFERROR(VLOOKUP($B98,LINCE!$A$5:$E$4000,5,FALSE),"")=0,"",IFERROR(VLOOKUP($B98,LINCE!$A$5:$E$4000,5,FALSE),""))</f>
        <v>30</v>
      </c>
    </row>
    <row r="99" spans="1:5" ht="129.94999999999999" hidden="1" customHeight="1" x14ac:dyDescent="0.25">
      <c r="A99" s="1"/>
      <c r="B99" s="3">
        <v>7709665</v>
      </c>
      <c r="C99" s="4" t="str">
        <f>IF(IFERROR(VLOOKUP($B99,LINCE!$A$5:$D$4000,3,FALSE),"")=0,"",IFERROR(VLOOKUP($B99,LINCE!$A$5:$D$4000,3,FALSE),""))</f>
        <v>ESC BORD MZA POL. NUEVO MODELO BARG</v>
      </c>
      <c r="D99" s="4">
        <f>IF(IFERROR(VLOOKUP($B99,LINCE!$A$5:$D$4000,4,FALSE),"")=0,"",IFERROR(VLOOKUP($B99,LINCE!$A$5:$D$4000,4,FALSE),""))</f>
        <v>321.42</v>
      </c>
      <c r="E99" s="14">
        <f>IF(IFERROR(VLOOKUP($B99,LINCE!$A$5:$E$4000,5,FALSE),"")=0,"",IFERROR(VLOOKUP($B99,LINCE!$A$5:$E$4000,5,FALSE),""))</f>
        <v>90</v>
      </c>
    </row>
    <row r="100" spans="1:5" ht="129.94999999999999" hidden="1" customHeight="1" x14ac:dyDescent="0.25">
      <c r="A100" s="1"/>
      <c r="B100" s="3">
        <v>7709650</v>
      </c>
      <c r="C100" s="4" t="str">
        <f>IF(IFERROR(VLOOKUP($B100,LINCE!$A$5:$D$4000,3,FALSE),"")=0,"",IFERROR(VLOOKUP($B100,LINCE!$A$5:$D$4000,3,FALSE),""))</f>
        <v>ESC BORD MZA POLICIA CIENTIFICA</v>
      </c>
      <c r="D100" s="4">
        <f>IF(IFERROR(VLOOKUP($B100,LINCE!$A$5:$D$4000,4,FALSE),"")=0,"",IFERROR(VLOOKUP($B100,LINCE!$A$5:$D$4000,4,FALSE),""))</f>
        <v>306.12</v>
      </c>
      <c r="E100" s="14">
        <f>IF(IFERROR(VLOOKUP($B100,LINCE!$A$5:$E$4000,5,FALSE),"")=0,"",IFERROR(VLOOKUP($B100,LINCE!$A$5:$E$4000,5,FALSE),""))</f>
        <v>15</v>
      </c>
    </row>
    <row r="101" spans="1:5" ht="129.94999999999999" hidden="1" customHeight="1" x14ac:dyDescent="0.25">
      <c r="A101" s="1"/>
      <c r="B101" s="3">
        <v>7709396</v>
      </c>
      <c r="C101" s="4" t="str">
        <f>IF(IFERROR(VLOOKUP($B101,LINCE!$A$5:$D$4000,3,FALSE),"")=0,"",IFERROR(VLOOKUP($B101,LINCE!$A$5:$D$4000,3,FALSE),""))</f>
        <v>ESC BORD MZA PENIT DIVISION TRASLADO</v>
      </c>
      <c r="D101" s="4">
        <f>IF(IFERROR(VLOOKUP($B101,LINCE!$A$5:$D$4000,4,FALSE),"")=0,"",IFERROR(VLOOKUP($B101,LINCE!$A$5:$D$4000,4,FALSE),""))</f>
        <v>471.43</v>
      </c>
      <c r="E101" s="14">
        <f>IF(IFERROR(VLOOKUP($B101,LINCE!$A$5:$E$4000,5,FALSE),"")=0,"",IFERROR(VLOOKUP($B101,LINCE!$A$5:$E$4000,5,FALSE),""))</f>
        <v>18</v>
      </c>
    </row>
    <row r="102" spans="1:5" ht="129.94999999999999" hidden="1" customHeight="1" x14ac:dyDescent="0.25">
      <c r="A102" s="1"/>
      <c r="B102" s="3">
        <v>7709867</v>
      </c>
      <c r="C102" s="4" t="str">
        <f>IF(IFERROR(VLOOKUP($B102,LINCE!$A$5:$D$4000,3,FALSE),"")=0,"",IFERROR(VLOOKUP($B102,LINCE!$A$5:$D$4000,3,FALSE),""))</f>
        <v>ESC BORD MZA PENIT ALMAF. BD</v>
      </c>
      <c r="D102" s="4">
        <f>IF(IFERROR(VLOOKUP($B102,LINCE!$A$5:$D$4000,4,FALSE),"")=0,"",IFERROR(VLOOKUP($B102,LINCE!$A$5:$D$4000,4,FALSE),""))</f>
        <v>250.44</v>
      </c>
      <c r="E102" s="14">
        <f>IF(IFERROR(VLOOKUP($B102,LINCE!$A$5:$E$4000,5,FALSE),"")=0,"",IFERROR(VLOOKUP($B102,LINCE!$A$5:$E$4000,5,FALSE),""))</f>
        <v>13</v>
      </c>
    </row>
    <row r="103" spans="1:5" ht="129.94999999999999" hidden="1" customHeight="1" x14ac:dyDescent="0.25">
      <c r="A103" s="1"/>
      <c r="B103" s="3">
        <v>7709245</v>
      </c>
      <c r="C103" s="4" t="str">
        <f>IF(IFERROR(VLOOKUP($B103,LINCE!$A$5:$D$4000,3,FALSE),"")=0,"",IFERROR(VLOOKUP($B103,LINCE!$A$5:$D$4000,3,FALSE),""))</f>
        <v>ESC BORD MZA OF. JEFES  Y SUP</v>
      </c>
      <c r="D103" s="4">
        <f>IF(IFERROR(VLOOKUP($B103,LINCE!$A$5:$D$4000,4,FALSE),"")=0,"",IFERROR(VLOOKUP($B103,LINCE!$A$5:$D$4000,4,FALSE),""))</f>
        <v>381.14</v>
      </c>
      <c r="E103" s="14">
        <f>IF(IFERROR(VLOOKUP($B103,LINCE!$A$5:$E$4000,5,FALSE),"")=0,"",IFERROR(VLOOKUP($B103,LINCE!$A$5:$E$4000,5,FALSE),""))</f>
        <v>44</v>
      </c>
    </row>
    <row r="104" spans="1:5" ht="129.94999999999999" hidden="1" customHeight="1" x14ac:dyDescent="0.25">
      <c r="A104" s="1"/>
      <c r="B104" s="3">
        <v>7709041</v>
      </c>
      <c r="C104" s="4" t="str">
        <f>IF(IFERROR(VLOOKUP($B104,LINCE!$A$5:$D$4000,3,FALSE),"")=0,"",IFERROR(VLOOKUP($B104,LINCE!$A$5:$D$4000,3,FALSE),""))</f>
        <v>ESC BORD MZA JEFATURA DEPARTAMENT</v>
      </c>
      <c r="D104" s="4">
        <f>IF(IFERROR(VLOOKUP($B104,LINCE!$A$5:$D$4000,4,FALSE),"")=0,"",IFERROR(VLOOKUP($B104,LINCE!$A$5:$D$4000,4,FALSE),""))</f>
        <v>413.28</v>
      </c>
      <c r="E104" s="14">
        <f>IF(IFERROR(VLOOKUP($B104,LINCE!$A$5:$E$4000,5,FALSE),"")=0,"",IFERROR(VLOOKUP($B104,LINCE!$A$5:$E$4000,5,FALSE),""))</f>
        <v>10</v>
      </c>
    </row>
    <row r="105" spans="1:5" ht="129.94999999999999" hidden="1" customHeight="1" x14ac:dyDescent="0.25">
      <c r="A105" s="1"/>
      <c r="B105" s="3">
        <v>7709138</v>
      </c>
      <c r="C105" s="4" t="str">
        <f>IF(IFERROR(VLOOKUP($B105,LINCE!$A$5:$D$4000,3,FALSE),"")=0,"",IFERROR(VLOOKUP($B105,LINCE!$A$5:$D$4000,3,FALSE),""))</f>
        <v>ESC BORD MZA IUSP DE BRAZO TVS413-2 16.5</v>
      </c>
      <c r="D105" s="4">
        <f>IF(IFERROR(VLOOKUP($B105,LINCE!$A$5:$D$4000,4,FALSE),"")=0,"",IFERROR(VLOOKUP($B105,LINCE!$A$5:$D$4000,4,FALSE),""))</f>
        <v>336.74</v>
      </c>
      <c r="E105" s="14">
        <f>IF(IFERROR(VLOOKUP($B105,LINCE!$A$5:$E$4000,5,FALSE),"")=0,"",IFERROR(VLOOKUP($B105,LINCE!$A$5:$E$4000,5,FALSE),""))</f>
        <v>114</v>
      </c>
    </row>
    <row r="106" spans="1:5" ht="129.94999999999999" hidden="1" customHeight="1" x14ac:dyDescent="0.25">
      <c r="A106" s="1"/>
      <c r="B106" s="3">
        <v>7709600</v>
      </c>
      <c r="C106" s="4" t="str">
        <f>IF(IFERROR(VLOOKUP($B106,LINCE!$A$5:$D$4000,3,FALSE),"")=0,"",IFERROR(VLOOKUP($B106,LINCE!$A$5:$D$4000,3,FALSE),""))</f>
        <v>ESC BORD MZA PENIT INFOPE         BARG</v>
      </c>
      <c r="D106" s="4">
        <f>IF(IFERROR(VLOOKUP($B106,LINCE!$A$5:$D$4000,4,FALSE),"")=0,"",IFERROR(VLOOKUP($B106,LINCE!$A$5:$D$4000,4,FALSE),""))</f>
        <v>319.61</v>
      </c>
      <c r="E106" s="14">
        <f>IF(IFERROR(VLOOKUP($B106,LINCE!$A$5:$E$4000,5,FALSE),"")=0,"",IFERROR(VLOOKUP($B106,LINCE!$A$5:$E$4000,5,FALSE),""))</f>
        <v>10</v>
      </c>
    </row>
    <row r="107" spans="1:5" ht="129.94999999999999" hidden="1" customHeight="1" x14ac:dyDescent="0.25">
      <c r="A107" s="1"/>
      <c r="B107" s="3">
        <v>7709625</v>
      </c>
      <c r="C107" s="4" t="str">
        <f>IF(IFERROR(VLOOKUP($B107,LINCE!$A$5:$D$4000,3,FALSE),"")=0,"",IFERROR(VLOOKUP($B107,LINCE!$A$5:$D$4000,3,FALSE),""))</f>
        <v>ESC BORD MZA INFANTERIA BAJA V. TV</v>
      </c>
      <c r="D107" s="4">
        <f>IF(IFERROR(VLOOKUP($B107,LINCE!$A$5:$D$4000,4,FALSE),"")=0,"",IFERROR(VLOOKUP($B107,LINCE!$A$5:$D$4000,4,FALSE),""))</f>
        <v>389.84</v>
      </c>
      <c r="E107" s="14">
        <f>IF(IFERROR(VLOOKUP($B107,LINCE!$A$5:$E$4000,5,FALSE),"")=0,"",IFERROR(VLOOKUP($B107,LINCE!$A$5:$E$4000,5,FALSE),""))</f>
        <v>76</v>
      </c>
    </row>
    <row r="108" spans="1:5" ht="129.94999999999999" hidden="1" customHeight="1" x14ac:dyDescent="0.25">
      <c r="A108" s="1"/>
      <c r="B108" s="3">
        <v>7709158</v>
      </c>
      <c r="C108" s="4" t="str">
        <f>IF(IFERROR(VLOOKUP($B108,LINCE!$A$5:$D$4000,3,FALSE),"")=0,"",IFERROR(VLOOKUP($B108,LINCE!$A$5:$D$4000,3,FALSE),""))</f>
        <v>ESC BORD MZA INFANTERIA</v>
      </c>
      <c r="D108" s="4">
        <f>IF(IFERROR(VLOOKUP($B108,LINCE!$A$5:$D$4000,4,FALSE),"")=0,"",IFERROR(VLOOKUP($B108,LINCE!$A$5:$D$4000,4,FALSE),""))</f>
        <v>435.73</v>
      </c>
      <c r="E108" s="14">
        <f>IF(IFERROR(VLOOKUP($B108,LINCE!$A$5:$E$4000,5,FALSE),"")=0,"",IFERROR(VLOOKUP($B108,LINCE!$A$5:$E$4000,5,FALSE),""))</f>
        <v>44</v>
      </c>
    </row>
    <row r="109" spans="1:5" ht="129.94999999999999" hidden="1" customHeight="1" x14ac:dyDescent="0.25">
      <c r="A109" s="1"/>
      <c r="B109" s="3">
        <v>7709103</v>
      </c>
      <c r="C109" s="4" t="str">
        <f>IF(IFERROR(VLOOKUP($B109,LINCE!$A$5:$D$4000,3,FALSE),"")=0,"",IFERROR(VLOOKUP($B109,LINCE!$A$5:$D$4000,3,FALSE),""))</f>
        <v>ESC BORD MZA BRAZO GES</v>
      </c>
      <c r="D109" s="4">
        <f>IF(IFERROR(VLOOKUP($B109,LINCE!$A$5:$D$4000,4,FALSE),"")=0,"",IFERROR(VLOOKUP($B109,LINCE!$A$5:$D$4000,4,FALSE),""))</f>
        <v>350.58</v>
      </c>
      <c r="E109" s="14">
        <f>IF(IFERROR(VLOOKUP($B109,LINCE!$A$5:$E$4000,5,FALSE),"")=0,"",IFERROR(VLOOKUP($B109,LINCE!$A$5:$E$4000,5,FALSE),""))</f>
        <v>7</v>
      </c>
    </row>
    <row r="110" spans="1:5" ht="129.94999999999999" hidden="1" customHeight="1" x14ac:dyDescent="0.25">
      <c r="A110" s="1"/>
      <c r="B110" s="3">
        <v>7709360</v>
      </c>
      <c r="C110" s="4" t="str">
        <f>IF(IFERROR(VLOOKUP($B110,LINCE!$A$5:$D$4000,3,FALSE),"")=0,"",IFERROR(VLOOKUP($B110,LINCE!$A$5:$D$4000,3,FALSE),""))</f>
        <v>ESC BORD MZA PENIT. GEOP</v>
      </c>
      <c r="D110" s="4">
        <f>IF(IFERROR(VLOOKUP($B110,LINCE!$A$5:$D$4000,4,FALSE),"")=0,"",IFERROR(VLOOKUP($B110,LINCE!$A$5:$D$4000,4,FALSE),""))</f>
        <v>375.62</v>
      </c>
      <c r="E110" s="14" t="str">
        <f>IF(IFERROR(VLOOKUP($B110,LINCE!$A$5:$E$4000,5,FALSE),"")=0,"",IFERROR(VLOOKUP($B110,LINCE!$A$5:$E$4000,5,FALSE),""))</f>
        <v/>
      </c>
    </row>
    <row r="111" spans="1:5" ht="129.94999999999999" hidden="1" customHeight="1" x14ac:dyDescent="0.25">
      <c r="A111" s="1"/>
      <c r="B111" s="3">
        <v>7709459</v>
      </c>
      <c r="C111" s="4" t="str">
        <f>IF(IFERROR(VLOOKUP($B111,LINCE!$A$5:$D$4000,3,FALSE),"")=0,"",IFERROR(VLOOKUP($B111,LINCE!$A$5:$D$4000,3,FALSE),""))</f>
        <v>ESC BORD G.N.  (BRAZO)</v>
      </c>
      <c r="D111" s="4">
        <f>IF(IFERROR(VLOOKUP($B111,LINCE!$A$5:$D$4000,4,FALSE),"")=0,"",IFERROR(VLOOKUP($B111,LINCE!$A$5:$D$4000,4,FALSE),""))</f>
        <v>325.56</v>
      </c>
      <c r="E111" s="14" t="str">
        <f>IF(IFERROR(VLOOKUP($B111,LINCE!$A$5:$E$4000,5,FALSE),"")=0,"",IFERROR(VLOOKUP($B111,LINCE!$A$5:$E$4000,5,FALSE),""))</f>
        <v/>
      </c>
    </row>
    <row r="112" spans="1:5" ht="129.94999999999999" hidden="1" customHeight="1" x14ac:dyDescent="0.25">
      <c r="A112" s="1"/>
      <c r="B112" s="3">
        <v>7709572</v>
      </c>
      <c r="C112" s="4" t="str">
        <f>IF(IFERROR(VLOOKUP($B112,LINCE!$A$5:$D$4000,3,FALSE),"")=0,"",IFERROR(VLOOKUP($B112,LINCE!$A$5:$D$4000,3,FALSE),""))</f>
        <v>ESC BORD MZA BOMBEROS          BARG</v>
      </c>
      <c r="D112" s="4">
        <f>IF(IFERROR(VLOOKUP($B112,LINCE!$A$5:$D$4000,4,FALSE),"")=0,"",IFERROR(VLOOKUP($B112,LINCE!$A$5:$D$4000,4,FALSE),""))</f>
        <v>275.48</v>
      </c>
      <c r="E112" s="14">
        <f>IF(IFERROR(VLOOKUP($B112,LINCE!$A$5:$E$4000,5,FALSE),"")=0,"",IFERROR(VLOOKUP($B112,LINCE!$A$5:$E$4000,5,FALSE),""))</f>
        <v>10</v>
      </c>
    </row>
    <row r="113" spans="1:5" ht="129.94999999999999" hidden="1" customHeight="1" x14ac:dyDescent="0.25">
      <c r="A113" s="1"/>
      <c r="B113" s="3">
        <v>7709238</v>
      </c>
      <c r="C113" s="4" t="str">
        <f>IF(IFERROR(VLOOKUP($B113,LINCE!$A$5:$D$4000,3,FALSE),"")=0,"",IFERROR(VLOOKUP($B113,LINCE!$A$5:$D$4000,3,FALSE),""))</f>
        <v>ESC BORD MZA IUSP B.VISIB. CUERPO INSTR.</v>
      </c>
      <c r="D113" s="4" t="str">
        <f>IF(IFERROR(VLOOKUP($B113,LINCE!$A$5:$D$4000,4,FALSE),"")=0,"",IFERROR(VLOOKUP($B113,LINCE!$A$5:$D$4000,4,FALSE),""))</f>
        <v/>
      </c>
      <c r="E113" s="14" t="str">
        <f>IF(IFERROR(VLOOKUP($B113,LINCE!$A$5:$E$4000,5,FALSE),"")=0,"",IFERROR(VLOOKUP($B113,LINCE!$A$5:$E$4000,5,FALSE),""))</f>
        <v/>
      </c>
    </row>
    <row r="114" spans="1:5" ht="129.94999999999999" hidden="1" customHeight="1" x14ac:dyDescent="0.25">
      <c r="A114" s="1"/>
      <c r="B114" s="3">
        <v>7709756</v>
      </c>
      <c r="C114" s="4" t="str">
        <f>IF(IFERROR(VLOOKUP($B114,LINCE!$A$5:$D$4000,3,FALSE),"")=0,"",IFERROR(VLOOKUP($B114,LINCE!$A$5:$D$4000,3,FALSE),""))</f>
        <v>ESC BORD MZA POL MOTORIZADA AZ/DOR BARG</v>
      </c>
      <c r="D114" s="4">
        <f>IF(IFERROR(VLOOKUP($B114,LINCE!$A$5:$D$4000,4,FALSE),"")=0,"",IFERROR(VLOOKUP($B114,LINCE!$A$5:$D$4000,4,FALSE),""))</f>
        <v>375.1</v>
      </c>
      <c r="E114" s="14">
        <f>IF(IFERROR(VLOOKUP($B114,LINCE!$A$5:$E$4000,5,FALSE),"")=0,"",IFERROR(VLOOKUP($B114,LINCE!$A$5:$E$4000,5,FALSE),""))</f>
        <v>36</v>
      </c>
    </row>
    <row r="115" spans="1:5" ht="129.94999999999999" hidden="1" customHeight="1" x14ac:dyDescent="0.25">
      <c r="A115" s="1"/>
      <c r="B115" s="3">
        <v>7709754</v>
      </c>
      <c r="C115" s="4" t="str">
        <f>IF(IFERROR(VLOOKUP($B115,LINCE!$A$5:$D$4000,3,FALSE),"")=0,"",IFERROR(VLOOKUP($B115,LINCE!$A$5:$D$4000,3,FALSE),""))</f>
        <v>ESC BORD MZA MOTORIZADA B VISIB.  BARG</v>
      </c>
      <c r="D115" s="4">
        <f>IF(IFERROR(VLOOKUP($B115,LINCE!$A$5:$D$4000,4,FALSE),"")=0,"",IFERROR(VLOOKUP($B115,LINCE!$A$5:$D$4000,4,FALSE),""))</f>
        <v>382.65</v>
      </c>
      <c r="E115" s="14">
        <f>IF(IFERROR(VLOOKUP($B115,LINCE!$A$5:$E$4000,5,FALSE),"")=0,"",IFERROR(VLOOKUP($B115,LINCE!$A$5:$E$4000,5,FALSE),""))</f>
        <v>74</v>
      </c>
    </row>
    <row r="116" spans="1:5" ht="129.94999999999999" hidden="1" customHeight="1" x14ac:dyDescent="0.25">
      <c r="A116" s="1"/>
      <c r="B116" s="3">
        <v>7709204</v>
      </c>
      <c r="C116" s="4" t="str">
        <f>IF(IFERROR(VLOOKUP($B116,LINCE!$A$5:$D$4000,3,FALSE),"")=0,"",IFERROR(VLOOKUP($B116,LINCE!$A$5:$D$4000,3,FALSE),""))</f>
        <v>ESC BORD CATACPOL</v>
      </c>
      <c r="D116" s="4">
        <f>IF(IFERROR(VLOOKUP($B116,LINCE!$A$5:$D$4000,4,FALSE),"")=0,"",IFERROR(VLOOKUP($B116,LINCE!$A$5:$D$4000,4,FALSE),""))</f>
        <v>275.48</v>
      </c>
      <c r="E116" s="14">
        <f>IF(IFERROR(VLOOKUP($B116,LINCE!$A$5:$E$4000,5,FALSE),"")=0,"",IFERROR(VLOOKUP($B116,LINCE!$A$5:$E$4000,5,FALSE),""))</f>
        <v>2</v>
      </c>
    </row>
    <row r="117" spans="1:5" ht="129.94999999999999" hidden="1" customHeight="1" x14ac:dyDescent="0.25">
      <c r="A117" s="1"/>
      <c r="B117" s="3">
        <v>7709139</v>
      </c>
      <c r="C117" s="4" t="str">
        <f>IF(IFERROR(VLOOKUP($B117,LINCE!$A$5:$D$4000,3,FALSE),"")=0,"",IFERROR(VLOOKUP($B117,LINCE!$A$5:$D$4000,3,FALSE),""))</f>
        <v>ESC BORD MZA IUSP BEIGE CUERPO INSTR.</v>
      </c>
      <c r="D117" s="4">
        <f>IF(IFERROR(VLOOKUP($B117,LINCE!$A$5:$D$4000,4,FALSE),"")=0,"",IFERROR(VLOOKUP($B117,LINCE!$A$5:$D$4000,4,FALSE),""))</f>
        <v>325.56</v>
      </c>
      <c r="E117" s="14" t="str">
        <f>IF(IFERROR(VLOOKUP($B117,LINCE!$A$5:$E$4000,5,FALSE),"")=0,"",IFERROR(VLOOKUP($B117,LINCE!$A$5:$E$4000,5,FALSE),""))</f>
        <v/>
      </c>
    </row>
    <row r="118" spans="1:5" ht="129.94999999999999" hidden="1" customHeight="1" x14ac:dyDescent="0.25">
      <c r="A118" s="1"/>
      <c r="B118" s="3">
        <v>7709654</v>
      </c>
      <c r="C118" s="4" t="str">
        <f>IF(IFERROR(VLOOKUP($B118,LINCE!$A$5:$D$4000,3,FALSE),"")=0,"",IFERROR(VLOOKUP($B118,LINCE!$A$5:$D$4000,3,FALSE),""))</f>
        <v>ESC BORD MZA B CIVICO    BARG</v>
      </c>
      <c r="D118" s="4">
        <f>IF(IFERROR(VLOOKUP($B118,LINCE!$A$5:$D$4000,4,FALSE),"")=0,"",IFERROR(VLOOKUP($B118,LINCE!$A$5:$D$4000,4,FALSE),""))</f>
        <v>286.2</v>
      </c>
      <c r="E118" s="14">
        <f>IF(IFERROR(VLOOKUP($B118,LINCE!$A$5:$E$4000,5,FALSE),"")=0,"",IFERROR(VLOOKUP($B118,LINCE!$A$5:$E$4000,5,FALSE),""))</f>
        <v>7</v>
      </c>
    </row>
    <row r="119" spans="1:5" ht="129.94999999999999" hidden="1" customHeight="1" x14ac:dyDescent="0.25">
      <c r="A119" s="1"/>
      <c r="B119" s="3">
        <v>7709855</v>
      </c>
      <c r="C119" s="4" t="str">
        <f>IF(IFERROR(VLOOKUP($B119,LINCE!$A$5:$D$4000,3,FALSE),"")=0,"",IFERROR(VLOOKUP($B119,LINCE!$A$5:$D$4000,3,FALSE),""))</f>
        <v>ESC BORD MZA BANDA DE MUSICA GUSTAVO BAR</v>
      </c>
      <c r="D119" s="4">
        <f>IF(IFERROR(VLOOKUP($B119,LINCE!$A$5:$D$4000,4,FALSE),"")=0,"",IFERROR(VLOOKUP($B119,LINCE!$A$5:$D$4000,4,FALSE),""))</f>
        <v>325.52</v>
      </c>
      <c r="E119" s="14">
        <f>IF(IFERROR(VLOOKUP($B119,LINCE!$A$5:$E$4000,5,FALSE),"")=0,"",IFERROR(VLOOKUP($B119,LINCE!$A$5:$E$4000,5,FALSE),""))</f>
        <v>13</v>
      </c>
    </row>
    <row r="120" spans="1:5" ht="129.94999999999999" hidden="1" customHeight="1" x14ac:dyDescent="0.25">
      <c r="A120" s="1"/>
      <c r="B120" s="3">
        <v>8505127</v>
      </c>
      <c r="C120" s="4" t="str">
        <f>IF(IFERROR(VLOOKUP($B120,LINCE!$A$5:$D$4000,3,FALSE),"")=0,"",IFERROR(VLOOKUP($B120,LINCE!$A$5:$D$4000,3,FALSE),""))</f>
        <v>PECT. BORD. PENIT. SERP RER</v>
      </c>
      <c r="D120" s="4">
        <f>IF(IFERROR(VLOOKUP($B120,LINCE!$A$5:$D$4000,4,FALSE),"")=0,"",IFERROR(VLOOKUP($B120,LINCE!$A$5:$D$4000,4,FALSE),""))</f>
        <v>153.05000000000001</v>
      </c>
      <c r="E120" s="14" t="str">
        <f>IF(IFERROR(VLOOKUP($B120,LINCE!$A$5:$E$4000,5,FALSE),"")=0,"",IFERROR(VLOOKUP($B120,LINCE!$A$5:$E$4000,5,FALSE),""))</f>
        <v/>
      </c>
    </row>
    <row r="121" spans="1:5" ht="129.94999999999999" hidden="1" customHeight="1" x14ac:dyDescent="0.25">
      <c r="A121" s="1"/>
      <c r="B121" s="3">
        <v>8505109</v>
      </c>
      <c r="C121" s="4" t="str">
        <f>IF(IFERROR(VLOOKUP($B121,LINCE!$A$5:$D$4000,3,FALSE),"")=0,"",IFERROR(VLOOKUP($B121,LINCE!$A$5:$D$4000,3,FALSE),""))</f>
        <v>PECT BORD RUEDA ALADA VIAL BAJA VISI BI</v>
      </c>
      <c r="D121" s="4">
        <f>IF(IFERROR(VLOOKUP($B121,LINCE!$A$5:$D$4000,4,FALSE),"")=0,"",IFERROR(VLOOKUP($B121,LINCE!$A$5:$D$4000,4,FALSE),""))</f>
        <v>150.27000000000001</v>
      </c>
      <c r="E121" s="14" t="str">
        <f>IF(IFERROR(VLOOKUP($B121,LINCE!$A$5:$E$4000,5,FALSE),"")=0,"",IFERROR(VLOOKUP($B121,LINCE!$A$5:$E$4000,5,FALSE),""))</f>
        <v/>
      </c>
    </row>
    <row r="122" spans="1:5" ht="129.94999999999999" hidden="1" customHeight="1" x14ac:dyDescent="0.25">
      <c r="A122" s="1"/>
      <c r="B122" s="3">
        <v>8505131</v>
      </c>
      <c r="C122" s="4" t="str">
        <f>IF(IFERROR(VLOOKUP($B122,LINCE!$A$5:$D$4000,3,FALSE),"")=0,"",IFERROR(VLOOKUP($B122,LINCE!$A$5:$D$4000,3,FALSE),""))</f>
        <v>PECT. ALAS BORD MOTORISTA TVS506-13 RER</v>
      </c>
      <c r="D122" s="4">
        <f>IF(IFERROR(VLOOKUP($B122,LINCE!$A$5:$D$4000,4,FALSE),"")=0,"",IFERROR(VLOOKUP($B122,LINCE!$A$5:$D$4000,4,FALSE),""))</f>
        <v>153.05000000000001</v>
      </c>
      <c r="E122" s="14">
        <f>IF(IFERROR(VLOOKUP($B122,LINCE!$A$5:$E$4000,5,FALSE),"")=0,"",IFERROR(VLOOKUP($B122,LINCE!$A$5:$E$4000,5,FALSE),""))</f>
        <v>28</v>
      </c>
    </row>
    <row r="123" spans="1:5" ht="129.94999999999999" hidden="1" customHeight="1" x14ac:dyDescent="0.25">
      <c r="A123" s="1"/>
      <c r="B123" s="3">
        <v>8505014</v>
      </c>
      <c r="C123" s="4" t="str">
        <f>IF(IFERROR(VLOOKUP($B123,LINCE!$A$5:$D$4000,3,FALSE),"")=0,"",IFERROR(VLOOKUP($B123,LINCE!$A$5:$D$4000,3,FALSE),""))</f>
        <v>PECT. GRUPO SANGUINEO   BARG BI</v>
      </c>
      <c r="D123" s="4">
        <f>IF(IFERROR(VLOOKUP($B123,LINCE!$A$5:$D$4000,4,FALSE),"")=0,"",IFERROR(VLOOKUP($B123,LINCE!$A$5:$D$4000,4,FALSE),""))</f>
        <v>110</v>
      </c>
      <c r="E123" s="14">
        <f>IF(IFERROR(VLOOKUP($B123,LINCE!$A$5:$E$4000,5,FALSE),"")=0,"",IFERROR(VLOOKUP($B123,LINCE!$A$5:$E$4000,5,FALSE),""))</f>
        <v>191</v>
      </c>
    </row>
    <row r="124" spans="1:5" ht="129.94999999999999" hidden="1" customHeight="1" x14ac:dyDescent="0.25">
      <c r="A124" s="1"/>
      <c r="B124" s="3">
        <v>8505220</v>
      </c>
      <c r="C124" s="4" t="str">
        <f>IF(IFERROR(VLOOKUP($B124,LINCE!$A$5:$D$4000,3,FALSE),"")=0,"",IFERROR(VLOOKUP($B124,LINCE!$A$5:$D$4000,3,FALSE),""))</f>
        <v>PECT BORD ESTRELLAS ANTIG BARG BI</v>
      </c>
      <c r="D124" s="4">
        <f>IF(IFERROR(VLOOKUP($B124,LINCE!$A$5:$D$4000,4,FALSE),"")=0,"",IFERROR(VLOOKUP($B124,LINCE!$A$5:$D$4000,4,FALSE),""))</f>
        <v>130</v>
      </c>
      <c r="E124" s="14">
        <f>IF(IFERROR(VLOOKUP($B124,LINCE!$A$5:$E$4000,5,FALSE),"")=0,"",IFERROR(VLOOKUP($B124,LINCE!$A$5:$E$4000,5,FALSE),""))</f>
        <v>171</v>
      </c>
    </row>
    <row r="125" spans="1:5" ht="129.94999999999999" hidden="1" customHeight="1" x14ac:dyDescent="0.25">
      <c r="A125" s="1"/>
      <c r="B125" s="3">
        <v>8505021</v>
      </c>
      <c r="C125" s="4" t="str">
        <f>IF(IFERROR(VLOOKUP($B125,LINCE!$A$5:$D$4000,3,FALSE),"")=0,"",IFERROR(VLOOKUP($B125,LINCE!$A$5:$D$4000,3,FALSE),""))</f>
        <v>PECT ESC CADETES 1 BARRA BL OJAL BI</v>
      </c>
      <c r="D125" s="4">
        <f>IF(IFERROR(VLOOKUP($B125,LINCE!$A$5:$D$4000,4,FALSE),"")=0,"",IFERROR(VLOOKUP($B125,LINCE!$A$5:$D$4000,4,FALSE),""))</f>
        <v>157.29</v>
      </c>
      <c r="E125" s="14">
        <f>IF(IFERROR(VLOOKUP($B125,LINCE!$A$5:$E$4000,5,FALSE),"")=0,"",IFERROR(VLOOKUP($B125,LINCE!$A$5:$E$4000,5,FALSE),""))</f>
        <v>33</v>
      </c>
    </row>
    <row r="126" spans="1:5" ht="129.94999999999999" hidden="1" customHeight="1" x14ac:dyDescent="0.25">
      <c r="A126" s="1"/>
      <c r="B126" s="3">
        <v>8505024</v>
      </c>
      <c r="C126" s="4" t="str">
        <f>IF(IFERROR(VLOOKUP($B126,LINCE!$A$5:$D$4000,3,FALSE),"")=0,"",IFERROR(VLOOKUP($B126,LINCE!$A$5:$D$4000,3,FALSE),""))</f>
        <v>PECT ESC CADETES 2 BARRAS AZ BI</v>
      </c>
      <c r="D126" s="4">
        <f>IF(IFERROR(VLOOKUP($B126,LINCE!$A$5:$D$4000,4,FALSE),"")=0,"",IFERROR(VLOOKUP($B126,LINCE!$A$5:$D$4000,4,FALSE),""))</f>
        <v>119.87</v>
      </c>
      <c r="E126" s="14">
        <f>IF(IFERROR(VLOOKUP($B126,LINCE!$A$5:$E$4000,5,FALSE),"")=0,"",IFERROR(VLOOKUP($B126,LINCE!$A$5:$E$4000,5,FALSE),""))</f>
        <v>21</v>
      </c>
    </row>
    <row r="127" spans="1:5" ht="129.94999999999999" hidden="1" customHeight="1" x14ac:dyDescent="0.25">
      <c r="A127" s="1"/>
      <c r="B127" s="3">
        <v>8505023</v>
      </c>
      <c r="C127" s="4" t="str">
        <f>IF(IFERROR(VLOOKUP($B127,LINCE!$A$5:$D$4000,3,FALSE),"")=0,"",IFERROR(VLOOKUP($B127,LINCE!$A$5:$D$4000,3,FALSE),""))</f>
        <v>PECT ESC CADETES 1 BARRA AZ BI</v>
      </c>
      <c r="D127" s="4">
        <f>IF(IFERROR(VLOOKUP($B127,LINCE!$A$5:$D$4000,4,FALSE),"")=0,"",IFERROR(VLOOKUP($B127,LINCE!$A$5:$D$4000,4,FALSE),""))</f>
        <v>122.44</v>
      </c>
      <c r="E127" s="14">
        <f>IF(IFERROR(VLOOKUP($B127,LINCE!$A$5:$E$4000,5,FALSE),"")=0,"",IFERROR(VLOOKUP($B127,LINCE!$A$5:$E$4000,5,FALSE),""))</f>
        <v>5</v>
      </c>
    </row>
    <row r="128" spans="1:5" ht="129.94999999999999" hidden="1" customHeight="1" x14ac:dyDescent="0.25">
      <c r="A128" s="1"/>
      <c r="B128" s="3">
        <v>8505101</v>
      </c>
      <c r="C128" s="4" t="str">
        <f>IF(IFERROR(VLOOKUP($B128,LINCE!$A$5:$D$4000,3,FALSE),"")=0,"",IFERROR(VLOOKUP($B128,LINCE!$A$5:$D$4000,3,FALSE),""))</f>
        <v>PECT BORD RUEDA ALADA POL VIAL BAND RER</v>
      </c>
      <c r="D128" s="4">
        <f>IF(IFERROR(VLOOKUP($B128,LINCE!$A$5:$D$4000,4,FALSE),"")=0,"",IFERROR(VLOOKUP($B128,LINCE!$A$5:$D$4000,4,FALSE),""))</f>
        <v>150.27000000000001</v>
      </c>
      <c r="E128" s="14">
        <f>IF(IFERROR(VLOOKUP($B128,LINCE!$A$5:$E$4000,5,FALSE),"")=0,"",IFERROR(VLOOKUP($B128,LINCE!$A$5:$E$4000,5,FALSE),""))</f>
        <v>108</v>
      </c>
    </row>
    <row r="129" spans="1:5" ht="129.94999999999999" hidden="1" customHeight="1" x14ac:dyDescent="0.25">
      <c r="A129" s="1"/>
      <c r="B129" s="3">
        <v>8505074</v>
      </c>
      <c r="C129" s="4" t="str">
        <f>IF(IFERROR(VLOOKUP($B129,LINCE!$A$5:$D$4000,3,FALSE),"")=0,"",IFERROR(VLOOKUP($B129,LINCE!$A$5:$D$4000,3,FALSE),""))</f>
        <v>NOMBRE BORD MOTORIZADA BI</v>
      </c>
      <c r="D129" s="4">
        <f>IF(IFERROR(VLOOKUP($B129,LINCE!$A$5:$D$4000,4,FALSE),"")=0,"",IFERROR(VLOOKUP($B129,LINCE!$A$5:$D$4000,4,FALSE),""))</f>
        <v>160</v>
      </c>
      <c r="E129" s="14" t="str">
        <f>IF(IFERROR(VLOOKUP($B129,LINCE!$A$5:$E$4000,5,FALSE),"")=0,"",IFERROR(VLOOKUP($B129,LINCE!$A$5:$E$4000,5,FALSE),""))</f>
        <v/>
      </c>
    </row>
    <row r="130" spans="1:5" ht="129.94999999999999" hidden="1" customHeight="1" x14ac:dyDescent="0.25">
      <c r="A130" s="1"/>
      <c r="B130" s="3">
        <v>7707266</v>
      </c>
      <c r="C130" s="4" t="str">
        <f>IF(IFERROR(VLOOKUP($B130,LINCE!$A$5:$D$4000,3,FALSE),"")=0,"",IFERROR(VLOOKUP($B130,LINCE!$A$5:$D$4000,3,FALSE),""))</f>
        <v>PECT. EJERCITO ARGENTINO   BARG BI</v>
      </c>
      <c r="D130" s="4">
        <f>IF(IFERROR(VLOOKUP($B130,LINCE!$A$5:$D$4000,4,FALSE),"")=0,"",IFERROR(VLOOKUP($B130,LINCE!$A$5:$D$4000,4,FALSE),""))</f>
        <v>160.72</v>
      </c>
      <c r="E130" s="14">
        <f>IF(IFERROR(VLOOKUP($B130,LINCE!$A$5:$E$4000,5,FALSE),"")=0,"",IFERROR(VLOOKUP($B130,LINCE!$A$5:$E$4000,5,FALSE),""))</f>
        <v>18</v>
      </c>
    </row>
    <row r="131" spans="1:5" ht="129.94999999999999" hidden="1" customHeight="1" x14ac:dyDescent="0.25">
      <c r="A131" s="1"/>
      <c r="B131" s="3">
        <v>8505130</v>
      </c>
      <c r="C131" s="4" t="str">
        <f>IF(IFERROR(VLOOKUP($B131,LINCE!$A$5:$D$4000,3,FALSE),"")=0,"",IFERROR(VLOOKUP($B131,LINCE!$A$5:$D$4000,3,FALSE),""))</f>
        <v>PECT. ALAS DE CHOFER TVS 465-02 BI</v>
      </c>
      <c r="D131" s="4">
        <f>IF(IFERROR(VLOOKUP($B131,LINCE!$A$5:$D$4000,4,FALSE),"")=0,"",IFERROR(VLOOKUP($B131,LINCE!$A$5:$D$4000,4,FALSE),""))</f>
        <v>153.05000000000001</v>
      </c>
      <c r="E131" s="14">
        <f>IF(IFERROR(VLOOKUP($B131,LINCE!$A$5:$E$4000,5,FALSE),"")=0,"",IFERROR(VLOOKUP($B131,LINCE!$A$5:$E$4000,5,FALSE),""))</f>
        <v>28</v>
      </c>
    </row>
    <row r="132" spans="1:5" ht="129.94999999999999" hidden="1" customHeight="1" x14ac:dyDescent="0.25">
      <c r="A132" s="1"/>
      <c r="B132" s="3">
        <v>8505075</v>
      </c>
      <c r="C132" s="4" t="str">
        <f>IF(IFERROR(VLOOKUP($B132,LINCE!$A$5:$D$4000,3,FALSE),"")=0,"",IFERROR(VLOOKUP($B132,LINCE!$A$5:$D$4000,3,FALSE),""))</f>
        <v>NOMBRE BORD INFANTERIA BI</v>
      </c>
      <c r="D132" s="4">
        <f>IF(IFERROR(VLOOKUP($B132,LINCE!$A$5:$D$4000,4,FALSE),"")=0,"",IFERROR(VLOOKUP($B132,LINCE!$A$5:$D$4000,4,FALSE),""))</f>
        <v>75.11</v>
      </c>
      <c r="E132" s="14">
        <f>IF(IFERROR(VLOOKUP($B132,LINCE!$A$5:$E$4000,5,FALSE),"")=0,"",IFERROR(VLOOKUP($B132,LINCE!$A$5:$E$4000,5,FALSE),""))</f>
        <v>4</v>
      </c>
    </row>
    <row r="133" spans="1:5" ht="129.94999999999999" hidden="1" customHeight="1" x14ac:dyDescent="0.25">
      <c r="A133" s="1"/>
      <c r="B133" s="3">
        <v>7709540</v>
      </c>
      <c r="C133" s="4" t="str">
        <f>IF(IFERROR(VLOOKUP($B133,LINCE!$A$5:$D$4000,3,FALSE),"")=0,"",IFERROR(VLOOKUP($B133,LINCE!$A$5:$D$4000,3,FALSE),""))</f>
        <v>APLIQUE SEGURIDAD RER</v>
      </c>
      <c r="D133" s="4">
        <f>IF(IFERROR(VLOOKUP($B133,LINCE!$A$5:$D$4000,4,FALSE),"")=0,"",IFERROR(VLOOKUP($B133,LINCE!$A$5:$D$4000,4,FALSE),""))</f>
        <v>199.65</v>
      </c>
      <c r="E133" s="14" t="str">
        <f>IF(IFERROR(VLOOKUP($B133,LINCE!$A$5:$E$4000,5,FALSE),"")=0,"",IFERROR(VLOOKUP($B133,LINCE!$A$5:$E$4000,5,FALSE),""))</f>
        <v/>
      </c>
    </row>
    <row r="134" spans="1:5" ht="129.94999999999999" hidden="1" customHeight="1" x14ac:dyDescent="0.25">
      <c r="A134" s="1"/>
      <c r="B134" s="3">
        <v>7709101</v>
      </c>
      <c r="C134" s="4" t="str">
        <f>IF(IFERROR(VLOOKUP($B134,LINCE!$A$5:$D$4000,3,FALSE),"")=0,"",IFERROR(VLOOKUP($B134,LINCE!$A$5:$D$4000,3,FALSE),""))</f>
        <v>ESC BORD MZA BOINA CABALLERIA     BARG</v>
      </c>
      <c r="D134" s="4">
        <f>IF(IFERROR(VLOOKUP($B134,LINCE!$A$5:$D$4000,4,FALSE),"")=0,"",IFERROR(VLOOKUP($B134,LINCE!$A$5:$D$4000,4,FALSE),""))</f>
        <v>198.97</v>
      </c>
      <c r="E134" s="14" t="str">
        <f>IF(IFERROR(VLOOKUP($B134,LINCE!$A$5:$E$4000,5,FALSE),"")=0,"",IFERROR(VLOOKUP($B134,LINCE!$A$5:$E$4000,5,FALSE),""))</f>
        <v/>
      </c>
    </row>
    <row r="135" spans="1:5" ht="129.94999999999999" hidden="1" customHeight="1" x14ac:dyDescent="0.25">
      <c r="A135" s="1"/>
      <c r="B135" s="3">
        <v>7709788</v>
      </c>
      <c r="C135" s="4" t="str">
        <f>IF(IFERROR(VLOOKUP($B135,LINCE!$A$5:$D$4000,3,FALSE),"")=0,"",IFERROR(VLOOKUP($B135,LINCE!$A$5:$D$4000,3,FALSE),""))</f>
        <v>ESC BORD MZA UPP BOINA</v>
      </c>
      <c r="D135" s="4" t="str">
        <f>IF(IFERROR(VLOOKUP($B135,LINCE!$A$5:$D$4000,4,FALSE),"")=0,"",IFERROR(VLOOKUP($B135,LINCE!$A$5:$D$4000,4,FALSE),""))</f>
        <v/>
      </c>
      <c r="E135" s="14" t="str">
        <f>IF(IFERROR(VLOOKUP($B135,LINCE!$A$5:$E$4000,5,FALSE),"")=0,"",IFERROR(VLOOKUP($B135,LINCE!$A$5:$E$4000,5,FALSE),""))</f>
        <v/>
      </c>
    </row>
    <row r="136" spans="1:5" ht="129.94999999999999" hidden="1" customHeight="1" x14ac:dyDescent="0.25">
      <c r="A136" s="1"/>
      <c r="B136" s="3">
        <v>7709653</v>
      </c>
      <c r="C136" s="4" t="str">
        <f>IF(IFERROR(VLOOKUP($B136,LINCE!$A$5:$D$4000,3,FALSE),"")=0,"",IFERROR(VLOOKUP($B136,LINCE!$A$5:$D$4000,3,FALSE),""))</f>
        <v>ESC BORD MZA UEP BOINA   BARG</v>
      </c>
      <c r="D136" s="4">
        <f>IF(IFERROR(VLOOKUP($B136,LINCE!$A$5:$D$4000,4,FALSE),"")=0,"",IFERROR(VLOOKUP($B136,LINCE!$A$5:$D$4000,4,FALSE),""))</f>
        <v>145.19</v>
      </c>
      <c r="E136" s="14" t="str">
        <f>IF(IFERROR(VLOOKUP($B136,LINCE!$A$5:$E$4000,5,FALSE),"")=0,"",IFERROR(VLOOKUP($B136,LINCE!$A$5:$E$4000,5,FALSE),""))</f>
        <v/>
      </c>
    </row>
    <row r="137" spans="1:5" ht="129.94999999999999" hidden="1" customHeight="1" x14ac:dyDescent="0.25">
      <c r="A137" s="1"/>
      <c r="B137" s="3">
        <v>7709015</v>
      </c>
      <c r="C137" s="4" t="str">
        <f>IF(IFERROR(VLOOKUP($B137,LINCE!$A$5:$D$4000,3,FALSE),"")=0,"",IFERROR(VLOOKUP($B137,LINCE!$A$5:$D$4000,3,FALSE),""))</f>
        <v>ESC BORD MZA UMAR BOINA</v>
      </c>
      <c r="D137" s="4">
        <f>IF(IFERROR(VLOOKUP($B137,LINCE!$A$5:$D$4000,4,FALSE),"")=0,"",IFERROR(VLOOKUP($B137,LINCE!$A$5:$D$4000,4,FALSE),""))</f>
        <v>145.41999999999999</v>
      </c>
      <c r="E137" s="14">
        <f>IF(IFERROR(VLOOKUP($B137,LINCE!$A$5:$E$4000,5,FALSE),"")=0,"",IFERROR(VLOOKUP($B137,LINCE!$A$5:$E$4000,5,FALSE),""))</f>
        <v>16</v>
      </c>
    </row>
    <row r="138" spans="1:5" ht="129.94999999999999" hidden="1" customHeight="1" x14ac:dyDescent="0.25">
      <c r="A138" s="1"/>
      <c r="B138" s="3">
        <v>7709014</v>
      </c>
      <c r="C138" s="4" t="str">
        <f>IF(IFERROR(VLOOKUP($B138,LINCE!$A$5:$D$4000,3,FALSE),"")=0,"",IFERROR(VLOOKUP($B138,LINCE!$A$5:$D$4000,3,FALSE),""))</f>
        <v>ESC BORD MZA UCAR BOINA   UCAR</v>
      </c>
      <c r="D138" s="4">
        <f>IF(IFERROR(VLOOKUP($B138,LINCE!$A$5:$D$4000,4,FALSE),"")=0,"",IFERROR(VLOOKUP($B138,LINCE!$A$5:$D$4000,4,FALSE),""))</f>
        <v>191.33</v>
      </c>
      <c r="E138" s="14">
        <f>IF(IFERROR(VLOOKUP($B138,LINCE!$A$5:$E$4000,5,FALSE),"")=0,"",IFERROR(VLOOKUP($B138,LINCE!$A$5:$E$4000,5,FALSE),""))</f>
        <v>19</v>
      </c>
    </row>
    <row r="139" spans="1:5" ht="129.94999999999999" hidden="1" customHeight="1" x14ac:dyDescent="0.25">
      <c r="A139" s="1"/>
      <c r="B139" s="3">
        <v>7709016</v>
      </c>
      <c r="C139" s="4" t="str">
        <f>IF(IFERROR(VLOOKUP($B139,LINCE!$A$5:$D$4000,3,FALSE),"")=0,"",IFERROR(VLOOKUP($B139,LINCE!$A$5:$D$4000,3,FALSE),""))</f>
        <v>ESC BORD MZA BOINA MOTORIZADA   BARG</v>
      </c>
      <c r="D139" s="4">
        <f>IF(IFERROR(VLOOKUP($B139,LINCE!$A$5:$D$4000,4,FALSE),"")=0,"",IFERROR(VLOOKUP($B139,LINCE!$A$5:$D$4000,4,FALSE),""))</f>
        <v>229.58</v>
      </c>
      <c r="E139" s="14">
        <f>IF(IFERROR(VLOOKUP($B139,LINCE!$A$5:$E$4000,5,FALSE),"")=0,"",IFERROR(VLOOKUP($B139,LINCE!$A$5:$E$4000,5,FALSE),""))</f>
        <v>14</v>
      </c>
    </row>
    <row r="140" spans="1:5" ht="129.94999999999999" hidden="1" customHeight="1" x14ac:dyDescent="0.25">
      <c r="A140" s="1"/>
      <c r="B140" s="3">
        <v>7709364</v>
      </c>
      <c r="C140" s="4" t="str">
        <f>IF(IFERROR(VLOOKUP($B140,LINCE!$A$5:$D$4000,3,FALSE),"")=0,"",IFERROR(VLOOKUP($B140,LINCE!$A$5:$D$4000,3,FALSE),""))</f>
        <v>ESC BORD MZA BOINA CANES</v>
      </c>
      <c r="D140" s="4">
        <f>IF(IFERROR(VLOOKUP($B140,LINCE!$A$5:$D$4000,4,FALSE),"")=0,"",IFERROR(VLOOKUP($B140,LINCE!$A$5:$D$4000,4,FALSE),""))</f>
        <v>229.58</v>
      </c>
      <c r="E140" s="14" t="str">
        <f>IF(IFERROR(VLOOKUP($B140,LINCE!$A$5:$E$4000,5,FALSE),"")=0,"",IFERROR(VLOOKUP($B140,LINCE!$A$5:$E$4000,5,FALSE),""))</f>
        <v/>
      </c>
    </row>
    <row r="141" spans="1:5" ht="129.94999999999999" hidden="1" customHeight="1" x14ac:dyDescent="0.25">
      <c r="A141" s="1"/>
      <c r="B141" s="3">
        <v>7709061</v>
      </c>
      <c r="C141" s="4" t="str">
        <f>IF(IFERROR(VLOOKUP($B141,LINCE!$A$5:$D$4000,3,FALSE),"")=0,"",IFERROR(VLOOKUP($B141,LINCE!$A$5:$D$4000,3,FALSE),""))</f>
        <v>ESC BORD P.S.A. BOINA  BARG</v>
      </c>
      <c r="D141" s="4">
        <f>IF(IFERROR(VLOOKUP($B141,LINCE!$A$5:$D$4000,4,FALSE),"")=0,"",IFERROR(VLOOKUP($B141,LINCE!$A$5:$D$4000,4,FALSE),""))</f>
        <v>168.38</v>
      </c>
      <c r="E141" s="14" t="str">
        <f>IF(IFERROR(VLOOKUP($B141,LINCE!$A$5:$E$4000,5,FALSE),"")=0,"",IFERROR(VLOOKUP($B141,LINCE!$A$5:$E$4000,5,FALSE),""))</f>
        <v/>
      </c>
    </row>
    <row r="142" spans="1:5" ht="129.94999999999999" hidden="1" customHeight="1" x14ac:dyDescent="0.25">
      <c r="A142" s="1"/>
      <c r="B142" s="3">
        <v>7709233</v>
      </c>
      <c r="C142" s="4" t="str">
        <f>IF(IFERROR(VLOOKUP($B142,LINCE!$A$5:$D$4000,3,FALSE),"")=0,"",IFERROR(VLOOKUP($B142,LINCE!$A$5:$D$4000,3,FALSE),""))</f>
        <v>ESC BORD MZA BOINA LICEO LMGE BARG</v>
      </c>
      <c r="D142" s="4">
        <f>IF(IFERROR(VLOOKUP($B142,LINCE!$A$5:$D$4000,4,FALSE),"")=0,"",IFERROR(VLOOKUP($B142,LINCE!$A$5:$D$4000,4,FALSE),""))</f>
        <v>169.72</v>
      </c>
      <c r="E142" s="14">
        <f>IF(IFERROR(VLOOKUP($B142,LINCE!$A$5:$E$4000,5,FALSE),"")=0,"",IFERROR(VLOOKUP($B142,LINCE!$A$5:$E$4000,5,FALSE),""))</f>
        <v>24</v>
      </c>
    </row>
    <row r="143" spans="1:5" ht="129.94999999999999" hidden="1" customHeight="1" x14ac:dyDescent="0.25">
      <c r="A143" s="1"/>
      <c r="B143" s="3">
        <v>7709365</v>
      </c>
      <c r="C143" s="4" t="str">
        <f>IF(IFERROR(VLOOKUP($B143,LINCE!$A$5:$D$4000,3,FALSE),"")=0,"",IFERROR(VLOOKUP($B143,LINCE!$A$5:$D$4000,3,FALSE),""))</f>
        <v>ESC BORD MZA BOINA  INFANTERIA     BARG</v>
      </c>
      <c r="D143" s="4">
        <f>IF(IFERROR(VLOOKUP($B143,LINCE!$A$5:$D$4000,4,FALSE),"")=0,"",IFERROR(VLOOKUP($B143,LINCE!$A$5:$D$4000,4,FALSE),""))</f>
        <v>223.72</v>
      </c>
      <c r="E143" s="14">
        <f>IF(IFERROR(VLOOKUP($B143,LINCE!$A$5:$E$4000,5,FALSE),"")=0,"",IFERROR(VLOOKUP($B143,LINCE!$A$5:$E$4000,5,FALSE),""))</f>
        <v>22</v>
      </c>
    </row>
    <row r="144" spans="1:5" ht="129.94999999999999" hidden="1" customHeight="1" x14ac:dyDescent="0.25">
      <c r="A144" s="1"/>
      <c r="B144" s="3">
        <v>7709401</v>
      </c>
      <c r="C144" s="4" t="str">
        <f>IF(IFERROR(VLOOKUP($B144,LINCE!$A$5:$D$4000,3,FALSE),"")=0,"",IFERROR(VLOOKUP($B144,LINCE!$A$5:$D$4000,3,FALSE),""))</f>
        <v>ESC BORD MZA BOINA GES       BARG</v>
      </c>
      <c r="D144" s="4">
        <f>IF(IFERROR(VLOOKUP($B144,LINCE!$A$5:$D$4000,4,FALSE),"")=0,"",IFERROR(VLOOKUP($B144,LINCE!$A$5:$D$4000,4,FALSE),""))</f>
        <v>191.33</v>
      </c>
      <c r="E144" s="14">
        <f>IF(IFERROR(VLOOKUP($B144,LINCE!$A$5:$E$4000,5,FALSE),"")=0,"",IFERROR(VLOOKUP($B144,LINCE!$A$5:$E$4000,5,FALSE),""))</f>
        <v>3</v>
      </c>
    </row>
    <row r="145" spans="1:5" ht="129.94999999999999" hidden="1" customHeight="1" x14ac:dyDescent="0.25">
      <c r="A145" s="1"/>
      <c r="B145" s="3">
        <v>7709021</v>
      </c>
      <c r="C145" s="4" t="str">
        <f>IF(IFERROR(VLOOKUP($B145,LINCE!$A$5:$D$4000,3,FALSE),"")=0,"",IFERROR(VLOOKUP($B145,LINCE!$A$5:$D$4000,3,FALSE),""))</f>
        <v>ESC BORD MZA BOINA GEOP</v>
      </c>
      <c r="D145" s="4">
        <f>IF(IFERROR(VLOOKUP($B145,LINCE!$A$5:$D$4000,4,FALSE),"")=0,"",IFERROR(VLOOKUP($B145,LINCE!$A$5:$D$4000,4,FALSE),""))</f>
        <v>191.33</v>
      </c>
      <c r="E145" s="14">
        <f>IF(IFERROR(VLOOKUP($B145,LINCE!$A$5:$E$4000,5,FALSE),"")=0,"",IFERROR(VLOOKUP($B145,LINCE!$A$5:$E$4000,5,FALSE),""))</f>
        <v>2</v>
      </c>
    </row>
    <row r="146" spans="1:5" ht="129.94999999999999" hidden="1" customHeight="1" x14ac:dyDescent="0.25">
      <c r="A146" s="1"/>
      <c r="B146" s="3">
        <v>8505822</v>
      </c>
      <c r="C146" s="4" t="str">
        <f>IF(IFERROR(VLOOKUP($B146,LINCE!$A$5:$D$4000,3,FALSE),"")=0,"",IFERROR(VLOOKUP($B146,LINCE!$A$5:$D$4000,3,FALSE),""))</f>
        <v>BARBIJO CHAROLADO NEGRO CON SOUTACH ESC</v>
      </c>
      <c r="D146" s="4">
        <f>IF(IFERROR(VLOOKUP($B146,LINCE!$A$5:$D$4000,4,FALSE),"")=0,"",IFERROR(VLOOKUP($B146,LINCE!$A$5:$D$4000,4,FALSE),""))</f>
        <v>649.99</v>
      </c>
      <c r="E146" s="14" t="str">
        <f>IF(IFERROR(VLOOKUP($B146,LINCE!$A$5:$E$4000,5,FALSE),"")=0,"",IFERROR(VLOOKUP($B146,LINCE!$A$5:$E$4000,5,FALSE),""))</f>
        <v/>
      </c>
    </row>
    <row r="147" spans="1:5" ht="129.94999999999999" hidden="1" customHeight="1" x14ac:dyDescent="0.25">
      <c r="A147" s="1"/>
      <c r="B147" s="3">
        <v>8505823</v>
      </c>
      <c r="C147" s="4" t="str">
        <f>IF(IFERROR(VLOOKUP($B147,LINCE!$A$5:$D$4000,3,FALSE),"")=0,"",IFERROR(VLOOKUP($B147,LINCE!$A$5:$D$4000,3,FALSE),""))</f>
        <v>BARBIJO CORDON DORADO AZZ</v>
      </c>
      <c r="D147" s="4">
        <f>IF(IFERROR(VLOOKUP($B147,LINCE!$A$5:$D$4000,4,FALSE),"")=0,"",IFERROR(VLOOKUP($B147,LINCE!$A$5:$D$4000,4,FALSE),""))</f>
        <v>845.79</v>
      </c>
      <c r="E147" s="14">
        <f>IF(IFERROR(VLOOKUP($B147,LINCE!$A$5:$E$4000,5,FALSE),"")=0,"",IFERROR(VLOOKUP($B147,LINCE!$A$5:$E$4000,5,FALSE),""))</f>
        <v>33</v>
      </c>
    </row>
    <row r="148" spans="1:5" ht="129.94999999999999" hidden="1" customHeight="1" x14ac:dyDescent="0.25">
      <c r="A148" s="1"/>
      <c r="B148" s="3">
        <v>8505820</v>
      </c>
      <c r="C148" s="4" t="str">
        <f>IF(IFERROR(VLOOKUP($B148,LINCE!$A$5:$D$4000,3,FALSE),"")=0,"",IFERROR(VLOOKUP($B148,LINCE!$A$5:$D$4000,3,FALSE),""))</f>
        <v>BARBIJO CORDON NEGRO AZZ</v>
      </c>
      <c r="D148" s="4">
        <f>IF(IFERROR(VLOOKUP($B148,LINCE!$A$5:$D$4000,4,FALSE),"")=0,"",IFERROR(VLOOKUP($B148,LINCE!$A$5:$D$4000,4,FALSE),""))</f>
        <v>846.99</v>
      </c>
      <c r="E148" s="14">
        <f>IF(IFERROR(VLOOKUP($B148,LINCE!$A$5:$E$4000,5,FALSE),"")=0,"",IFERROR(VLOOKUP($B148,LINCE!$A$5:$E$4000,5,FALSE),""))</f>
        <v>34</v>
      </c>
    </row>
    <row r="149" spans="1:5" ht="129.94999999999999" hidden="1" customHeight="1" x14ac:dyDescent="0.25">
      <c r="A149" s="1"/>
      <c r="B149" s="3">
        <v>7707159</v>
      </c>
      <c r="C149" s="4" t="str">
        <f>IF(IFERROR(VLOOKUP($B149,LINCE!$A$5:$D$4000,3,FALSE),"")=0,"",IFERROR(VLOOKUP($B149,LINCE!$A$5:$D$4000,3,FALSE),""))</f>
        <v>BANDERA ARG  BAJA VISIB BARG BI</v>
      </c>
      <c r="D149" s="4">
        <f>IF(IFERROR(VLOOKUP($B149,LINCE!$A$5:$D$4000,4,FALSE),"")=0,"",IFERROR(VLOOKUP($B149,LINCE!$A$5:$D$4000,4,FALSE),""))</f>
        <v>228.07</v>
      </c>
      <c r="E149" s="14">
        <f>IF(IFERROR(VLOOKUP($B149,LINCE!$A$5:$E$4000,5,FALSE),"")=0,"",IFERROR(VLOOKUP($B149,LINCE!$A$5:$E$4000,5,FALSE),""))</f>
        <v>148</v>
      </c>
    </row>
    <row r="150" spans="1:5" ht="129.94999999999999" hidden="1" customHeight="1" x14ac:dyDescent="0.25">
      <c r="A150" s="1"/>
      <c r="B150" s="3">
        <v>7707136</v>
      </c>
      <c r="C150" s="4" t="str">
        <f>IF(IFERROR(VLOOKUP($B150,LINCE!$A$5:$D$4000,3,FALSE),"")=0,"",IFERROR(VLOOKUP($B150,LINCE!$A$5:$D$4000,3,FALSE),""))</f>
        <v>BANDERA ARG.BORD. 7.20X4.40   BARG BI</v>
      </c>
      <c r="D150" s="4">
        <f>IF(IFERROR(VLOOKUP($B150,LINCE!$A$5:$D$4000,4,FALSE),"")=0,"",IFERROR(VLOOKUP($B150,LINCE!$A$5:$D$4000,4,FALSE),""))</f>
        <v>229.58</v>
      </c>
      <c r="E150" s="14" t="str">
        <f>IF(IFERROR(VLOOKUP($B150,LINCE!$A$5:$E$4000,5,FALSE),"")=0,"",IFERROR(VLOOKUP($B150,LINCE!$A$5:$E$4000,5,FALSE),""))</f>
        <v/>
      </c>
    </row>
    <row r="151" spans="1:5" ht="129.94999999999999" hidden="1" customHeight="1" x14ac:dyDescent="0.25">
      <c r="A151" s="1"/>
      <c r="B151" s="3">
        <v>7710032</v>
      </c>
      <c r="C151" s="4" t="str">
        <f>IF(IFERROR(VLOOKUP($B151,LINCE!$A$5:$D$4000,3,FALSE),"")=0,"",IFERROR(VLOOKUP($B151,LINCE!$A$5:$D$4000,3,FALSE),""))</f>
        <v>BANDERA GOMA ARG VERD BOSQ 8X4.5CM RER</v>
      </c>
      <c r="D151" s="4">
        <f>IF(IFERROR(VLOOKUP($B151,LINCE!$A$5:$D$4000,4,FALSE),"")=0,"",IFERROR(VLOOKUP($B151,LINCE!$A$5:$D$4000,4,FALSE),""))</f>
        <v>289.3</v>
      </c>
      <c r="E151" s="14">
        <f>IF(IFERROR(VLOOKUP($B151,LINCE!$A$5:$E$4000,5,FALSE),"")=0,"",IFERROR(VLOOKUP($B151,LINCE!$A$5:$E$4000,5,FALSE),""))</f>
        <v>3</v>
      </c>
    </row>
    <row r="152" spans="1:5" ht="129.94999999999999" hidden="1" customHeight="1" x14ac:dyDescent="0.25">
      <c r="A152" s="1"/>
      <c r="B152" s="3">
        <v>7701137</v>
      </c>
      <c r="C152" s="4" t="str">
        <f>IF(IFERROR(VLOOKUP($B152,LINCE!$A$5:$D$4000,3,FALSE),"")=0,"",IFERROR(VLOOKUP($B152,LINCE!$A$5:$D$4000,3,FALSE),""))</f>
        <v>BANDERA ARG BORD LARGA BAJA VIS BI</v>
      </c>
      <c r="D152" s="4">
        <f>IF(IFERROR(VLOOKUP($B152,LINCE!$A$5:$D$4000,4,FALSE),"")=0,"",IFERROR(VLOOKUP($B152,LINCE!$A$5:$D$4000,4,FALSE),""))</f>
        <v>182.15</v>
      </c>
      <c r="E152" s="14" t="str">
        <f>IF(IFERROR(VLOOKUP($B152,LINCE!$A$5:$E$4000,5,FALSE),"")=0,"",IFERROR(VLOOKUP($B152,LINCE!$A$5:$E$4000,5,FALSE),""))</f>
        <v/>
      </c>
    </row>
    <row r="153" spans="1:5" ht="129.94999999999999" hidden="1" customHeight="1" x14ac:dyDescent="0.25">
      <c r="A153" s="1"/>
      <c r="B153" s="3">
        <v>7701137</v>
      </c>
      <c r="C153" s="4" t="str">
        <f>IF(IFERROR(VLOOKUP($B153,LINCE!$A$5:$D$4000,3,FALSE),"")=0,"",IFERROR(VLOOKUP($B153,LINCE!$A$5:$D$4000,3,FALSE),""))</f>
        <v>BANDERA ARG BORD LARGA BAJA VIS BI</v>
      </c>
      <c r="D153" s="4">
        <f>IF(IFERROR(VLOOKUP($B153,LINCE!$A$5:$D$4000,4,FALSE),"")=0,"",IFERROR(VLOOKUP($B153,LINCE!$A$5:$D$4000,4,FALSE),""))</f>
        <v>182.15</v>
      </c>
      <c r="E153" s="14" t="str">
        <f>IF(IFERROR(VLOOKUP($B153,LINCE!$A$5:$E$4000,5,FALSE),"")=0,"",IFERROR(VLOOKUP($B153,LINCE!$A$5:$E$4000,5,FALSE),""))</f>
        <v/>
      </c>
    </row>
    <row r="154" spans="1:5" ht="129.94999999999999" hidden="1" customHeight="1" x14ac:dyDescent="0.25">
      <c r="A154" s="1"/>
      <c r="B154" s="3">
        <v>8505138</v>
      </c>
      <c r="C154" s="4" t="str">
        <f>IF(IFERROR(VLOOKUP($B154,LINCE!$A$5:$D$4000,3,FALSE),"")=0,"",IFERROR(VLOOKUP($B154,LINCE!$A$5:$D$4000,3,FALSE),""))</f>
        <v>PECT. BORD LMGE GIMNASIA 6TO ANIO BI</v>
      </c>
      <c r="D154" s="4">
        <f>IF(IFERROR(VLOOKUP($B154,LINCE!$A$5:$D$4000,4,FALSE),"")=0,"",IFERROR(VLOOKUP($B154,LINCE!$A$5:$D$4000,4,FALSE),""))</f>
        <v>153.05000000000001</v>
      </c>
      <c r="E154" s="14">
        <f>IF(IFERROR(VLOOKUP($B154,LINCE!$A$5:$E$4000,5,FALSE),"")=0,"",IFERROR(VLOOKUP($B154,LINCE!$A$5:$E$4000,5,FALSE),""))</f>
        <v>12</v>
      </c>
    </row>
    <row r="155" spans="1:5" ht="129.94999999999999" hidden="1" customHeight="1" x14ac:dyDescent="0.25">
      <c r="A155" s="1"/>
      <c r="B155" s="3">
        <v>8505137</v>
      </c>
      <c r="C155" s="4" t="str">
        <f>IF(IFERROR(VLOOKUP($B155,LINCE!$A$5:$D$4000,3,FALSE),"")=0,"",IFERROR(VLOOKUP($B155,LINCE!$A$5:$D$4000,3,FALSE),""))</f>
        <v>PECT. BORD LMGE GIMNASIA 5TO ANIO BI</v>
      </c>
      <c r="D155" s="4">
        <f>IF(IFERROR(VLOOKUP($B155,LINCE!$A$5:$D$4000,4,FALSE),"")=0,"",IFERROR(VLOOKUP($B155,LINCE!$A$5:$D$4000,4,FALSE),""))</f>
        <v>153.05000000000001</v>
      </c>
      <c r="E155" s="14">
        <f>IF(IFERROR(VLOOKUP($B155,LINCE!$A$5:$E$4000,5,FALSE),"")=0,"",IFERROR(VLOOKUP($B155,LINCE!$A$5:$E$4000,5,FALSE),""))</f>
        <v>12</v>
      </c>
    </row>
    <row r="156" spans="1:5" ht="129.94999999999999" hidden="1" customHeight="1" x14ac:dyDescent="0.25">
      <c r="A156" s="1"/>
      <c r="B156" s="3">
        <v>8505136</v>
      </c>
      <c r="C156" s="4" t="str">
        <f>IF(IFERROR(VLOOKUP($B156,LINCE!$A$5:$D$4000,3,FALSE),"")=0,"",IFERROR(VLOOKUP($B156,LINCE!$A$5:$D$4000,3,FALSE),""))</f>
        <v>PECT. BORD LMGE GIMNASIA 4TO ANIO BI</v>
      </c>
      <c r="D156" s="4">
        <f>IF(IFERROR(VLOOKUP($B156,LINCE!$A$5:$D$4000,4,FALSE),"")=0,"",IFERROR(VLOOKUP($B156,LINCE!$A$5:$D$4000,4,FALSE),""))</f>
        <v>153.05000000000001</v>
      </c>
      <c r="E156" s="14">
        <f>IF(IFERROR(VLOOKUP($B156,LINCE!$A$5:$E$4000,5,FALSE),"")=0,"",IFERROR(VLOOKUP($B156,LINCE!$A$5:$E$4000,5,FALSE),""))</f>
        <v>24</v>
      </c>
    </row>
    <row r="157" spans="1:5" ht="129.94999999999999" hidden="1" customHeight="1" x14ac:dyDescent="0.25">
      <c r="A157" s="1"/>
      <c r="B157" s="3">
        <v>8505135</v>
      </c>
      <c r="C157" s="4" t="str">
        <f>IF(IFERROR(VLOOKUP($B157,LINCE!$A$5:$D$4000,3,FALSE),"")=0,"",IFERROR(VLOOKUP($B157,LINCE!$A$5:$D$4000,3,FALSE),""))</f>
        <v>PECT. BORD LMGE GIMNASIA 3ER ANIO BI</v>
      </c>
      <c r="D157" s="4">
        <f>IF(IFERROR(VLOOKUP($B157,LINCE!$A$5:$D$4000,4,FALSE),"")=0,"",IFERROR(VLOOKUP($B157,LINCE!$A$5:$D$4000,4,FALSE),""))</f>
        <v>153.05000000000001</v>
      </c>
      <c r="E157" s="14">
        <f>IF(IFERROR(VLOOKUP($B157,LINCE!$A$5:$E$4000,5,FALSE),"")=0,"",IFERROR(VLOOKUP($B157,LINCE!$A$5:$E$4000,5,FALSE),""))</f>
        <v>24</v>
      </c>
    </row>
    <row r="158" spans="1:5" ht="129.94999999999999" hidden="1" customHeight="1" x14ac:dyDescent="0.25">
      <c r="A158" s="1"/>
      <c r="B158" s="3">
        <v>8505134</v>
      </c>
      <c r="C158" s="4" t="str">
        <f>IF(IFERROR(VLOOKUP($B158,LINCE!$A$5:$D$4000,3,FALSE),"")=0,"",IFERROR(VLOOKUP($B158,LINCE!$A$5:$D$4000,3,FALSE),""))</f>
        <v>PECT. BORD LMGE GIMNASIA 2DO ANIO BI</v>
      </c>
      <c r="D158" s="4">
        <f>IF(IFERROR(VLOOKUP($B158,LINCE!$A$5:$D$4000,4,FALSE),"")=0,"",IFERROR(VLOOKUP($B158,LINCE!$A$5:$D$4000,4,FALSE),""))</f>
        <v>153.05000000000001</v>
      </c>
      <c r="E158" s="14">
        <f>IF(IFERROR(VLOOKUP($B158,LINCE!$A$5:$E$4000,5,FALSE),"")=0,"",IFERROR(VLOOKUP($B158,LINCE!$A$5:$E$4000,5,FALSE),""))</f>
        <v>24</v>
      </c>
    </row>
    <row r="159" spans="1:5" ht="129.94999999999999" hidden="1" customHeight="1" x14ac:dyDescent="0.25">
      <c r="A159" s="1"/>
      <c r="B159" s="3">
        <v>8505120</v>
      </c>
      <c r="C159" s="4" t="str">
        <f>IF(IFERROR(VLOOKUP($B159,LINCE!$A$5:$D$4000,3,FALSE),"")=0,"",IFERROR(VLOOKUP($B159,LINCE!$A$5:$D$4000,3,FALSE),""))</f>
        <v>PECT. BORD LMGE GIMNASIA 1ER ANIO BI</v>
      </c>
      <c r="D159" s="4">
        <f>IF(IFERROR(VLOOKUP($B159,LINCE!$A$5:$D$4000,4,FALSE),"")=0,"",IFERROR(VLOOKUP($B159,LINCE!$A$5:$D$4000,4,FALSE),""))</f>
        <v>91.83</v>
      </c>
      <c r="E159" s="14">
        <f>IF(IFERROR(VLOOKUP($B159,LINCE!$A$5:$E$4000,5,FALSE),"")=0,"",IFERROR(VLOOKUP($B159,LINCE!$A$5:$E$4000,5,FALSE),""))</f>
        <v>24</v>
      </c>
    </row>
    <row r="160" spans="1:5" ht="129.94999999999999" hidden="1" customHeight="1" x14ac:dyDescent="0.25">
      <c r="A160" s="1"/>
      <c r="B160" s="3">
        <v>7709067</v>
      </c>
      <c r="C160" s="4" t="str">
        <f>IF(IFERROR(VLOOKUP($B160,LINCE!$A$5:$D$4000,3,FALSE),"")=0,"",IFERROR(VLOOKUP($B160,LINCE!$A$5:$D$4000,3,FALSE),""))</f>
        <v>PECT. BORD. 4 SOL P.S.AEROPORTUA PSA BI</v>
      </c>
      <c r="D160" s="4">
        <f>IF(IFERROR(VLOOKUP($B160,LINCE!$A$5:$D$4000,4,FALSE),"")=0,"",IFERROR(VLOOKUP($B160,LINCE!$A$5:$D$4000,4,FALSE),""))</f>
        <v>168.38</v>
      </c>
      <c r="E160" s="14">
        <f>IF(IFERROR(VLOOKUP($B160,LINCE!$A$5:$E$4000,5,FALSE),"")=0,"",IFERROR(VLOOKUP($B160,LINCE!$A$5:$E$4000,5,FALSE),""))</f>
        <v>10</v>
      </c>
    </row>
    <row r="161" spans="1:5" ht="129.94999999999999" hidden="1" customHeight="1" x14ac:dyDescent="0.25">
      <c r="A161" s="1"/>
      <c r="B161" s="3">
        <v>7709066</v>
      </c>
      <c r="C161" s="4" t="str">
        <f>IF(IFERROR(VLOOKUP($B161,LINCE!$A$5:$D$4000,3,FALSE),"")=0,"",IFERROR(VLOOKUP($B161,LINCE!$A$5:$D$4000,3,FALSE),""))</f>
        <v>PECT. BORD. 3 SOL P.S.AEROPORTUA PSA BI</v>
      </c>
      <c r="D161" s="4">
        <f>IF(IFERROR(VLOOKUP($B161,LINCE!$A$5:$D$4000,4,FALSE),"")=0,"",IFERROR(VLOOKUP($B161,LINCE!$A$5:$D$4000,4,FALSE),""))</f>
        <v>168.38</v>
      </c>
      <c r="E161" s="14">
        <f>IF(IFERROR(VLOOKUP($B161,LINCE!$A$5:$E$4000,5,FALSE),"")=0,"",IFERROR(VLOOKUP($B161,LINCE!$A$5:$E$4000,5,FALSE),""))</f>
        <v>7</v>
      </c>
    </row>
    <row r="162" spans="1:5" ht="129.94999999999999" hidden="1" customHeight="1" x14ac:dyDescent="0.25">
      <c r="A162" s="1"/>
      <c r="B162" s="3">
        <v>7709069</v>
      </c>
      <c r="C162" s="4" t="str">
        <f>IF(IFERROR(VLOOKUP($B162,LINCE!$A$5:$D$4000,3,FALSE),"")=0,"",IFERROR(VLOOKUP($B162,LINCE!$A$5:$D$4000,3,FALSE),""))</f>
        <v>PECT. BORD. 2 SOL Y SERRETA PSA BI</v>
      </c>
      <c r="D162" s="4">
        <f>IF(IFERROR(VLOOKUP($B162,LINCE!$A$5:$D$4000,4,FALSE),"")=0,"",IFERROR(VLOOKUP($B162,LINCE!$A$5:$D$4000,4,FALSE),""))</f>
        <v>162.77000000000001</v>
      </c>
      <c r="E162" s="14">
        <f>IF(IFERROR(VLOOKUP($B162,LINCE!$A$5:$E$4000,5,FALSE),"")=0,"",IFERROR(VLOOKUP($B162,LINCE!$A$5:$E$4000,5,FALSE),""))</f>
        <v>4</v>
      </c>
    </row>
    <row r="163" spans="1:5" ht="129.94999999999999" hidden="1" customHeight="1" x14ac:dyDescent="0.25">
      <c r="A163" s="1"/>
      <c r="B163" s="3">
        <v>7709064</v>
      </c>
      <c r="C163" s="4" t="str">
        <f>IF(IFERROR(VLOOKUP($B163,LINCE!$A$5:$D$4000,3,FALSE),"")=0,"",IFERROR(VLOOKUP($B163,LINCE!$A$5:$D$4000,3,FALSE),""))</f>
        <v>PECT. BORD. 2 SOL P.S.AEROPORTUA PSA BI</v>
      </c>
      <c r="D163" s="4">
        <f>IF(IFERROR(VLOOKUP($B163,LINCE!$A$5:$D$4000,4,FALSE),"")=0,"",IFERROR(VLOOKUP($B163,LINCE!$A$5:$D$4000,4,FALSE),""))</f>
        <v>151.54</v>
      </c>
      <c r="E163" s="14">
        <f>IF(IFERROR(VLOOKUP($B163,LINCE!$A$5:$E$4000,5,FALSE),"")=0,"",IFERROR(VLOOKUP($B163,LINCE!$A$5:$E$4000,5,FALSE),""))</f>
        <v>8</v>
      </c>
    </row>
    <row r="164" spans="1:5" ht="129.94999999999999" hidden="1" customHeight="1" x14ac:dyDescent="0.25">
      <c r="A164" s="1"/>
      <c r="B164" s="3">
        <v>7709068</v>
      </c>
      <c r="C164" s="4" t="str">
        <f>IF(IFERROR(VLOOKUP($B164,LINCE!$A$5:$D$4000,3,FALSE),"")=0,"",IFERROR(VLOOKUP($B164,LINCE!$A$5:$D$4000,3,FALSE),""))</f>
        <v>PECT. BORD. 1 SOL Y SERRETA PSA BI</v>
      </c>
      <c r="D164" s="4">
        <f>IF(IFERROR(VLOOKUP($B164,LINCE!$A$5:$D$4000,4,FALSE),"")=0,"",IFERROR(VLOOKUP($B164,LINCE!$A$5:$D$4000,4,FALSE),""))</f>
        <v>151.54</v>
      </c>
      <c r="E164" s="14">
        <f>IF(IFERROR(VLOOKUP($B164,LINCE!$A$5:$E$4000,5,FALSE),"")=0,"",IFERROR(VLOOKUP($B164,LINCE!$A$5:$E$4000,5,FALSE),""))</f>
        <v>5</v>
      </c>
    </row>
    <row r="165" spans="1:5" ht="129.94999999999999" hidden="1" customHeight="1" x14ac:dyDescent="0.25">
      <c r="A165" s="1"/>
      <c r="B165" s="3">
        <v>7709065</v>
      </c>
      <c r="C165" s="4" t="str">
        <f>IF(IFERROR(VLOOKUP($B165,LINCE!$A$5:$D$4000,3,FALSE),"")=0,"",IFERROR(VLOOKUP($B165,LINCE!$A$5:$D$4000,3,FALSE),""))</f>
        <v>PECT. BORD. 1 SOL P.S.AEROPORTUA PSA BI</v>
      </c>
      <c r="D165" s="4">
        <f>IF(IFERROR(VLOOKUP($B165,LINCE!$A$5:$D$4000,4,FALSE),"")=0,"",IFERROR(VLOOKUP($B165,LINCE!$A$5:$D$4000,4,FALSE),""))</f>
        <v>151.54</v>
      </c>
      <c r="E165" s="14">
        <f>IF(IFERROR(VLOOKUP($B165,LINCE!$A$5:$E$4000,5,FALSE),"")=0,"",IFERROR(VLOOKUP($B165,LINCE!$A$5:$E$4000,5,FALSE),""))</f>
        <v>8</v>
      </c>
    </row>
    <row r="166" spans="1:5" ht="129.94999999999999" hidden="1" customHeight="1" x14ac:dyDescent="0.25">
      <c r="A166" s="1"/>
      <c r="B166" s="3">
        <v>7709070</v>
      </c>
      <c r="C166" s="4" t="str">
        <f>IF(IFERROR(VLOOKUP($B166,LINCE!$A$5:$D$4000,3,FALSE),"")=0,"",IFERROR(VLOOKUP($B166,LINCE!$A$5:$D$4000,3,FALSE),""))</f>
        <v>PECT BORD 2 SOLES SERRETA DOR ALCAIDE BI</v>
      </c>
      <c r="D166" s="4">
        <f>IF(IFERROR(VLOOKUP($B166,LINCE!$A$5:$D$4000,4,FALSE),"")=0,"",IFERROR(VLOOKUP($B166,LINCE!$A$5:$D$4000,4,FALSE),""))</f>
        <v>255.71</v>
      </c>
      <c r="E166" s="14" t="str">
        <f>IF(IFERROR(VLOOKUP($B166,LINCE!$A$5:$E$4000,5,FALSE),"")=0,"",IFERROR(VLOOKUP($B166,LINCE!$A$5:$E$4000,5,FALSE),""))</f>
        <v/>
      </c>
    </row>
    <row r="167" spans="1:5" ht="129.94999999999999" hidden="1" customHeight="1" x14ac:dyDescent="0.25">
      <c r="A167" s="1"/>
      <c r="B167" s="3">
        <v>8505209</v>
      </c>
      <c r="C167" s="4" t="str">
        <f>IF(IFERROR(VLOOKUP($B167,LINCE!$A$5:$D$4000,3,FALSE),"")=0,"",IFERROR(VLOOKUP($B167,LINCE!$A$5:$D$4000,3,FALSE),""))</f>
        <v>PECT 1 SOL F/ AZUL Y SERR SUB ALCAID BI</v>
      </c>
      <c r="D167" s="4">
        <f>IF(IFERROR(VLOOKUP($B167,LINCE!$A$5:$D$4000,4,FALSE),"")=0,"",IFERROR(VLOOKUP($B167,LINCE!$A$5:$D$4000,4,FALSE),""))</f>
        <v>178.87</v>
      </c>
      <c r="E167" s="14" t="str">
        <f>IF(IFERROR(VLOOKUP($B167,LINCE!$A$5:$E$4000,5,FALSE),"")=0,"",IFERROR(VLOOKUP($B167,LINCE!$A$5:$E$4000,5,FALSE),""))</f>
        <v/>
      </c>
    </row>
    <row r="168" spans="1:5" ht="129.94999999999999" hidden="1" customHeight="1" x14ac:dyDescent="0.25">
      <c r="A168" s="1"/>
      <c r="B168" s="3">
        <v>8505205</v>
      </c>
      <c r="C168" s="4" t="str">
        <f>IF(IFERROR(VLOOKUP($B168,LINCE!$A$5:$D$4000,3,FALSE),"")=0,"",IFERROR(VLOOKUP($B168,LINCE!$A$5:$D$4000,3,FALSE),""))</f>
        <v>PECT 1 SOL SUB ADJUTOR MENDOZA RER</v>
      </c>
      <c r="D168" s="4">
        <f>IF(IFERROR(VLOOKUP($B168,LINCE!$A$5:$D$4000,4,FALSE),"")=0,"",IFERROR(VLOOKUP($B168,LINCE!$A$5:$D$4000,4,FALSE),""))</f>
        <v>137.76</v>
      </c>
      <c r="E168" s="14" t="str">
        <f>IF(IFERROR(VLOOKUP($B168,LINCE!$A$5:$E$4000,5,FALSE),"")=0,"",IFERROR(VLOOKUP($B168,LINCE!$A$5:$E$4000,5,FALSE),""))</f>
        <v/>
      </c>
    </row>
    <row r="169" spans="1:5" ht="129.94999999999999" hidden="1" customHeight="1" x14ac:dyDescent="0.25">
      <c r="A169" s="1"/>
      <c r="B169" s="3">
        <v>8505207</v>
      </c>
      <c r="C169" s="4" t="str">
        <f>IF(IFERROR(VLOOKUP($B169,LINCE!$A$5:$D$4000,3,FALSE),"")=0,"",IFERROR(VLOOKUP($B169,LINCE!$A$5:$D$4000,3,FALSE),""))</f>
        <v>PECT 3 SOL ADJUTOR PRINCIPAL MENDO RER</v>
      </c>
      <c r="D169" s="4">
        <f>IF(IFERROR(VLOOKUP($B169,LINCE!$A$5:$D$4000,4,FALSE),"")=0,"",IFERROR(VLOOKUP($B169,LINCE!$A$5:$D$4000,4,FALSE),""))</f>
        <v>260.22000000000003</v>
      </c>
      <c r="E169" s="14" t="str">
        <f>IF(IFERROR(VLOOKUP($B169,LINCE!$A$5:$E$4000,5,FALSE),"")=0,"",IFERROR(VLOOKUP($B169,LINCE!$A$5:$E$4000,5,FALSE),""))</f>
        <v/>
      </c>
    </row>
    <row r="170" spans="1:5" ht="129.94999999999999" hidden="1" customHeight="1" x14ac:dyDescent="0.25">
      <c r="A170" s="1"/>
      <c r="B170" s="3">
        <v>8505206</v>
      </c>
      <c r="C170" s="4" t="str">
        <f>IF(IFERROR(VLOOKUP($B170,LINCE!$A$5:$D$4000,3,FALSE),"")=0,"",IFERROR(VLOOKUP($B170,LINCE!$A$5:$D$4000,3,FALSE),""))</f>
        <v>PECT 2 SOL ADJUTOR MENDOZA RER</v>
      </c>
      <c r="D170" s="4">
        <f>IF(IFERROR(VLOOKUP($B170,LINCE!$A$5:$D$4000,4,FALSE),"")=0,"",IFERROR(VLOOKUP($B170,LINCE!$A$5:$D$4000,4,FALSE),""))</f>
        <v>190</v>
      </c>
      <c r="E170" s="14" t="str">
        <f>IF(IFERROR(VLOOKUP($B170,LINCE!$A$5:$E$4000,5,FALSE),"")=0,"",IFERROR(VLOOKUP($B170,LINCE!$A$5:$E$4000,5,FALSE),""))</f>
        <v/>
      </c>
    </row>
    <row r="171" spans="1:5" ht="129.94999999999999" hidden="1" customHeight="1" x14ac:dyDescent="0.25">
      <c r="A171" s="1"/>
      <c r="B171" s="3">
        <v>7700465</v>
      </c>
      <c r="C171" s="4" t="str">
        <f>IF(IFERROR(VLOOKUP($B171,LINCE!$A$5:$D$4000,3,FALSE),"")=0,"",IFERROR(VLOOKUP($B171,LINCE!$A$5:$D$4000,3,FALSE),""))</f>
        <v>INSIG BI BAJA V PENIT SUB OF MAYOR G/NEG</v>
      </c>
      <c r="D171" s="4">
        <f>IF(IFERROR(VLOOKUP($B171,LINCE!$A$5:$D$4000,4,FALSE),"")=0,"",IFERROR(VLOOKUP($B171,LINCE!$A$5:$D$4000,4,FALSE),""))</f>
        <v>199.76</v>
      </c>
      <c r="E171" s="14">
        <f>IF(IFERROR(VLOOKUP($B171,LINCE!$A$5:$E$4000,5,FALSE),"")=0,"",IFERROR(VLOOKUP($B171,LINCE!$A$5:$E$4000,5,FALSE),""))</f>
        <v>6</v>
      </c>
    </row>
    <row r="172" spans="1:5" ht="129.94999999999999" hidden="1" customHeight="1" x14ac:dyDescent="0.25">
      <c r="A172" s="1"/>
      <c r="B172" s="3">
        <v>7700607</v>
      </c>
      <c r="C172" s="4" t="str">
        <f>IF(IFERROR(VLOOKUP($B172,LINCE!$A$5:$D$4000,3,FALSE),"")=0,"",IFERROR(VLOOKUP($B172,LINCE!$A$5:$D$4000,3,FALSE),""))</f>
        <v>INSIG BI SUB OFICIAL MAYOR PENIT G/AMARI</v>
      </c>
      <c r="D172" s="4">
        <f>IF(IFERROR(VLOOKUP($B172,LINCE!$A$5:$D$4000,4,FALSE),"")=0,"",IFERROR(VLOOKUP($B172,LINCE!$A$5:$D$4000,4,FALSE),""))</f>
        <v>198.99</v>
      </c>
      <c r="E172" s="14" t="str">
        <f>IF(IFERROR(VLOOKUP($B172,LINCE!$A$5:$E$4000,5,FALSE),"")=0,"",IFERROR(VLOOKUP($B172,LINCE!$A$5:$E$4000,5,FALSE),""))</f>
        <v/>
      </c>
    </row>
    <row r="173" spans="1:5" ht="129.94999999999999" hidden="1" customHeight="1" x14ac:dyDescent="0.25">
      <c r="A173" s="1"/>
      <c r="B173" s="3">
        <v>7700464</v>
      </c>
      <c r="C173" s="4" t="str">
        <f>IF(IFERROR(VLOOKUP($B173,LINCE!$A$5:$D$4000,3,FALSE),"")=0,"",IFERROR(VLOOKUP($B173,LINCE!$A$5:$D$4000,3,FALSE),""))</f>
        <v>INSIG BI BAJA V PENIT SUB OF PPAL G/NEGR</v>
      </c>
      <c r="D173" s="4">
        <f>IF(IFERROR(VLOOKUP($B173,LINCE!$A$5:$D$4000,4,FALSE),"")=0,"",IFERROR(VLOOKUP($B173,LINCE!$A$5:$D$4000,4,FALSE),""))</f>
        <v>199.76</v>
      </c>
      <c r="E173" s="14">
        <f>IF(IFERROR(VLOOKUP($B173,LINCE!$A$5:$E$4000,5,FALSE),"")=0,"",IFERROR(VLOOKUP($B173,LINCE!$A$5:$E$4000,5,FALSE),""))</f>
        <v>4</v>
      </c>
    </row>
    <row r="174" spans="1:5" ht="129.94999999999999" hidden="1" customHeight="1" x14ac:dyDescent="0.25">
      <c r="A174" s="1"/>
      <c r="B174" s="3">
        <v>8505606</v>
      </c>
      <c r="C174" s="4" t="str">
        <f>IF(IFERROR(VLOOKUP($B174,LINCE!$A$5:$D$4000,3,FALSE),"")=0,"",IFERROR(VLOOKUP($B174,LINCE!$A$5:$D$4000,3,FALSE),""))</f>
        <v>INSIG BI SUBOFICIAL PRINCIPAL PENIT</v>
      </c>
      <c r="D174" s="4">
        <f>IF(IFERROR(VLOOKUP($B174,LINCE!$A$5:$D$4000,4,FALSE),"")=0,"",IFERROR(VLOOKUP($B174,LINCE!$A$5:$D$4000,4,FALSE),""))</f>
        <v>157.91</v>
      </c>
      <c r="E174" s="14" t="str">
        <f>IF(IFERROR(VLOOKUP($B174,LINCE!$A$5:$E$4000,5,FALSE),"")=0,"",IFERROR(VLOOKUP($B174,LINCE!$A$5:$E$4000,5,FALSE),""))</f>
        <v/>
      </c>
    </row>
    <row r="175" spans="1:5" ht="129.94999999999999" hidden="1" customHeight="1" x14ac:dyDescent="0.25">
      <c r="A175" s="1"/>
      <c r="B175" s="3">
        <v>7700463</v>
      </c>
      <c r="C175" s="4" t="str">
        <f>IF(IFERROR(VLOOKUP($B175,LINCE!$A$5:$D$4000,3,FALSE),"")=0,"",IFERROR(VLOOKUP($B175,LINCE!$A$5:$D$4000,3,FALSE),""))</f>
        <v>INSIG BI BAJA V PENIT SUB OF1 SARG AYDTE</v>
      </c>
      <c r="D175" s="4">
        <f>IF(IFERROR(VLOOKUP($B175,LINCE!$A$5:$D$4000,4,FALSE),"")=0,"",IFERROR(VLOOKUP($B175,LINCE!$A$5:$D$4000,4,FALSE),""))</f>
        <v>199.76</v>
      </c>
      <c r="E175" s="14">
        <f>IF(IFERROR(VLOOKUP($B175,LINCE!$A$5:$E$4000,5,FALSE),"")=0,"",IFERROR(VLOOKUP($B175,LINCE!$A$5:$E$4000,5,FALSE),""))</f>
        <v>10</v>
      </c>
    </row>
    <row r="176" spans="1:5" ht="129.94999999999999" hidden="1" customHeight="1" x14ac:dyDescent="0.25">
      <c r="A176" s="1"/>
      <c r="B176" s="3">
        <v>8505605</v>
      </c>
      <c r="C176" s="4" t="str">
        <f>IF(IFERROR(VLOOKUP($B176,LINCE!$A$5:$D$4000,3,FALSE),"")=0,"",IFERROR(VLOOKUP($B176,LINCE!$A$5:$D$4000,3,FALSE),""))</f>
        <v>INSIG BI SUB OFICIAL PRIMERA PENIT</v>
      </c>
      <c r="D176" s="4">
        <f>IF(IFERROR(VLOOKUP($B176,LINCE!$A$5:$D$4000,4,FALSE),"")=0,"",IFERROR(VLOOKUP($B176,LINCE!$A$5:$D$4000,4,FALSE),""))</f>
        <v>157.91</v>
      </c>
      <c r="E176" s="14" t="str">
        <f>IF(IFERROR(VLOOKUP($B176,LINCE!$A$5:$E$4000,5,FALSE),"")=0,"",IFERROR(VLOOKUP($B176,LINCE!$A$5:$E$4000,5,FALSE),""))</f>
        <v/>
      </c>
    </row>
    <row r="177" spans="1:5" ht="129.94999999999999" hidden="1" customHeight="1" x14ac:dyDescent="0.25">
      <c r="A177" s="1"/>
      <c r="B177" s="3">
        <v>7700462</v>
      </c>
      <c r="C177" s="4" t="str">
        <f>IF(IFERROR(VLOOKUP($B177,LINCE!$A$5:$D$4000,3,FALSE),"")=0,"",IFERROR(VLOOKUP($B177,LINCE!$A$5:$D$4000,3,FALSE),""))</f>
        <v>INSIG BI BAJA V PENIT SUB OF AUX. SGTO 1</v>
      </c>
      <c r="D177" s="4">
        <f>IF(IFERROR(VLOOKUP($B177,LINCE!$A$5:$D$4000,4,FALSE),"")=0,"",IFERROR(VLOOKUP($B177,LINCE!$A$5:$D$4000,4,FALSE),""))</f>
        <v>199.76</v>
      </c>
      <c r="E177" s="14">
        <f>IF(IFERROR(VLOOKUP($B177,LINCE!$A$5:$E$4000,5,FALSE),"")=0,"",IFERROR(VLOOKUP($B177,LINCE!$A$5:$E$4000,5,FALSE),""))</f>
        <v>11</v>
      </c>
    </row>
    <row r="178" spans="1:5" ht="129.94999999999999" hidden="1" customHeight="1" x14ac:dyDescent="0.25">
      <c r="A178" s="1"/>
      <c r="B178" s="3">
        <v>8505604</v>
      </c>
      <c r="C178" s="4" t="str">
        <f>IF(IFERROR(VLOOKUP($B178,LINCE!$A$5:$D$4000,3,FALSE),"")=0,"",IFERROR(VLOOKUP($B178,LINCE!$A$5:$D$4000,3,FALSE),""))</f>
        <v>INSIG BI SUB OFICIAL AUXILIAR PENIT</v>
      </c>
      <c r="D178" s="4" t="str">
        <f>IF(IFERROR(VLOOKUP($B178,LINCE!$A$5:$D$4000,4,FALSE),"")=0,"",IFERROR(VLOOKUP($B178,LINCE!$A$5:$D$4000,4,FALSE),""))</f>
        <v/>
      </c>
      <c r="E178" s="14" t="str">
        <f>IF(IFERROR(VLOOKUP($B178,LINCE!$A$5:$E$4000,5,FALSE),"")=0,"",IFERROR(VLOOKUP($B178,LINCE!$A$5:$E$4000,5,FALSE),""))</f>
        <v/>
      </c>
    </row>
    <row r="179" spans="1:5" ht="129.94999999999999" hidden="1" customHeight="1" x14ac:dyDescent="0.25">
      <c r="A179" s="1"/>
      <c r="B179" s="3">
        <v>7700461</v>
      </c>
      <c r="C179" s="4" t="str">
        <f>IF(IFERROR(VLOOKUP($B179,LINCE!$A$5:$D$4000,3,FALSE),"")=0,"",IFERROR(VLOOKUP($B179,LINCE!$A$5:$D$4000,3,FALSE),""))</f>
        <v>INSIG BI BAJA V PENIT SUB OF AYDTE SARG</v>
      </c>
      <c r="D179" s="4">
        <f>IF(IFERROR(VLOOKUP($B179,LINCE!$A$5:$D$4000,4,FALSE),"")=0,"",IFERROR(VLOOKUP($B179,LINCE!$A$5:$D$4000,4,FALSE),""))</f>
        <v>199.76</v>
      </c>
      <c r="E179" s="14">
        <f>IF(IFERROR(VLOOKUP($B179,LINCE!$A$5:$E$4000,5,FALSE),"")=0,"",IFERROR(VLOOKUP($B179,LINCE!$A$5:$E$4000,5,FALSE),""))</f>
        <v>10</v>
      </c>
    </row>
    <row r="180" spans="1:5" ht="129.94999999999999" hidden="1" customHeight="1" x14ac:dyDescent="0.25">
      <c r="A180" s="1"/>
      <c r="B180" s="3">
        <v>8505603</v>
      </c>
      <c r="C180" s="4" t="str">
        <f>IF(IFERROR(VLOOKUP($B180,LINCE!$A$5:$D$4000,3,FALSE),"")=0,"",IFERROR(VLOOKUP($B180,LINCE!$A$5:$D$4000,3,FALSE),""))</f>
        <v>INSIG BI SUB OFICIAL AYUDANTE PENIT</v>
      </c>
      <c r="D180" s="4" t="str">
        <f>IF(IFERROR(VLOOKUP($B180,LINCE!$A$5:$D$4000,4,FALSE),"")=0,"",IFERROR(VLOOKUP($B180,LINCE!$A$5:$D$4000,4,FALSE),""))</f>
        <v/>
      </c>
      <c r="E180" s="14" t="str">
        <f>IF(IFERROR(VLOOKUP($B180,LINCE!$A$5:$E$4000,5,FALSE),"")=0,"",IFERROR(VLOOKUP($B180,LINCE!$A$5:$E$4000,5,FALSE),""))</f>
        <v/>
      </c>
    </row>
    <row r="181" spans="1:5" ht="129.94999999999999" hidden="1" customHeight="1" x14ac:dyDescent="0.25">
      <c r="A181" s="1"/>
      <c r="B181" s="3">
        <v>7700460</v>
      </c>
      <c r="C181" s="4" t="str">
        <f>IF(IFERROR(VLOOKUP($B181,LINCE!$A$5:$D$4000,3,FALSE),"")=0,"",IFERROR(VLOOKUP($B181,LINCE!$A$5:$D$4000,3,FALSE),""))</f>
        <v>INSIG BI BAJA V PENIT SUB AYDTE CABO 1GN</v>
      </c>
      <c r="D181" s="4">
        <f>IF(IFERROR(VLOOKUP($B181,LINCE!$A$5:$D$4000,4,FALSE),"")=0,"",IFERROR(VLOOKUP($B181,LINCE!$A$5:$D$4000,4,FALSE),""))</f>
        <v>199.76</v>
      </c>
      <c r="E181" s="14">
        <f>IF(IFERROR(VLOOKUP($B181,LINCE!$A$5:$E$4000,5,FALSE),"")=0,"",IFERROR(VLOOKUP($B181,LINCE!$A$5:$E$4000,5,FALSE),""))</f>
        <v>2</v>
      </c>
    </row>
    <row r="182" spans="1:5" ht="129.94999999999999" hidden="1" customHeight="1" x14ac:dyDescent="0.25">
      <c r="A182" s="1"/>
      <c r="B182" s="3">
        <v>8501602</v>
      </c>
      <c r="C182" s="4" t="str">
        <f>IF(IFERROR(VLOOKUP($B182,LINCE!$A$5:$D$4000,3,FALSE),"")=0,"",IFERROR(VLOOKUP($B182,LINCE!$A$5:$D$4000,3,FALSE),""))</f>
        <v>INSIG BI CABO 1 GRIS PEN</v>
      </c>
      <c r="D182" s="4" t="str">
        <f>IF(IFERROR(VLOOKUP($B182,LINCE!$A$5:$D$4000,4,FALSE),"")=0,"",IFERROR(VLOOKUP($B182,LINCE!$A$5:$D$4000,4,FALSE),""))</f>
        <v/>
      </c>
      <c r="E182" s="14" t="str">
        <f>IF(IFERROR(VLOOKUP($B182,LINCE!$A$5:$E$4000,5,FALSE),"")=0,"",IFERROR(VLOOKUP($B182,LINCE!$A$5:$E$4000,5,FALSE),""))</f>
        <v/>
      </c>
    </row>
    <row r="183" spans="1:5" ht="129.94999999999999" hidden="1" customHeight="1" x14ac:dyDescent="0.25">
      <c r="A183" s="1"/>
      <c r="B183" s="3">
        <v>7700456</v>
      </c>
      <c r="C183" s="4" t="str">
        <f>IF(IFERROR(VLOOKUP($B183,LINCE!$A$5:$D$4000,3,FALSE),"")=0,"",IFERROR(VLOOKUP($B183,LINCE!$A$5:$D$4000,3,FALSE),""))</f>
        <v>INSIG BI BAJA V SUB OF. MAYOR BARG N/GRI</v>
      </c>
      <c r="D183" s="4">
        <f>IF(IFERROR(VLOOKUP($B183,LINCE!$A$5:$D$4000,4,FALSE),"")=0,"",IFERROR(VLOOKUP($B183,LINCE!$A$5:$D$4000,4,FALSE),""))</f>
        <v>199.76</v>
      </c>
      <c r="E183" s="14">
        <f>IF(IFERROR(VLOOKUP($B183,LINCE!$A$5:$E$4000,5,FALSE),"")=0,"",IFERROR(VLOOKUP($B183,LINCE!$A$5:$E$4000,5,FALSE),""))</f>
        <v>4</v>
      </c>
    </row>
    <row r="184" spans="1:5" ht="129.94999999999999" hidden="1" customHeight="1" x14ac:dyDescent="0.25">
      <c r="A184" s="1"/>
      <c r="B184" s="3">
        <v>8505707</v>
      </c>
      <c r="C184" s="4" t="str">
        <f>IF(IFERROR(VLOOKUP($B184,LINCE!$A$5:$D$4000,3,FALSE),"")=0,"",IFERROR(VLOOKUP($B184,LINCE!$A$5:$D$4000,3,FALSE),""))</f>
        <v>INSIG BI SUB OFICIAL MAYOR AZUL/AMARILLO</v>
      </c>
      <c r="D184" s="4">
        <f>IF(IFERROR(VLOOKUP($B184,LINCE!$A$5:$D$4000,4,FALSE),"")=0,"",IFERROR(VLOOKUP($B184,LINCE!$A$5:$D$4000,4,FALSE),""))</f>
        <v>199.76</v>
      </c>
      <c r="E184" s="14" t="str">
        <f>IF(IFERROR(VLOOKUP($B184,LINCE!$A$5:$E$4000,5,FALSE),"")=0,"",IFERROR(VLOOKUP($B184,LINCE!$A$5:$E$4000,5,FALSE),""))</f>
        <v/>
      </c>
    </row>
    <row r="185" spans="1:5" ht="129.94999999999999" hidden="1" customHeight="1" x14ac:dyDescent="0.25">
      <c r="A185" s="1"/>
      <c r="B185" s="3">
        <v>7700455</v>
      </c>
      <c r="C185" s="4" t="str">
        <f>IF(IFERROR(VLOOKUP($B185,LINCE!$A$5:$D$4000,3,FALSE),"")=0,"",IFERROR(VLOOKUP($B185,LINCE!$A$5:$D$4000,3,FALSE),""))</f>
        <v>INSIG BI BAJA V SUB OF. PPAL. BARG N/GRI</v>
      </c>
      <c r="D185" s="4">
        <f>IF(IFERROR(VLOOKUP($B185,LINCE!$A$5:$D$4000,4,FALSE),"")=0,"",IFERROR(VLOOKUP($B185,LINCE!$A$5:$D$4000,4,FALSE),""))</f>
        <v>199.76</v>
      </c>
      <c r="E185" s="14">
        <f>IF(IFERROR(VLOOKUP($B185,LINCE!$A$5:$E$4000,5,FALSE),"")=0,"",IFERROR(VLOOKUP($B185,LINCE!$A$5:$E$4000,5,FALSE),""))</f>
        <v>7</v>
      </c>
    </row>
    <row r="186" spans="1:5" ht="129.94999999999999" hidden="1" customHeight="1" x14ac:dyDescent="0.25">
      <c r="A186" s="1"/>
      <c r="B186" s="3">
        <v>7700106</v>
      </c>
      <c r="C186" s="4" t="str">
        <f>IF(IFERROR(VLOOKUP($B186,LINCE!$A$5:$D$4000,3,FALSE),"")=0,"",IFERROR(VLOOKUP($B186,LINCE!$A$5:$D$4000,3,FALSE),""))</f>
        <v>INSIG AZUL SUBOF PPAL COLGAR</v>
      </c>
      <c r="D186" s="4">
        <f>IF(IFERROR(VLOOKUP($B186,LINCE!$A$5:$D$4000,4,FALSE),"")=0,"",IFERROR(VLOOKUP($B186,LINCE!$A$5:$D$4000,4,FALSE),""))</f>
        <v>199.65</v>
      </c>
      <c r="E186" s="14">
        <f>IF(IFERROR(VLOOKUP($B186,LINCE!$A$5:$E$4000,5,FALSE),"")=0,"",IFERROR(VLOOKUP($B186,LINCE!$A$5:$E$4000,5,FALSE),""))</f>
        <v>17</v>
      </c>
    </row>
    <row r="187" spans="1:5" ht="129.94999999999999" hidden="1" customHeight="1" x14ac:dyDescent="0.25">
      <c r="A187" s="1"/>
      <c r="B187" s="3">
        <v>7700454</v>
      </c>
      <c r="C187" s="4" t="str">
        <f>IF(IFERROR(VLOOKUP($B187,LINCE!$A$5:$D$4000,3,FALSE),"")=0,"",IFERROR(VLOOKUP($B187,LINCE!$A$5:$D$4000,3,FALSE),""))</f>
        <v>INSIG BI BAJA V SARG. AYUDANTE BARG N/GR</v>
      </c>
      <c r="D187" s="4">
        <f>IF(IFERROR(VLOOKUP($B187,LINCE!$A$5:$D$4000,4,FALSE),"")=0,"",IFERROR(VLOOKUP($B187,LINCE!$A$5:$D$4000,4,FALSE),""))</f>
        <v>199.76</v>
      </c>
      <c r="E187" s="14">
        <f>IF(IFERROR(VLOOKUP($B187,LINCE!$A$5:$E$4000,5,FALSE),"")=0,"",IFERROR(VLOOKUP($B187,LINCE!$A$5:$E$4000,5,FALSE),""))</f>
        <v>22</v>
      </c>
    </row>
    <row r="188" spans="1:5" ht="129.94999999999999" hidden="1" customHeight="1" x14ac:dyDescent="0.25">
      <c r="A188" s="1"/>
      <c r="B188" s="3">
        <v>7700105</v>
      </c>
      <c r="C188" s="4" t="str">
        <f>IF(IFERROR(VLOOKUP($B188,LINCE!$A$5:$D$4000,3,FALSE),"")=0,"",IFERROR(VLOOKUP($B188,LINCE!$A$5:$D$4000,3,FALSE),""))</f>
        <v>INSIG AZUL SARG AYTE COLGAR</v>
      </c>
      <c r="D188" s="4">
        <f>IF(IFERROR(VLOOKUP($B188,LINCE!$A$5:$D$4000,4,FALSE),"")=0,"",IFERROR(VLOOKUP($B188,LINCE!$A$5:$D$4000,4,FALSE),""))</f>
        <v>199.65</v>
      </c>
      <c r="E188" s="14">
        <f>IF(IFERROR(VLOOKUP($B188,LINCE!$A$5:$E$4000,5,FALSE),"")=0,"",IFERROR(VLOOKUP($B188,LINCE!$A$5:$E$4000,5,FALSE),""))</f>
        <v>71</v>
      </c>
    </row>
    <row r="189" spans="1:5" ht="129.94999999999999" hidden="1" customHeight="1" x14ac:dyDescent="0.25">
      <c r="A189" s="1"/>
      <c r="B189" s="3">
        <v>7700453</v>
      </c>
      <c r="C189" s="4" t="str">
        <f>IF(IFERROR(VLOOKUP($B189,LINCE!$A$5:$D$4000,3,FALSE),"")=0,"",IFERROR(VLOOKUP($B189,LINCE!$A$5:$D$4000,3,FALSE),""))</f>
        <v>INSIG BI BAJA V SARGENTO 1  BARG N/GRIS</v>
      </c>
      <c r="D189" s="4">
        <f>IF(IFERROR(VLOOKUP($B189,LINCE!$A$5:$D$4000,4,FALSE),"")=0,"",IFERROR(VLOOKUP($B189,LINCE!$A$5:$D$4000,4,FALSE),""))</f>
        <v>199.76</v>
      </c>
      <c r="E189" s="14">
        <f>IF(IFERROR(VLOOKUP($B189,LINCE!$A$5:$E$4000,5,FALSE),"")=0,"",IFERROR(VLOOKUP($B189,LINCE!$A$5:$E$4000,5,FALSE),""))</f>
        <v>53</v>
      </c>
    </row>
    <row r="190" spans="1:5" ht="129.94999999999999" hidden="1" customHeight="1" x14ac:dyDescent="0.25">
      <c r="A190" s="1"/>
      <c r="B190" s="3">
        <v>7700104</v>
      </c>
      <c r="C190" s="4" t="str">
        <f>IF(IFERROR(VLOOKUP($B190,LINCE!$A$5:$D$4000,3,FALSE),"")=0,"",IFERROR(VLOOKUP($B190,LINCE!$A$5:$D$4000,3,FALSE),""))</f>
        <v>INSIG AZUL SARGENTO 1RO COLGAR</v>
      </c>
      <c r="D190" s="4">
        <f>IF(IFERROR(VLOOKUP($B190,LINCE!$A$5:$D$4000,4,FALSE),"")=0,"",IFERROR(VLOOKUP($B190,LINCE!$A$5:$D$4000,4,FALSE),""))</f>
        <v>199.65</v>
      </c>
      <c r="E190" s="14">
        <f>IF(IFERROR(VLOOKUP($B190,LINCE!$A$5:$E$4000,5,FALSE),"")=0,"",IFERROR(VLOOKUP($B190,LINCE!$A$5:$E$4000,5,FALSE),""))</f>
        <v>61</v>
      </c>
    </row>
    <row r="191" spans="1:5" ht="129.94999999999999" hidden="1" customHeight="1" x14ac:dyDescent="0.25">
      <c r="A191" s="1"/>
      <c r="B191" s="3">
        <v>7700452</v>
      </c>
      <c r="C191" s="4" t="str">
        <f>IF(IFERROR(VLOOKUP($B191,LINCE!$A$5:$D$4000,3,FALSE),"")=0,"",IFERROR(VLOOKUP($B191,LINCE!$A$5:$D$4000,3,FALSE),""))</f>
        <v>INSIG BI BAJA V SARGENTO    BARG N/GRIS</v>
      </c>
      <c r="D191" s="4">
        <f>IF(IFERROR(VLOOKUP($B191,LINCE!$A$5:$D$4000,4,FALSE),"")=0,"",IFERROR(VLOOKUP($B191,LINCE!$A$5:$D$4000,4,FALSE),""))</f>
        <v>165</v>
      </c>
      <c r="E191" s="14">
        <f>IF(IFERROR(VLOOKUP($B191,LINCE!$A$5:$E$4000,5,FALSE),"")=0,"",IFERROR(VLOOKUP($B191,LINCE!$A$5:$E$4000,5,FALSE),""))</f>
        <v>2</v>
      </c>
    </row>
    <row r="192" spans="1:5" ht="129.94999999999999" hidden="1" customHeight="1" x14ac:dyDescent="0.25">
      <c r="A192" s="1"/>
      <c r="B192" s="3">
        <v>7700103</v>
      </c>
      <c r="C192" s="4" t="str">
        <f>IF(IFERROR(VLOOKUP($B192,LINCE!$A$5:$D$4000,3,FALSE),"")=0,"",IFERROR(VLOOKUP($B192,LINCE!$A$5:$D$4000,3,FALSE),""))</f>
        <v>INSIG AZUL SARGENTO COLGAR</v>
      </c>
      <c r="D192" s="4">
        <f>IF(IFERROR(VLOOKUP($B192,LINCE!$A$5:$D$4000,4,FALSE),"")=0,"",IFERROR(VLOOKUP($B192,LINCE!$A$5:$D$4000,4,FALSE),""))</f>
        <v>199.65</v>
      </c>
      <c r="E192" s="14">
        <f>IF(IFERROR(VLOOKUP($B192,LINCE!$A$5:$E$4000,5,FALSE),"")=0,"",IFERROR(VLOOKUP($B192,LINCE!$A$5:$E$4000,5,FALSE),""))</f>
        <v>74</v>
      </c>
    </row>
    <row r="193" spans="1:5" ht="129.94999999999999" hidden="1" customHeight="1" x14ac:dyDescent="0.25">
      <c r="A193" s="1"/>
      <c r="B193" s="3">
        <v>7700451</v>
      </c>
      <c r="C193" s="4" t="str">
        <f>IF(IFERROR(VLOOKUP($B193,LINCE!$A$5:$D$4000,3,FALSE),"")=0,"",IFERROR(VLOOKUP($B193,LINCE!$A$5:$D$4000,3,FALSE),""))</f>
        <v>INSIG BI BAJA V CABO PRIMERO BARG N/GRIS</v>
      </c>
      <c r="D193" s="4">
        <f>IF(IFERROR(VLOOKUP($B193,LINCE!$A$5:$D$4000,4,FALSE),"")=0,"",IFERROR(VLOOKUP($B193,LINCE!$A$5:$D$4000,4,FALSE),""))</f>
        <v>165</v>
      </c>
      <c r="E193" s="14">
        <f>IF(IFERROR(VLOOKUP($B193,LINCE!$A$5:$E$4000,5,FALSE),"")=0,"",IFERROR(VLOOKUP($B193,LINCE!$A$5:$E$4000,5,FALSE),""))</f>
        <v>32</v>
      </c>
    </row>
    <row r="194" spans="1:5" ht="129.94999999999999" hidden="1" customHeight="1" x14ac:dyDescent="0.25">
      <c r="A194" s="1"/>
      <c r="B194" s="3">
        <v>7700101</v>
      </c>
      <c r="C194" s="4" t="str">
        <f>IF(IFERROR(VLOOKUP($B194,LINCE!$A$5:$D$4000,3,FALSE),"")=0,"",IFERROR(VLOOKUP($B194,LINCE!$A$5:$D$4000,3,FALSE),""))</f>
        <v>INSIG AZUL CABO 1RO COLGAR</v>
      </c>
      <c r="D194" s="4">
        <f>IF(IFERROR(VLOOKUP($B194,LINCE!$A$5:$D$4000,4,FALSE),"")=0,"",IFERROR(VLOOKUP($B194,LINCE!$A$5:$D$4000,4,FALSE),""))</f>
        <v>199.65</v>
      </c>
      <c r="E194" s="14">
        <f>IF(IFERROR(VLOOKUP($B194,LINCE!$A$5:$E$4000,5,FALSE),"")=0,"",IFERROR(VLOOKUP($B194,LINCE!$A$5:$E$4000,5,FALSE),""))</f>
        <v>230</v>
      </c>
    </row>
    <row r="195" spans="1:5" ht="129.94999999999999" hidden="1" customHeight="1" x14ac:dyDescent="0.25">
      <c r="A195" s="1"/>
      <c r="B195" s="3">
        <v>7700450</v>
      </c>
      <c r="C195" s="4" t="str">
        <f>IF(IFERROR(VLOOKUP($B195,LINCE!$A$5:$D$4000,3,FALSE),"")=0,"",IFERROR(VLOOKUP($B195,LINCE!$A$5:$D$4000,3,FALSE),""))</f>
        <v>INSIG BI BAJA V CABO    BARG  N/GRIS</v>
      </c>
      <c r="D195" s="4">
        <f>IF(IFERROR(VLOOKUP($B195,LINCE!$A$5:$D$4000,4,FALSE),"")=0,"",IFERROR(VLOOKUP($B195,LINCE!$A$5:$D$4000,4,FALSE),""))</f>
        <v>165</v>
      </c>
      <c r="E195" s="14">
        <f>IF(IFERROR(VLOOKUP($B195,LINCE!$A$5:$E$4000,5,FALSE),"")=0,"",IFERROR(VLOOKUP($B195,LINCE!$A$5:$E$4000,5,FALSE),""))</f>
        <v>13</v>
      </c>
    </row>
    <row r="196" spans="1:5" ht="129.94999999999999" hidden="1" customHeight="1" x14ac:dyDescent="0.25">
      <c r="A196" s="1"/>
      <c r="B196" s="3">
        <v>7700100</v>
      </c>
      <c r="C196" s="4" t="str">
        <f>IF(IFERROR(VLOOKUP($B196,LINCE!$A$5:$D$4000,3,FALSE),"")=0,"",IFERROR(VLOOKUP($B196,LINCE!$A$5:$D$4000,3,FALSE),""))</f>
        <v>INSIG AZUL CABO  COLGAR</v>
      </c>
      <c r="D196" s="4">
        <f>IF(IFERROR(VLOOKUP($B196,LINCE!$A$5:$D$4000,4,FALSE),"")=0,"",IFERROR(VLOOKUP($B196,LINCE!$A$5:$D$4000,4,FALSE),""))</f>
        <v>199.65</v>
      </c>
      <c r="E196" s="14">
        <f>IF(IFERROR(VLOOKUP($B196,LINCE!$A$5:$E$4000,5,FALSE),"")=0,"",IFERROR(VLOOKUP($B196,LINCE!$A$5:$E$4000,5,FALSE),""))</f>
        <v>63</v>
      </c>
    </row>
    <row r="197" spans="1:5" ht="129.94999999999999" hidden="1" customHeight="1" x14ac:dyDescent="0.25">
      <c r="A197" s="1"/>
      <c r="B197" s="3">
        <v>8505141</v>
      </c>
      <c r="C197" s="4" t="str">
        <f>IF(IFERROR(VLOOKUP($B197,LINCE!$A$5:$D$4000,3,FALSE),"")=0,"",IFERROR(VLOOKUP($B197,LINCE!$A$5:$D$4000,3,FALSE),""))</f>
        <v>PECT. BORD. B. VISIB. AUX. SEGUNDO BI</v>
      </c>
      <c r="D197" s="4">
        <f>IF(IFERROR(VLOOKUP($B197,LINCE!$A$5:$D$4000,4,FALSE),"")=0,"",IFERROR(VLOOKUP($B197,LINCE!$A$5:$D$4000,4,FALSE),""))</f>
        <v>153.05000000000001</v>
      </c>
      <c r="E197" s="14">
        <f>IF(IFERROR(VLOOKUP($B197,LINCE!$A$5:$E$4000,5,FALSE),"")=0,"",IFERROR(VLOOKUP($B197,LINCE!$A$5:$E$4000,5,FALSE),""))</f>
        <v>43</v>
      </c>
    </row>
    <row r="198" spans="1:5" ht="129.94999999999999" hidden="1" customHeight="1" x14ac:dyDescent="0.25">
      <c r="A198" s="1"/>
      <c r="B198" s="3">
        <v>8505789</v>
      </c>
      <c r="C198" s="4" t="str">
        <f>IF(IFERROR(VLOOKUP($B198,LINCE!$A$5:$D$4000,3,FALSE),"")=0,"",IFERROR(VLOOKUP($B198,LINCE!$A$5:$D$4000,3,FALSE),""))</f>
        <v>PECT. BORD. AUXILIAR SEGUNDO BI</v>
      </c>
      <c r="D198" s="4">
        <f>IF(IFERROR(VLOOKUP($B198,LINCE!$A$5:$D$4000,4,FALSE),"")=0,"",IFERROR(VLOOKUP($B198,LINCE!$A$5:$D$4000,4,FALSE),""))</f>
        <v>137.76</v>
      </c>
      <c r="E198" s="14">
        <f>IF(IFERROR(VLOOKUP($B198,LINCE!$A$5:$E$4000,5,FALSE),"")=0,"",IFERROR(VLOOKUP($B198,LINCE!$A$5:$E$4000,5,FALSE),""))</f>
        <v>40</v>
      </c>
    </row>
    <row r="199" spans="1:5" ht="129.94999999999999" hidden="1" customHeight="1" x14ac:dyDescent="0.25">
      <c r="A199" s="1"/>
      <c r="B199" s="3">
        <v>8505140</v>
      </c>
      <c r="C199" s="4" t="str">
        <f>IF(IFERROR(VLOOKUP($B199,LINCE!$A$5:$D$4000,3,FALSE),"")=0,"",IFERROR(VLOOKUP($B199,LINCE!$A$5:$D$4000,3,FALSE),""))</f>
        <v>PECT. BORD. B. VISIB. AUXILIAR 1 BI</v>
      </c>
      <c r="D199" s="4">
        <f>IF(IFERROR(VLOOKUP($B199,LINCE!$A$5:$D$4000,4,FALSE),"")=0,"",IFERROR(VLOOKUP($B199,LINCE!$A$5:$D$4000,4,FALSE),""))</f>
        <v>153.05000000000001</v>
      </c>
      <c r="E199" s="14">
        <f>IF(IFERROR(VLOOKUP($B199,LINCE!$A$5:$E$4000,5,FALSE),"")=0,"",IFERROR(VLOOKUP($B199,LINCE!$A$5:$E$4000,5,FALSE),""))</f>
        <v>34</v>
      </c>
    </row>
    <row r="200" spans="1:5" ht="129.94999999999999" hidden="1" customHeight="1" x14ac:dyDescent="0.25">
      <c r="A200" s="1"/>
      <c r="B200" s="3">
        <v>8505157</v>
      </c>
      <c r="C200" s="4" t="str">
        <f>IF(IFERROR(VLOOKUP($B200,LINCE!$A$5:$D$4000,3,FALSE),"")=0,"",IFERROR(VLOOKUP($B200,LINCE!$A$5:$D$4000,3,FALSE),""))</f>
        <v>PECT. BORD. AUXILIAR PRIMERO    12 BI</v>
      </c>
      <c r="D200" s="4">
        <f>IF(IFERROR(VLOOKUP($B200,LINCE!$A$5:$D$4000,4,FALSE),"")=0,"",IFERROR(VLOOKUP($B200,LINCE!$A$5:$D$4000,4,FALSE),""))</f>
        <v>153.05000000000001</v>
      </c>
      <c r="E200" s="14">
        <f>IF(IFERROR(VLOOKUP($B200,LINCE!$A$5:$E$4000,5,FALSE),"")=0,"",IFERROR(VLOOKUP($B200,LINCE!$A$5:$E$4000,5,FALSE),""))</f>
        <v>66</v>
      </c>
    </row>
    <row r="201" spans="1:5" ht="129.94999999999999" hidden="1" customHeight="1" x14ac:dyDescent="0.25">
      <c r="A201" s="1"/>
      <c r="B201" s="3">
        <v>8505024</v>
      </c>
      <c r="C201" s="4" t="str">
        <f>IF(IFERROR(VLOOKUP($B201,LINCE!$A$5:$D$4000,3,FALSE),"")=0,"",IFERROR(VLOOKUP($B201,LINCE!$A$5:$D$4000,3,FALSE),""))</f>
        <v>PECT ESC CADETES 2 BARRAS AZ BI</v>
      </c>
      <c r="D201" s="4">
        <f>IF(IFERROR(VLOOKUP($B201,LINCE!$A$5:$D$4000,4,FALSE),"")=0,"",IFERROR(VLOOKUP($B201,LINCE!$A$5:$D$4000,4,FALSE),""))</f>
        <v>119.87</v>
      </c>
      <c r="E201" s="14">
        <f>IF(IFERROR(VLOOKUP($B201,LINCE!$A$5:$E$4000,5,FALSE),"")=0,"",IFERROR(VLOOKUP($B201,LINCE!$A$5:$E$4000,5,FALSE),""))</f>
        <v>21</v>
      </c>
    </row>
    <row r="202" spans="1:5" ht="129.94999999999999" hidden="1" customHeight="1" x14ac:dyDescent="0.25">
      <c r="A202" s="1"/>
      <c r="B202" s="3">
        <v>8505163</v>
      </c>
      <c r="C202" s="4" t="str">
        <f>IF(IFERROR(VLOOKUP($B202,LINCE!$A$5:$D$4000,3,FALSE),"")=0,"",IFERROR(VLOOKUP($B202,LINCE!$A$5:$D$4000,3,FALSE),""))</f>
        <v>PECT BI AUXILIAR BEIGE BI</v>
      </c>
      <c r="D202" s="4">
        <f>IF(IFERROR(VLOOKUP($B202,LINCE!$A$5:$D$4000,4,FALSE),"")=0,"",IFERROR(VLOOKUP($B202,LINCE!$A$5:$D$4000,4,FALSE),""))</f>
        <v>153.05000000000001</v>
      </c>
      <c r="E202" s="14" t="str">
        <f>IF(IFERROR(VLOOKUP($B202,LINCE!$A$5:$E$4000,5,FALSE),"")=0,"",IFERROR(VLOOKUP($B202,LINCE!$A$5:$E$4000,5,FALSE),""))</f>
        <v/>
      </c>
    </row>
    <row r="203" spans="1:5" ht="129.94999999999999" hidden="1" customHeight="1" x14ac:dyDescent="0.25">
      <c r="A203" s="1"/>
      <c r="B203" s="3">
        <v>8505156</v>
      </c>
      <c r="C203" s="4" t="str">
        <f>IF(IFERROR(VLOOKUP($B203,LINCE!$A$5:$D$4000,3,FALSE),"")=0,"",IFERROR(VLOOKUP($B203,LINCE!$A$5:$D$4000,3,FALSE),""))</f>
        <v>PECT. BORD. AUXILIAR   11 BI</v>
      </c>
      <c r="D203" s="4">
        <f>IF(IFERROR(VLOOKUP($B203,LINCE!$A$5:$D$4000,4,FALSE),"")=0,"",IFERROR(VLOOKUP($B203,LINCE!$A$5:$D$4000,4,FALSE),""))</f>
        <v>153.05000000000001</v>
      </c>
      <c r="E203" s="14">
        <f>IF(IFERROR(VLOOKUP($B203,LINCE!$A$5:$E$4000,5,FALSE),"")=0,"",IFERROR(VLOOKUP($B203,LINCE!$A$5:$E$4000,5,FALSE),""))</f>
        <v>202</v>
      </c>
    </row>
    <row r="204" spans="1:5" ht="129.94999999999999" hidden="1" customHeight="1" x14ac:dyDescent="0.25">
      <c r="A204" s="1"/>
      <c r="B204" s="3">
        <v>8505262</v>
      </c>
      <c r="C204" s="4" t="str">
        <f>IF(IFERROR(VLOOKUP($B204,LINCE!$A$5:$D$4000,3,FALSE),"")=0,"",IFERROR(VLOOKUP($B204,LINCE!$A$5:$D$4000,3,FALSE),""))</f>
        <v>PECT 1 ROMBO Y SERRETA SUBCOMIS BARG BI</v>
      </c>
      <c r="D204" s="4">
        <f>IF(IFERROR(VLOOKUP($B204,LINCE!$A$5:$D$4000,4,FALSE),"")=0,"",IFERROR(VLOOKUP($B204,LINCE!$A$5:$D$4000,4,FALSE),""))</f>
        <v>214.29</v>
      </c>
      <c r="E204" s="14">
        <f>IF(IFERROR(VLOOKUP($B204,LINCE!$A$5:$E$4000,5,FALSE),"")=0,"",IFERROR(VLOOKUP($B204,LINCE!$A$5:$E$4000,5,FALSE),""))</f>
        <v>41</v>
      </c>
    </row>
    <row r="205" spans="1:5" ht="129.94999999999999" hidden="1" customHeight="1" x14ac:dyDescent="0.25">
      <c r="A205" s="1"/>
      <c r="B205" s="3">
        <v>8505367</v>
      </c>
      <c r="C205" s="4" t="str">
        <f>IF(IFERROR(VLOOKUP($B205,LINCE!$A$5:$D$4000,3,FALSE),"")=0,"",IFERROR(VLOOKUP($B205,LINCE!$A$5:$D$4000,3,FALSE),""))</f>
        <v>PECT. 3 ROMBOS Y PALMA  CRIO GRAL BI</v>
      </c>
      <c r="D205" s="4">
        <f>IF(IFERROR(VLOOKUP($B205,LINCE!$A$5:$D$4000,4,FALSE),"")=0,"",IFERROR(VLOOKUP($B205,LINCE!$A$5:$D$4000,4,FALSE),""))</f>
        <v>304.60000000000002</v>
      </c>
      <c r="E205" s="14" t="str">
        <f>IF(IFERROR(VLOOKUP($B205,LINCE!$A$5:$E$4000,5,FALSE),"")=0,"",IFERROR(VLOOKUP($B205,LINCE!$A$5:$E$4000,5,FALSE),""))</f>
        <v/>
      </c>
    </row>
    <row r="206" spans="1:5" ht="129.94999999999999" hidden="1" customHeight="1" x14ac:dyDescent="0.25">
      <c r="A206" s="1"/>
      <c r="B206" s="3">
        <v>8505243</v>
      </c>
      <c r="C206" s="4" t="str">
        <f>IF(IFERROR(VLOOKUP($B206,LINCE!$A$5:$D$4000,3,FALSE),"")=0,"",IFERROR(VLOOKUP($B206,LINCE!$A$5:$D$4000,3,FALSE),""))</f>
        <v>PECT 3 ROMBO CHICOS OF. PPAL BARG BI</v>
      </c>
      <c r="D206" s="4">
        <f>IF(IFERROR(VLOOKUP($B206,LINCE!$A$5:$D$4000,4,FALSE),"")=0,"",IFERROR(VLOOKUP($B206,LINCE!$A$5:$D$4000,4,FALSE),""))</f>
        <v>229.6</v>
      </c>
      <c r="E206" s="14">
        <f>IF(IFERROR(VLOOKUP($B206,LINCE!$A$5:$E$4000,5,FALSE),"")=0,"",IFERROR(VLOOKUP($B206,LINCE!$A$5:$E$4000,5,FALSE),""))</f>
        <v>104</v>
      </c>
    </row>
    <row r="207" spans="1:5" ht="129.94999999999999" hidden="1" customHeight="1" x14ac:dyDescent="0.25">
      <c r="A207" s="1"/>
      <c r="B207" s="3">
        <v>8505196</v>
      </c>
      <c r="C207" s="4" t="str">
        <f>IF(IFERROR(VLOOKUP($B207,LINCE!$A$5:$D$4000,3,FALSE),"")=0,"",IFERROR(VLOOKUP($B207,LINCE!$A$5:$D$4000,3,FALSE),""))</f>
        <v>PECT 2 ROMBOS CHICOS PLAT BARG BI</v>
      </c>
      <c r="D207" s="4">
        <f>IF(IFERROR(VLOOKUP($B207,LINCE!$A$5:$D$4000,4,FALSE),"")=0,"",IFERROR(VLOOKUP($B207,LINCE!$A$5:$D$4000,4,FALSE),""))</f>
        <v>214.29</v>
      </c>
      <c r="E207" s="14">
        <f>IF(IFERROR(VLOOKUP($B207,LINCE!$A$5:$E$4000,5,FALSE),"")=0,"",IFERROR(VLOOKUP($B207,LINCE!$A$5:$E$4000,5,FALSE),""))</f>
        <v>71</v>
      </c>
    </row>
    <row r="208" spans="1:5" ht="129.94999999999999" hidden="1" customHeight="1" x14ac:dyDescent="0.25">
      <c r="A208" s="1"/>
      <c r="B208" s="3">
        <v>8505224</v>
      </c>
      <c r="C208" s="4" t="str">
        <f>IF(IFERROR(VLOOKUP($B208,LINCE!$A$5:$D$4000,3,FALSE),"")=0,"",IFERROR(VLOOKUP($B208,LINCE!$A$5:$D$4000,3,FALSE),""))</f>
        <v>PECT 1 ROMBO BASE FRAN PALMA C. INSP BI</v>
      </c>
      <c r="D208" s="4">
        <f>IF(IFERROR(VLOOKUP($B208,LINCE!$A$5:$D$4000,4,FALSE),"")=0,"",IFERROR(VLOOKUP($B208,LINCE!$A$5:$D$4000,4,FALSE),""))</f>
        <v>214.29</v>
      </c>
      <c r="E208" s="14">
        <f>IF(IFERROR(VLOOKUP($B208,LINCE!$A$5:$E$4000,5,FALSE),"")=0,"",IFERROR(VLOOKUP($B208,LINCE!$A$5:$E$4000,5,FALSE),""))</f>
        <v>124</v>
      </c>
    </row>
    <row r="209" spans="1:5" ht="129.94999999999999" hidden="1" customHeight="1" x14ac:dyDescent="0.25">
      <c r="A209" s="1"/>
      <c r="B209" s="3">
        <v>8505329</v>
      </c>
      <c r="C209" s="4" t="str">
        <f>IF(IFERROR(VLOOKUP($B209,LINCE!$A$5:$D$4000,3,FALSE),"")=0,"",IFERROR(VLOOKUP($B209,LINCE!$A$5:$D$4000,3,FALSE),""))</f>
        <v>PECT 2 ROMBOS DOR/PLA  SERR CRIO BARG BI</v>
      </c>
      <c r="D209" s="4">
        <f>IF(IFERROR(VLOOKUP($B209,LINCE!$A$5:$D$4000,4,FALSE),"")=0,"",IFERROR(VLOOKUP($B209,LINCE!$A$5:$D$4000,4,FALSE),""))</f>
        <v>229.6</v>
      </c>
      <c r="E209" s="14">
        <f>IF(IFERROR(VLOOKUP($B209,LINCE!$A$5:$E$4000,5,FALSE),"")=0,"",IFERROR(VLOOKUP($B209,LINCE!$A$5:$E$4000,5,FALSE),""))</f>
        <v>150</v>
      </c>
    </row>
    <row r="210" spans="1:5" ht="129.94999999999999" hidden="1" customHeight="1" x14ac:dyDescent="0.25">
      <c r="A210" s="1"/>
      <c r="B210" s="3">
        <v>8505159</v>
      </c>
      <c r="C210" s="4" t="str">
        <f>IF(IFERROR(VLOOKUP($B210,LINCE!$A$5:$D$4000,3,FALSE),"")=0,"",IFERROR(VLOOKUP($B210,LINCE!$A$5:$D$4000,3,FALSE),""))</f>
        <v>PECT. 1 ROMBO CHICO PLATEADO  BARG BI</v>
      </c>
      <c r="D210" s="4">
        <f>IF(IFERROR(VLOOKUP($B210,LINCE!$A$5:$D$4000,4,FALSE),"")=0,"",IFERROR(VLOOKUP($B210,LINCE!$A$5:$D$4000,4,FALSE),""))</f>
        <v>153.05000000000001</v>
      </c>
      <c r="E210" s="14" t="str">
        <f>IF(IFERROR(VLOOKUP($B210,LINCE!$A$5:$E$4000,5,FALSE),"")=0,"",IFERROR(VLOOKUP($B210,LINCE!$A$5:$E$4000,5,FALSE),""))</f>
        <v/>
      </c>
    </row>
    <row r="211" spans="1:5" ht="129.94999999999999" hidden="1" customHeight="1" x14ac:dyDescent="0.25">
      <c r="A211" s="1"/>
      <c r="B211" s="3">
        <v>8505233</v>
      </c>
      <c r="C211" s="4" t="str">
        <f>IF(IFERROR(VLOOKUP($B211,LINCE!$A$5:$D$4000,3,FALSE),"")=0,"",IFERROR(VLOOKUP($B211,LINCE!$A$5:$D$4000,3,FALSE),""))</f>
        <v>PECT 2 ROMBOS CHICOS 1 DOR Y 1 PLA  BI</v>
      </c>
      <c r="D211" s="4">
        <f>IF(IFERROR(VLOOKUP($B211,LINCE!$A$5:$D$4000,4,FALSE),"")=0,"",IFERROR(VLOOKUP($B211,LINCE!$A$5:$D$4000,4,FALSE),""))</f>
        <v>214.29</v>
      </c>
      <c r="E211" s="14">
        <f>IF(IFERROR(VLOOKUP($B211,LINCE!$A$5:$E$4000,5,FALSE),"")=0,"",IFERROR(VLOOKUP($B211,LINCE!$A$5:$E$4000,5,FALSE),""))</f>
        <v>32</v>
      </c>
    </row>
    <row r="212" spans="1:5" ht="129.94999999999999" hidden="1" customHeight="1" x14ac:dyDescent="0.25">
      <c r="A212" s="1"/>
      <c r="B212" s="3">
        <v>8505160</v>
      </c>
      <c r="C212" s="4" t="str">
        <f>IF(IFERROR(VLOOKUP($B212,LINCE!$A$5:$D$4000,3,FALSE),"")=0,"",IFERROR(VLOOKUP($B212,LINCE!$A$5:$D$4000,3,FALSE),""))</f>
        <v>PECT. 1 ROMBO CHICO DORADO BARG BI</v>
      </c>
      <c r="D212" s="4">
        <f>IF(IFERROR(VLOOKUP($B212,LINCE!$A$5:$D$4000,4,FALSE),"")=0,"",IFERROR(VLOOKUP($B212,LINCE!$A$5:$D$4000,4,FALSE),""))</f>
        <v>153.05000000000001</v>
      </c>
      <c r="E212" s="14">
        <f>IF(IFERROR(VLOOKUP($B212,LINCE!$A$5:$E$4000,5,FALSE),"")=0,"",IFERROR(VLOOKUP($B212,LINCE!$A$5:$E$4000,5,FALSE),""))</f>
        <v>143</v>
      </c>
    </row>
    <row r="213" spans="1:5" ht="129.94999999999999" hidden="1" customHeight="1" x14ac:dyDescent="0.25">
      <c r="A213" s="1"/>
      <c r="B213" s="3">
        <v>7709456</v>
      </c>
      <c r="C213" s="4" t="str">
        <f>IF(IFERROR(VLOOKUP($B213,LINCE!$A$5:$D$4000,3,FALSE),"")=0,"",IFERROR(VLOOKUP($B213,LINCE!$A$5:$D$4000,3,FALSE),""))</f>
        <v>ESC BORD MZA PENIT SERP BV   BARG</v>
      </c>
      <c r="D213" s="4">
        <f>IF(IFERROR(VLOOKUP($B213,LINCE!$A$5:$D$4000,4,FALSE),"")=0,"",IFERROR(VLOOKUP($B213,LINCE!$A$5:$D$4000,4,FALSE),""))</f>
        <v>381.14</v>
      </c>
      <c r="E213" s="14">
        <f>IF(IFERROR(VLOOKUP($B213,LINCE!$A$5:$E$4000,5,FALSE),"")=0,"",IFERROR(VLOOKUP($B213,LINCE!$A$5:$E$4000,5,FALSE),""))</f>
        <v>28</v>
      </c>
    </row>
    <row r="214" spans="1:5" ht="129.94999999999999" hidden="1" customHeight="1" x14ac:dyDescent="0.25">
      <c r="A214" s="1"/>
      <c r="B214" s="3">
        <v>7709547</v>
      </c>
      <c r="C214" s="4" t="str">
        <f>IF(IFERROR(VLOOKUP($B214,LINCE!$A$5:$D$4000,3,FALSE),"")=0,"",IFERROR(VLOOKUP($B214,LINCE!$A$5:$D$4000,3,FALSE),""))</f>
        <v>ESC BORD MZA POL BAJA VISIBILID</v>
      </c>
      <c r="D214" s="4">
        <f>IF(IFERROR(VLOOKUP($B214,LINCE!$A$5:$D$4000,4,FALSE),"")=0,"",IFERROR(VLOOKUP($B214,LINCE!$A$5:$D$4000,4,FALSE),""))</f>
        <v>262.33</v>
      </c>
      <c r="E214" s="14">
        <f>IF(IFERROR(VLOOKUP($B214,LINCE!$A$5:$E$4000,5,FALSE),"")=0,"",IFERROR(VLOOKUP($B214,LINCE!$A$5:$E$4000,5,FALSE),""))</f>
        <v>26</v>
      </c>
    </row>
    <row r="215" spans="1:5" ht="129.94999999999999" hidden="1" customHeight="1" x14ac:dyDescent="0.25">
      <c r="A215" s="1"/>
      <c r="B215" s="3">
        <v>7711676</v>
      </c>
      <c r="C215" s="4" t="str">
        <f>IF(IFERROR(VLOOKUP($B215,LINCE!$A$5:$D$4000,3,FALSE),"")=0,"",IFERROR(VLOOKUP($B215,LINCE!$A$5:$D$4000,3,FALSE),""))</f>
        <v>ROMBO BORD ORO DG</v>
      </c>
      <c r="D215" s="4" t="str">
        <f>IF(IFERROR(VLOOKUP($B215,LINCE!$A$5:$D$4000,4,FALSE),"")=0,"",IFERROR(VLOOKUP($B215,LINCE!$A$5:$D$4000,4,FALSE),""))</f>
        <v/>
      </c>
      <c r="E215" s="14" t="str">
        <f>IF(IFERROR(VLOOKUP($B215,LINCE!$A$5:$E$4000,5,FALSE),"")=0,"",IFERROR(VLOOKUP($B215,LINCE!$A$5:$E$4000,5,FALSE),""))</f>
        <v/>
      </c>
    </row>
    <row r="216" spans="1:5" ht="129.94999999999999" hidden="1" customHeight="1" x14ac:dyDescent="0.25">
      <c r="A216" s="1"/>
      <c r="B216" s="3">
        <v>8503984</v>
      </c>
      <c r="C216" s="4" t="str">
        <f>IF(IFERROR(VLOOKUP($B216,LINCE!$A$5:$D$4000,3,FALSE),"")=0,"",IFERROR(VLOOKUP($B216,LINCE!$A$5:$D$4000,3,FALSE),""))</f>
        <v>PALMA BORD ORO AZUL 11 HOJAS CHAQUET DG</v>
      </c>
      <c r="D216" s="4">
        <f>IF(IFERROR(VLOOKUP($B216,LINCE!$A$5:$D$4000,4,FALSE),"")=0,"",IFERROR(VLOOKUP($B216,LINCE!$A$5:$D$4000,4,FALSE),""))</f>
        <v>2399.9899999999998</v>
      </c>
      <c r="E216" s="14" t="str">
        <f>IF(IFERROR(VLOOKUP($B216,LINCE!$A$5:$E$4000,5,FALSE),"")=0,"",IFERROR(VLOOKUP($B216,LINCE!$A$5:$E$4000,5,FALSE),""))</f>
        <v/>
      </c>
    </row>
    <row r="217" spans="1:5" ht="129.94999999999999" hidden="1" customHeight="1" x14ac:dyDescent="0.25">
      <c r="A217" s="1"/>
      <c r="B217" s="3">
        <v>7709517</v>
      </c>
      <c r="C217" s="4" t="str">
        <f>IF(IFERROR(VLOOKUP($B217,LINCE!$A$5:$D$4000,3,FALSE),"")=0,"",IFERROR(VLOOKUP($B217,LINCE!$A$5:$D$4000,3,FALSE),""))</f>
        <v>ESC GORRA ORO MENDOZA</v>
      </c>
      <c r="D217" s="4">
        <f>IF(IFERROR(VLOOKUP($B217,LINCE!$A$5:$D$4000,4,FALSE),"")=0,"",IFERROR(VLOOKUP($B217,LINCE!$A$5:$D$4000,4,FALSE),""))</f>
        <v>2299.9899999999998</v>
      </c>
      <c r="E217" s="14">
        <f>IF(IFERROR(VLOOKUP($B217,LINCE!$A$5:$E$4000,5,FALSE),"")=0,"",IFERROR(VLOOKUP($B217,LINCE!$A$5:$E$4000,5,FALSE),""))</f>
        <v>5</v>
      </c>
    </row>
    <row r="218" spans="1:5" ht="129.94999999999999" hidden="1" customHeight="1" x14ac:dyDescent="0.25">
      <c r="A218" s="1"/>
      <c r="B218" s="3">
        <v>8703300</v>
      </c>
      <c r="C218" s="4" t="str">
        <f>IF(IFERROR(VLOOKUP($B218,LINCE!$A$5:$D$4000,3,FALSE),"")=0,"",IFERROR(VLOOKUP($B218,LINCE!$A$5:$D$4000,3,FALSE),""))</f>
        <v>PIST. POLIA UNIVERSAL MULTIMARCA EZ</v>
      </c>
      <c r="D218" s="4">
        <f>IF(IFERROR(VLOOKUP($B218,LINCE!$A$5:$D$4000,4,FALSE),"")=0,"",IFERROR(VLOOKUP($B218,LINCE!$A$5:$D$4000,4,FALSE),""))</f>
        <v>1391.5</v>
      </c>
      <c r="E218" s="14">
        <f>IF(IFERROR(VLOOKUP($B218,LINCE!$A$5:$E$4000,5,FALSE),"")=0,"",IFERROR(VLOOKUP($B218,LINCE!$A$5:$E$4000,5,FALSE),""))</f>
        <v>59</v>
      </c>
    </row>
    <row r="219" spans="1:5" ht="129.94999999999999" hidden="1" customHeight="1" x14ac:dyDescent="0.25">
      <c r="A219" s="1"/>
      <c r="B219" s="3">
        <v>8703900</v>
      </c>
      <c r="C219" s="4" t="str">
        <f>IF(IFERROR(VLOOKUP($B219,LINCE!$A$5:$D$4000,3,FALSE),"")=0,"",IFERROR(VLOOKUP($B219,LINCE!$A$5:$D$4000,3,FALSE),""))</f>
        <v>PIST. POLIA MINICOMPAC SAQUERAP MAZ</v>
      </c>
      <c r="D219" s="4">
        <f>IF(IFERROR(VLOOKUP($B219,LINCE!$A$5:$D$4000,4,FALSE),"")=0,"",IFERROR(VLOOKUP($B219,LINCE!$A$5:$D$4000,4,FALSE),""))</f>
        <v>938.34</v>
      </c>
      <c r="E219" s="14">
        <f>IF(IFERROR(VLOOKUP($B219,LINCE!$A$5:$E$4000,5,FALSE),"")=0,"",IFERROR(VLOOKUP($B219,LINCE!$A$5:$E$4000,5,FALSE),""))</f>
        <v>15</v>
      </c>
    </row>
    <row r="220" spans="1:5" ht="129.94999999999999" hidden="1" customHeight="1" x14ac:dyDescent="0.25">
      <c r="A220" s="1"/>
      <c r="B220" s="3">
        <v>8701200</v>
      </c>
      <c r="C220" s="4" t="str">
        <f>IF(IFERROR(VLOOKUP($B220,LINCE!$A$5:$D$4000,3,FALSE),"")=0,"",IFERROR(VLOOKUP($B220,LINCE!$A$5:$D$4000,3,FALSE),""))</f>
        <v>CINTURON GALA LICEO CON HEBILLA BM</v>
      </c>
      <c r="D220" s="4">
        <f>IF(IFERROR(VLOOKUP($B220,LINCE!$A$5:$D$4000,4,FALSE),"")=0,"",IFERROR(VLOOKUP($B220,LINCE!$A$5:$D$4000,4,FALSE),""))</f>
        <v>3197.38</v>
      </c>
      <c r="E220" s="14">
        <f>IF(IFERROR(VLOOKUP($B220,LINCE!$A$5:$E$4000,5,FALSE),"")=0,"",IFERROR(VLOOKUP($B220,LINCE!$A$5:$E$4000,5,FALSE),""))</f>
        <v>1</v>
      </c>
    </row>
    <row r="221" spans="1:5" ht="129.94999999999999" hidden="1" customHeight="1" x14ac:dyDescent="0.25">
      <c r="A221" s="1"/>
      <c r="B221" s="3">
        <v>8708047</v>
      </c>
      <c r="C221" s="4" t="str">
        <f>IF(IFERROR(VLOOKUP($B221,LINCE!$A$5:$D$4000,3,FALSE),"")=0,"",IFERROR(VLOOKUP($B221,LINCE!$A$5:$D$4000,3,FALSE),""))</f>
        <v>MUSLERA PORTA ELEMENTO GRIS ETCH 05</v>
      </c>
      <c r="D221" s="4">
        <f>IF(IFERROR(VLOOKUP($B221,LINCE!$A$5:$D$4000,4,FALSE),"")=0,"",IFERROR(VLOOKUP($B221,LINCE!$A$5:$D$4000,4,FALSE),""))</f>
        <v>1300</v>
      </c>
      <c r="E221" s="14">
        <f>IF(IFERROR(VLOOKUP($B221,LINCE!$A$5:$E$4000,5,FALSE),"")=0,"",IFERROR(VLOOKUP($B221,LINCE!$A$5:$E$4000,5,FALSE),""))</f>
        <v>6</v>
      </c>
    </row>
    <row r="222" spans="1:5" ht="129.94999999999999" hidden="1" customHeight="1" x14ac:dyDescent="0.25">
      <c r="A222" s="1"/>
      <c r="B222" s="3">
        <v>8708044</v>
      </c>
      <c r="C222" s="4" t="str">
        <f>IF(IFERROR(VLOOKUP($B222,LINCE!$A$5:$D$4000,3,FALSE),"")=0,"",IFERROR(VLOOKUP($B222,LINCE!$A$5:$D$4000,3,FALSE),""))</f>
        <v>MUSLERA PORTA ELEMENTO VERDE ETCH 05</v>
      </c>
      <c r="D222" s="4">
        <f>IF(IFERROR(VLOOKUP($B222,LINCE!$A$5:$D$4000,4,FALSE),"")=0,"",IFERROR(VLOOKUP($B222,LINCE!$A$5:$D$4000,4,FALSE),""))</f>
        <v>1300</v>
      </c>
      <c r="E222" s="14">
        <f>IF(IFERROR(VLOOKUP($B222,LINCE!$A$5:$E$4000,5,FALSE),"")=0,"",IFERROR(VLOOKUP($B222,LINCE!$A$5:$E$4000,5,FALSE),""))</f>
        <v>2</v>
      </c>
    </row>
    <row r="223" spans="1:5" ht="129.94999999999999" hidden="1" customHeight="1" x14ac:dyDescent="0.25">
      <c r="A223" s="1"/>
      <c r="B223" s="3">
        <v>8708127</v>
      </c>
      <c r="C223" s="4" t="str">
        <f>IF(IFERROR(VLOOKUP($B223,LINCE!$A$5:$D$4000,3,FALSE),"")=0,"",IFERROR(VLOOKUP($B223,LINCE!$A$5:$D$4000,3,FALSE),""))</f>
        <v>MOCHILA TACT MINI MOLLE GRIS ETCH 03</v>
      </c>
      <c r="D223" s="4">
        <f>IF(IFERROR(VLOOKUP($B223,LINCE!$A$5:$D$4000,4,FALSE),"")=0,"",IFERROR(VLOOKUP($B223,LINCE!$A$5:$D$4000,4,FALSE),""))</f>
        <v>4500</v>
      </c>
      <c r="E223" s="14">
        <f>IF(IFERROR(VLOOKUP($B223,LINCE!$A$5:$E$4000,5,FALSE),"")=0,"",IFERROR(VLOOKUP($B223,LINCE!$A$5:$E$4000,5,FALSE),""))</f>
        <v>2</v>
      </c>
    </row>
    <row r="224" spans="1:5" ht="129.94999999999999" hidden="1" customHeight="1" x14ac:dyDescent="0.25">
      <c r="A224" s="1"/>
      <c r="B224" s="3">
        <v>8708313</v>
      </c>
      <c r="C224" s="4" t="str">
        <f>IF(IFERROR(VLOOKUP($B224,LINCE!$A$5:$D$4000,3,FALSE),"")=0,"",IFERROR(VLOOKUP($B224,LINCE!$A$5:$D$4000,3,FALSE),""))</f>
        <v/>
      </c>
      <c r="D224" s="4" t="str">
        <f>IF(IFERROR(VLOOKUP($B224,LINCE!$A$5:$D$4000,4,FALSE),"")=0,"",IFERROR(VLOOKUP($B224,LINCE!$A$5:$D$4000,4,FALSE),""))</f>
        <v/>
      </c>
      <c r="E224" s="14" t="str">
        <f>IF(IFERROR(VLOOKUP($B224,LINCE!$A$5:$E$4000,5,FALSE),"")=0,"",IFERROR(VLOOKUP($B224,LINCE!$A$5:$E$4000,5,FALSE),""))</f>
        <v/>
      </c>
    </row>
    <row r="225" spans="1:5" ht="129.94999999999999" hidden="1" customHeight="1" x14ac:dyDescent="0.25">
      <c r="A225" s="1"/>
      <c r="B225" s="3">
        <v>8708315</v>
      </c>
      <c r="C225" s="4" t="str">
        <f>IF(IFERROR(VLOOKUP($B225,LINCE!$A$5:$D$4000,3,FALSE),"")=0,"",IFERROR(VLOOKUP($B225,LINCE!$A$5:$D$4000,3,FALSE),""))</f>
        <v>MOCHILA LASER VERDE ETCH 11</v>
      </c>
      <c r="D225" s="4">
        <f>IF(IFERROR(VLOOKUP($B225,LINCE!$A$5:$D$4000,4,FALSE),"")=0,"",IFERROR(VLOOKUP($B225,LINCE!$A$5:$D$4000,4,FALSE),""))</f>
        <v>5900</v>
      </c>
      <c r="E225" s="14">
        <f>IF(IFERROR(VLOOKUP($B225,LINCE!$A$5:$E$4000,5,FALSE),"")=0,"",IFERROR(VLOOKUP($B225,LINCE!$A$5:$E$4000,5,FALSE),""))</f>
        <v>1</v>
      </c>
    </row>
    <row r="226" spans="1:5" ht="129.94999999999999" hidden="1" customHeight="1" x14ac:dyDescent="0.25">
      <c r="A226" s="1"/>
      <c r="B226" s="3">
        <v>8708120</v>
      </c>
      <c r="C226" s="4" t="str">
        <f>IF(IFERROR(VLOOKUP($B226,LINCE!$A$5:$D$4000,3,FALSE),"")=0,"",IFERROR(VLOOKUP($B226,LINCE!$A$5:$D$4000,3,FALSE),""))</f>
        <v>MOCHILA PATRULLA RRD29 VERDE BLK</v>
      </c>
      <c r="D226" s="4">
        <f>IF(IFERROR(VLOOKUP($B226,LINCE!$A$5:$D$4000,4,FALSE),"")=0,"",IFERROR(VLOOKUP($B226,LINCE!$A$5:$D$4000,4,FALSE),""))</f>
        <v>6100</v>
      </c>
      <c r="E226" s="14">
        <f>IF(IFERROR(VLOOKUP($B226,LINCE!$A$5:$E$4000,5,FALSE),"")=0,"",IFERROR(VLOOKUP($B226,LINCE!$A$5:$E$4000,5,FALSE),""))</f>
        <v>12</v>
      </c>
    </row>
    <row r="227" spans="1:5" ht="129.94999999999999" hidden="1" customHeight="1" x14ac:dyDescent="0.25">
      <c r="A227" s="1"/>
      <c r="B227" s="3">
        <v>8708048</v>
      </c>
      <c r="C227" s="4" t="str">
        <f>IF(IFERROR(VLOOKUP($B227,LINCE!$A$5:$D$4000,3,FALSE),"")=0,"",IFERROR(VLOOKUP($B227,LINCE!$A$5:$D$4000,3,FALSE),""))</f>
        <v/>
      </c>
      <c r="D227" s="4" t="str">
        <f>IF(IFERROR(VLOOKUP($B227,LINCE!$A$5:$D$4000,4,FALSE),"")=0,"",IFERROR(VLOOKUP($B227,LINCE!$A$5:$D$4000,4,FALSE),""))</f>
        <v/>
      </c>
      <c r="E227" s="14" t="str">
        <f>IF(IFERROR(VLOOKUP($B227,LINCE!$A$5:$E$4000,5,FALSE),"")=0,"",IFERROR(VLOOKUP($B227,LINCE!$A$5:$E$4000,5,FALSE),""))</f>
        <v/>
      </c>
    </row>
    <row r="228" spans="1:5" ht="129.94999999999999" hidden="1" customHeight="1" x14ac:dyDescent="0.25">
      <c r="A228" s="1"/>
      <c r="B228" s="3">
        <v>8708046</v>
      </c>
      <c r="C228" s="4" t="str">
        <f>IF(IFERROR(VLOOKUP($B228,LINCE!$A$5:$D$4000,3,FALSE),"")=0,"",IFERROR(VLOOKUP($B228,LINCE!$A$5:$D$4000,3,FALSE),""))</f>
        <v>MUSLERA PORTA ELEMENTO AZUL ETCH 05</v>
      </c>
      <c r="D228" s="4">
        <f>IF(IFERROR(VLOOKUP($B228,LINCE!$A$5:$D$4000,4,FALSE),"")=0,"",IFERROR(VLOOKUP($B228,LINCE!$A$5:$D$4000,4,FALSE),""))</f>
        <v>1300</v>
      </c>
      <c r="E228" s="14">
        <f>IF(IFERROR(VLOOKUP($B228,LINCE!$A$5:$E$4000,5,FALSE),"")=0,"",IFERROR(VLOOKUP($B228,LINCE!$A$5:$E$4000,5,FALSE),""))</f>
        <v>1</v>
      </c>
    </row>
    <row r="229" spans="1:5" ht="129.94999999999999" hidden="1" customHeight="1" x14ac:dyDescent="0.25">
      <c r="A229" s="1"/>
      <c r="B229" s="3">
        <v>8708312</v>
      </c>
      <c r="C229" s="4" t="str">
        <f>IF(IFERROR(VLOOKUP($B229,LINCE!$A$5:$D$4000,3,FALSE),"")=0,"",IFERROR(VLOOKUP($B229,LINCE!$A$5:$D$4000,3,FALSE),""))</f>
        <v/>
      </c>
      <c r="D229" s="4" t="str">
        <f>IF(IFERROR(VLOOKUP($B229,LINCE!$A$5:$D$4000,4,FALSE),"")=0,"",IFERROR(VLOOKUP($B229,LINCE!$A$5:$D$4000,4,FALSE),""))</f>
        <v/>
      </c>
      <c r="E229" s="14" t="str">
        <f>IF(IFERROR(VLOOKUP($B229,LINCE!$A$5:$E$4000,5,FALSE),"")=0,"",IFERROR(VLOOKUP($B229,LINCE!$A$5:$E$4000,5,FALSE),""))</f>
        <v/>
      </c>
    </row>
    <row r="230" spans="1:5" ht="129.94999999999999" hidden="1" customHeight="1" x14ac:dyDescent="0.25">
      <c r="A230" s="1"/>
      <c r="B230" s="3">
        <v>8708057</v>
      </c>
      <c r="C230" s="4" t="str">
        <f>IF(IFERROR(VLOOKUP($B230,LINCE!$A$5:$D$4000,3,FALSE),"")=0,"",IFERROR(VLOOKUP($B230,LINCE!$A$5:$D$4000,3,FALSE),""))</f>
        <v>MORRAL TACTICO MULTIBOLS. VERDE ETCH 03</v>
      </c>
      <c r="D230" s="4">
        <f>IF(IFERROR(VLOOKUP($B230,LINCE!$A$5:$D$4000,4,FALSE),"")=0,"",IFERROR(VLOOKUP($B230,LINCE!$A$5:$D$4000,4,FALSE),""))</f>
        <v>2990</v>
      </c>
      <c r="E230" s="14">
        <f>IF(IFERROR(VLOOKUP($B230,LINCE!$A$5:$E$4000,5,FALSE),"")=0,"",IFERROR(VLOOKUP($B230,LINCE!$A$5:$E$4000,5,FALSE),""))</f>
        <v>2</v>
      </c>
    </row>
    <row r="231" spans="1:5" ht="129.94999999999999" hidden="1" customHeight="1" x14ac:dyDescent="0.25">
      <c r="A231" s="1"/>
      <c r="B231" s="3">
        <v>8708056</v>
      </c>
      <c r="C231" s="4" t="str">
        <f>IF(IFERROR(VLOOKUP($B231,LINCE!$A$5:$D$4000,3,FALSE),"")=0,"",IFERROR(VLOOKUP($B231,LINCE!$A$5:$D$4000,3,FALSE),""))</f>
        <v/>
      </c>
      <c r="D231" s="4" t="str">
        <f>IF(IFERROR(VLOOKUP($B231,LINCE!$A$5:$D$4000,4,FALSE),"")=0,"",IFERROR(VLOOKUP($B231,LINCE!$A$5:$D$4000,4,FALSE),""))</f>
        <v/>
      </c>
      <c r="E231" s="14" t="str">
        <f>IF(IFERROR(VLOOKUP($B231,LINCE!$A$5:$E$4000,5,FALSE),"")=0,"",IFERROR(VLOOKUP($B231,LINCE!$A$5:$E$4000,5,FALSE),""))</f>
        <v/>
      </c>
    </row>
    <row r="232" spans="1:5" ht="129.94999999999999" hidden="1" customHeight="1" x14ac:dyDescent="0.25">
      <c r="A232" s="1"/>
      <c r="B232" s="3">
        <v>8708055</v>
      </c>
      <c r="C232" s="4" t="str">
        <f>IF(IFERROR(VLOOKUP($B232,LINCE!$A$5:$D$4000,3,FALSE),"")=0,"",IFERROR(VLOOKUP($B232,LINCE!$A$5:$D$4000,3,FALSE),""))</f>
        <v>MORRAL TACTICO MULTIBOLS. AZUL ETCH 03</v>
      </c>
      <c r="D232" s="4">
        <f>IF(IFERROR(VLOOKUP($B232,LINCE!$A$5:$D$4000,4,FALSE),"")=0,"",IFERROR(VLOOKUP($B232,LINCE!$A$5:$D$4000,4,FALSE),""))</f>
        <v>2990</v>
      </c>
      <c r="E232" s="14">
        <f>IF(IFERROR(VLOOKUP($B232,LINCE!$A$5:$E$4000,5,FALSE),"")=0,"",IFERROR(VLOOKUP($B232,LINCE!$A$5:$E$4000,5,FALSE),""))</f>
        <v>2</v>
      </c>
    </row>
    <row r="233" spans="1:5" ht="129.94999999999999" hidden="1" customHeight="1" x14ac:dyDescent="0.25">
      <c r="A233" s="1"/>
      <c r="B233" s="3">
        <v>8708123</v>
      </c>
      <c r="C233" s="4" t="str">
        <f>IF(IFERROR(VLOOKUP($B233,LINCE!$A$5:$D$4000,3,FALSE),"")=0,"",IFERROR(VLOOKUP($B233,LINCE!$A$5:$D$4000,3,FALSE),""))</f>
        <v>MOCHILA GENDARME RRD28 VERDE BLK</v>
      </c>
      <c r="D233" s="4">
        <f>IF(IFERROR(VLOOKUP($B233,LINCE!$A$5:$D$4000,4,FALSE),"")=0,"",IFERROR(VLOOKUP($B233,LINCE!$A$5:$D$4000,4,FALSE),""))</f>
        <v>5700</v>
      </c>
      <c r="E233" s="14">
        <f>IF(IFERROR(VLOOKUP($B233,LINCE!$A$5:$E$4000,5,FALSE),"")=0,"",IFERROR(VLOOKUP($B233,LINCE!$A$5:$E$4000,5,FALSE),""))</f>
        <v>7</v>
      </c>
    </row>
    <row r="234" spans="1:5" ht="129.94999999999999" hidden="1" customHeight="1" x14ac:dyDescent="0.25">
      <c r="A234" s="1"/>
      <c r="B234" s="3">
        <v>8708103</v>
      </c>
      <c r="C234" s="4" t="str">
        <f>IF(IFERROR(VLOOKUP($B234,LINCE!$A$5:$D$4000,3,FALSE),"")=0,"",IFERROR(VLOOKUP($B234,LINCE!$A$5:$D$4000,3,FALSE),""))</f>
        <v>MOCHILA PATRULLA RRD29 CPBL BLK</v>
      </c>
      <c r="D234" s="4">
        <f>IF(IFERROR(VLOOKUP($B234,LINCE!$A$5:$D$4000,4,FALSE),"")=0,"",IFERROR(VLOOKUP($B234,LINCE!$A$5:$D$4000,4,FALSE),""))</f>
        <v>6100</v>
      </c>
      <c r="E234" s="14">
        <f>IF(IFERROR(VLOOKUP($B234,LINCE!$A$5:$E$4000,5,FALSE),"")=0,"",IFERROR(VLOOKUP($B234,LINCE!$A$5:$E$4000,5,FALSE),""))</f>
        <v>19</v>
      </c>
    </row>
    <row r="235" spans="1:5" ht="129.94999999999999" hidden="1" customHeight="1" x14ac:dyDescent="0.25">
      <c r="A235" s="1"/>
      <c r="B235" s="3">
        <v>8703153</v>
      </c>
      <c r="C235" s="4" t="str">
        <f>IF(IFERROR(VLOOKUP($B235,LINCE!$A$5:$D$4000,3,FALSE),"")=0,"",IFERROR(VLOOKUP($B235,LINCE!$A$5:$D$4000,3,FALSE),""))</f>
        <v>RINIONERA WOODPACK CPBL BLK</v>
      </c>
      <c r="D235" s="4">
        <f>IF(IFERROR(VLOOKUP($B235,LINCE!$A$5:$D$4000,4,FALSE),"")=0,"",IFERROR(VLOOKUP($B235,LINCE!$A$5:$D$4000,4,FALSE),""))</f>
        <v>2700</v>
      </c>
      <c r="E235" s="14">
        <f>IF(IFERROR(VLOOKUP($B235,LINCE!$A$5:$E$4000,5,FALSE),"")=0,"",IFERROR(VLOOKUP($B235,LINCE!$A$5:$E$4000,5,FALSE),""))</f>
        <v>1</v>
      </c>
    </row>
    <row r="236" spans="1:5" ht="129.94999999999999" hidden="1" customHeight="1" x14ac:dyDescent="0.25">
      <c r="A236" s="1"/>
      <c r="B236" s="3">
        <v>8707658</v>
      </c>
      <c r="C236" s="4" t="str">
        <f>IF(IFERROR(VLOOKUP($B236,LINCE!$A$5:$D$4000,3,FALSE),"")=0,"",IFERROR(VLOOKUP($B236,LINCE!$A$5:$D$4000,3,FALSE),""))</f>
        <v/>
      </c>
      <c r="D236" s="4" t="str">
        <f>IF(IFERROR(VLOOKUP($B236,LINCE!$A$5:$D$4000,4,FALSE),"")=0,"",IFERROR(VLOOKUP($B236,LINCE!$A$5:$D$4000,4,FALSE),""))</f>
        <v/>
      </c>
      <c r="E236" s="14" t="str">
        <f>IF(IFERROR(VLOOKUP($B236,LINCE!$A$5:$E$4000,5,FALSE),"")=0,"",IFERROR(VLOOKUP($B236,LINCE!$A$5:$E$4000,5,FALSE),""))</f>
        <v/>
      </c>
    </row>
    <row r="237" spans="1:5" ht="129.94999999999999" hidden="1" customHeight="1" x14ac:dyDescent="0.25">
      <c r="A237" s="1"/>
      <c r="B237" s="3">
        <v>8707381</v>
      </c>
      <c r="C237" s="4" t="str">
        <f>IF(IFERROR(VLOOKUP($B237,LINCE!$A$5:$D$4000,3,FALSE),"")=0,"",IFERROR(VLOOKUP($B237,LINCE!$A$5:$D$4000,3,FALSE),""))</f>
        <v>CORDON EDECAN CON LAPIZ DORADO AZZ</v>
      </c>
      <c r="D237" s="4">
        <f>IF(IFERROR(VLOOKUP($B237,LINCE!$A$5:$D$4000,4,FALSE),"")=0,"",IFERROR(VLOOKUP($B237,LINCE!$A$5:$D$4000,4,FALSE),""))</f>
        <v>11900</v>
      </c>
      <c r="E237" s="14">
        <f>IF(IFERROR(VLOOKUP($B237,LINCE!$A$5:$E$4000,5,FALSE),"")=0,"",IFERROR(VLOOKUP($B237,LINCE!$A$5:$E$4000,5,FALSE),""))</f>
        <v>2</v>
      </c>
    </row>
    <row r="238" spans="1:5" ht="129.94999999999999" hidden="1" customHeight="1" x14ac:dyDescent="0.25">
      <c r="A238" s="1"/>
      <c r="B238" s="3">
        <v>8707657</v>
      </c>
      <c r="C238" s="4" t="str">
        <f>IF(IFERROR(VLOOKUP($B238,LINCE!$A$5:$D$4000,3,FALSE),"")=0,"",IFERROR(VLOOKUP($B238,LINCE!$A$5:$D$4000,3,FALSE),""))</f>
        <v/>
      </c>
      <c r="D238" s="4" t="str">
        <f>IF(IFERROR(VLOOKUP($B238,LINCE!$A$5:$D$4000,4,FALSE),"")=0,"",IFERROR(VLOOKUP($B238,LINCE!$A$5:$D$4000,4,FALSE),""))</f>
        <v/>
      </c>
      <c r="E238" s="14" t="str">
        <f>IF(IFERROR(VLOOKUP($B238,LINCE!$A$5:$E$4000,5,FALSE),"")=0,"",IFERROR(VLOOKUP($B238,LINCE!$A$5:$E$4000,5,FALSE),""))</f>
        <v/>
      </c>
    </row>
    <row r="239" spans="1:5" ht="129.94999999999999" hidden="1" customHeight="1" x14ac:dyDescent="0.25">
      <c r="A239" s="1"/>
      <c r="B239" s="3">
        <v>8520004</v>
      </c>
      <c r="C239" s="4" t="str">
        <f>IF(IFERROR(VLOOKUP($B239,LINCE!$A$5:$D$4000,3,FALSE),"")=0,"",IFERROR(VLOOKUP($B239,LINCE!$A$5:$D$4000,3,FALSE),""))</f>
        <v>PUNTERO LASER 4409</v>
      </c>
      <c r="D239" s="4">
        <f>IF(IFERROR(VLOOKUP($B239,LINCE!$A$5:$D$4000,4,FALSE),"")=0,"",IFERROR(VLOOKUP($B239,LINCE!$A$5:$D$4000,4,FALSE),""))</f>
        <v>600</v>
      </c>
      <c r="E239" s="14">
        <f>IF(IFERROR(VLOOKUP($B239,LINCE!$A$5:$E$4000,5,FALSE),"")=0,"",IFERROR(VLOOKUP($B239,LINCE!$A$5:$E$4000,5,FALSE),""))</f>
        <v>142</v>
      </c>
    </row>
    <row r="240" spans="1:5" ht="129.94999999999999" hidden="1" customHeight="1" x14ac:dyDescent="0.25">
      <c r="A240" s="1"/>
      <c r="B240" s="3">
        <v>8520691</v>
      </c>
      <c r="C240" s="4" t="str">
        <f>IF(IFERROR(VLOOKUP($B240,LINCE!$A$5:$D$4000,3,FALSE),"")=0,"",IFERROR(VLOOKUP($B240,LINCE!$A$5:$D$4000,3,FALSE),""))</f>
        <v>BINOCULARES TASCO 8X21CM 0955</v>
      </c>
      <c r="D240" s="4">
        <f>IF(IFERROR(VLOOKUP($B240,LINCE!$A$5:$D$4000,4,FALSE),"")=0,"",IFERROR(VLOOKUP($B240,LINCE!$A$5:$D$4000,4,FALSE),""))</f>
        <v>1800</v>
      </c>
      <c r="E240" s="14">
        <f>IF(IFERROR(VLOOKUP($B240,LINCE!$A$5:$E$4000,5,FALSE),"")=0,"",IFERROR(VLOOKUP($B240,LINCE!$A$5:$E$4000,5,FALSE),""))</f>
        <v>82</v>
      </c>
    </row>
    <row r="241" spans="1:5" ht="129.94999999999999" hidden="1" customHeight="1" x14ac:dyDescent="0.25">
      <c r="A241" s="1"/>
      <c r="B241" s="3">
        <v>8686003</v>
      </c>
      <c r="C241" s="4" t="str">
        <f>IF(IFERROR(VLOOKUP($B241,LINCE!$A$5:$D$4000,3,FALSE),"")=0,"",IFERROR(VLOOKUP($B241,LINCE!$A$5:$D$4000,3,FALSE),""))</f>
        <v>BRUJULA COMPASS 5734-3,48/3</v>
      </c>
      <c r="D241" s="4">
        <f>IF(IFERROR(VLOOKUP($B241,LINCE!$A$5:$D$4000,4,FALSE),"")=0,"",IFERROR(VLOOKUP($B241,LINCE!$A$5:$D$4000,4,FALSE),""))</f>
        <v>900</v>
      </c>
      <c r="E241" s="14">
        <f>IF(IFERROR(VLOOKUP($B241,LINCE!$A$5:$E$4000,5,FALSE),"")=0,"",IFERROR(VLOOKUP($B241,LINCE!$A$5:$E$4000,5,FALSE),""))</f>
        <v>52</v>
      </c>
    </row>
    <row r="242" spans="1:5" ht="129.94999999999999" hidden="1" customHeight="1" x14ac:dyDescent="0.25">
      <c r="A242" s="1"/>
      <c r="B242" s="3">
        <v>8513303</v>
      </c>
      <c r="C242" s="4" t="str">
        <f>IF(IFERROR(VLOOKUP($B242,LINCE!$A$5:$D$4000,3,FALSE),"")=0,"",IFERROR(VLOOKUP($B242,LINCE!$A$5:$D$4000,3,FALSE),""))</f>
        <v>PANIO P LIMPIAR ARMA CAL 38 AL 45 KAE</v>
      </c>
      <c r="D242" s="4">
        <f>IF(IFERROR(VLOOKUP($B242,LINCE!$A$5:$D$4000,4,FALSE),"")=0,"",IFERROR(VLOOKUP($B242,LINCE!$A$5:$D$4000,4,FALSE),""))</f>
        <v>228.07</v>
      </c>
      <c r="E242" s="14" t="str">
        <f>IF(IFERROR(VLOOKUP($B242,LINCE!$A$5:$E$4000,5,FALSE),"")=0,"",IFERROR(VLOOKUP($B242,LINCE!$A$5:$E$4000,5,FALSE),""))</f>
        <v/>
      </c>
    </row>
    <row r="243" spans="1:5" ht="129.94999999999999" hidden="1" customHeight="1" x14ac:dyDescent="0.25">
      <c r="A243" s="1"/>
      <c r="B243" s="3">
        <v>8513173</v>
      </c>
      <c r="C243" s="4" t="str">
        <f>IF(IFERROR(VLOOKUP($B243,LINCE!$A$5:$D$4000,3,FALSE),"")=0,"",IFERROR(VLOOKUP($B243,LINCE!$A$5:$D$4000,3,FALSE),""))</f>
        <v>KIT DE LIMPIEZA RRD ARMA CORTA MAL</v>
      </c>
      <c r="D243" s="4">
        <f>IF(IFERROR(VLOOKUP($B243,LINCE!$A$5:$D$4000,4,FALSE),"")=0,"",IFERROR(VLOOKUP($B243,LINCE!$A$5:$D$4000,4,FALSE),""))</f>
        <v>2418.79</v>
      </c>
      <c r="E243" s="14" t="str">
        <f>IF(IFERROR(VLOOKUP($B243,LINCE!$A$5:$E$4000,5,FALSE),"")=0,"",IFERROR(VLOOKUP($B243,LINCE!$A$5:$E$4000,5,FALSE),""))</f>
        <v/>
      </c>
    </row>
    <row r="244" spans="1:5" ht="129.94999999999999" hidden="1" customHeight="1" x14ac:dyDescent="0.25">
      <c r="A244" s="1"/>
      <c r="B244" s="3">
        <v>8513175</v>
      </c>
      <c r="C244" s="4" t="str">
        <f>IF(IFERROR(VLOOKUP($B244,LINCE!$A$5:$D$4000,3,FALSE),"")=0,"",IFERROR(VLOOKUP($B244,LINCE!$A$5:$D$4000,3,FALSE),""))</f>
        <v>BAQUETA GRUESO CALIBRE 8 1002 KAE</v>
      </c>
      <c r="D244" s="4">
        <f>IF(IFERROR(VLOOKUP($B244,LINCE!$A$5:$D$4000,4,FALSE),"")=0,"",IFERROR(VLOOKUP($B244,LINCE!$A$5:$D$4000,4,FALSE),""))</f>
        <v>1376.06</v>
      </c>
      <c r="E244" s="14">
        <f>IF(IFERROR(VLOOKUP($B244,LINCE!$A$5:$E$4000,5,FALSE),"")=0,"",IFERROR(VLOOKUP($B244,LINCE!$A$5:$E$4000,5,FALSE),""))</f>
        <v>1</v>
      </c>
    </row>
    <row r="245" spans="1:5" ht="129.94999999999999" hidden="1" customHeight="1" x14ac:dyDescent="0.25">
      <c r="A245" s="1"/>
      <c r="B245" s="3">
        <v>8205016</v>
      </c>
      <c r="C245" s="4" t="str">
        <f>IF(IFERROR(VLOOKUP($B245,LINCE!$A$5:$D$4000,3,FALSE),"")=0,"",IFERROR(VLOOKUP($B245,LINCE!$A$5:$D$4000,3,FALSE),""))</f>
        <v>BOTIN CORTO BLANCO CUERO/GAMUZA 1016</v>
      </c>
      <c r="D245" s="4">
        <f>IF(IFERROR(VLOOKUP($B245,LINCE!$A$5:$D$4000,4,FALSE),"")=0,"",IFERROR(VLOOKUP($B245,LINCE!$A$5:$D$4000,4,FALSE),""))</f>
        <v>2099.9899999999998</v>
      </c>
      <c r="E245" s="14">
        <f>IF(IFERROR(VLOOKUP($B245,LINCE!$A$5:$E$4000,5,FALSE),"")=0,"",IFERROR(VLOOKUP($B245,LINCE!$A$5:$E$4000,5,FALSE),""))</f>
        <v>3</v>
      </c>
    </row>
    <row r="246" spans="1:5" ht="129.94999999999999" hidden="1" customHeight="1" x14ac:dyDescent="0.25">
      <c r="A246" s="1"/>
      <c r="B246" s="3">
        <v>8705037</v>
      </c>
      <c r="C246" s="4" t="str">
        <f>IF(IFERROR(VLOOKUP($B246,LINCE!$A$5:$D$4000,3,FALSE),"")=0,"",IFERROR(VLOOKUP($B246,LINCE!$A$5:$D$4000,3,FALSE),""))</f>
        <v>PORTA HANDY MOLLE BLK070</v>
      </c>
      <c r="D246" s="4">
        <f>IF(IFERROR(VLOOKUP($B246,LINCE!$A$5:$D$4000,4,FALSE),"")=0,"",IFERROR(VLOOKUP($B246,LINCE!$A$5:$D$4000,4,FALSE),""))</f>
        <v>600</v>
      </c>
      <c r="E246" s="14">
        <f>IF(IFERROR(VLOOKUP($B246,LINCE!$A$5:$E$4000,5,FALSE),"")=0,"",IFERROR(VLOOKUP($B246,LINCE!$A$5:$E$4000,5,FALSE),""))</f>
        <v>6</v>
      </c>
    </row>
    <row r="247" spans="1:5" ht="129.94999999999999" customHeight="1" x14ac:dyDescent="0.25">
      <c r="A247" s="1"/>
      <c r="B247" s="3">
        <v>8521100</v>
      </c>
      <c r="C247" s="4" t="str">
        <f>IF(IFERROR(VLOOKUP($B247,LINCE!$A$5:$D$6000,3,FALSE),"")=0,"",IFERROR(VLOOKUP($B247,LINCE!$A$5:$D$6000,3,FALSE),""))</f>
        <v>CUCHILLO COLUMBIA C/FUNDA RIGIDA IMP</v>
      </c>
      <c r="D247" s="4">
        <f>IF(IFERROR(VLOOKUP($B247,LINCE!$A$5:$D$6000,4,FALSE),"")=0,"",IFERROR(VLOOKUP($B247,LINCE!$A$5:$D$6000,4,FALSE),""))</f>
        <v>1200</v>
      </c>
      <c r="E247" s="14">
        <f>IF(IFERROR(VLOOKUP($B247,LINCE!$A$5:$E$6000,5,FALSE),"")=0,"",IFERROR(VLOOKUP($B247,LINCE!$A$5:$E$6000,5,FALSE),""))</f>
        <v>104</v>
      </c>
    </row>
    <row r="248" spans="1:5" ht="129.94999999999999" customHeight="1" x14ac:dyDescent="0.25">
      <c r="A248" s="1"/>
      <c r="B248" s="3">
        <v>8521102</v>
      </c>
      <c r="C248" s="4" t="str">
        <f>IF(IFERROR(VLOOKUP($B248,LINCE!$A$5:$D$6000,3,FALSE),"")=0,"",IFERROR(VLOOKUP($B248,LINCE!$A$5:$D$6000,3,FALSE),""))</f>
        <v>CUCHILLO NEGRO C/FUNDA Y AFILADOR IMP</v>
      </c>
      <c r="D248" s="4">
        <f>IF(IFERROR(VLOOKUP($B248,LINCE!$A$5:$D$6000,4,FALSE),"")=0,"",IFERROR(VLOOKUP($B248,LINCE!$A$5:$D$6000,4,FALSE),""))</f>
        <v>1100</v>
      </c>
      <c r="E248" s="14">
        <f>IF(IFERROR(VLOOKUP($B248,LINCE!$A$5:$E$6000,5,FALSE),"")=0,"",IFERROR(VLOOKUP($B248,LINCE!$A$5:$E$6000,5,FALSE),""))</f>
        <v>108</v>
      </c>
    </row>
    <row r="249" spans="1:5" ht="129.94999999999999" customHeight="1" x14ac:dyDescent="0.25">
      <c r="A249" s="1"/>
      <c r="B249" s="3">
        <v>8521303</v>
      </c>
      <c r="C249" s="4" t="str">
        <f>IF(IFERROR(VLOOKUP($B249,LINCE!$A$5:$D$6000,3,FALSE),"")=0,"",IFERROR(VLOOKUP($B249,LINCE!$A$5:$D$6000,3,FALSE),""))</f>
        <v>NAVAJA BROWNING DA73-1 IMP 0005</v>
      </c>
      <c r="D249" s="4">
        <f>IF(IFERROR(VLOOKUP($B249,LINCE!$A$5:$D$6000,4,FALSE),"")=0,"",IFERROR(VLOOKUP($B249,LINCE!$A$5:$D$6000,4,FALSE),""))</f>
        <v>900</v>
      </c>
      <c r="E249" s="14">
        <f>IF(IFERROR(VLOOKUP($B249,LINCE!$A$5:$E$6000,5,FALSE),"")=0,"",IFERROR(VLOOKUP($B249,LINCE!$A$5:$E$6000,5,FALSE),""))</f>
        <v>1</v>
      </c>
    </row>
    <row r="250" spans="1:5" ht="129.94999999999999" customHeight="1" x14ac:dyDescent="0.25">
      <c r="A250" s="1"/>
      <c r="B250" s="3">
        <v>8521301</v>
      </c>
      <c r="C250" s="4" t="str">
        <f>IF(IFERROR(VLOOKUP($B250,LINCE!$A$5:$D$6000,3,FALSE),"")=0,"",IFERROR(VLOOKUP($B250,LINCE!$A$5:$D$6000,3,FALSE),""))</f>
        <v>NAVAJA COLUMBIA SPIDER SAQUE RAPIDO IMP</v>
      </c>
      <c r="D250" s="4">
        <f>IF(IFERROR(VLOOKUP($B250,LINCE!$A$5:$D$6000,4,FALSE),"")=0,"",IFERROR(VLOOKUP($B250,LINCE!$A$5:$D$6000,4,FALSE),""))</f>
        <v>250</v>
      </c>
      <c r="E250" s="14">
        <f>IF(IFERROR(VLOOKUP($B250,LINCE!$A$5:$E$6000,5,FALSE),"")=0,"",IFERROR(VLOOKUP($B250,LINCE!$A$5:$E$6000,5,FALSE),""))</f>
        <v>76</v>
      </c>
    </row>
    <row r="251" spans="1:5" ht="129.94999999999999" customHeight="1" x14ac:dyDescent="0.25">
      <c r="A251" s="1"/>
      <c r="B251" s="3">
        <v>8521302</v>
      </c>
      <c r="C251" s="4" t="str">
        <f>IF(IFERROR(VLOOKUP($B251,LINCE!$A$5:$D$6000,3,FALSE),"")=0,"",IFERROR(VLOOKUP($B251,LINCE!$A$5:$D$6000,3,FALSE),""))</f>
        <v>NAVAJA GERBER GRIS Y NARANJA C/FUNDA IMP</v>
      </c>
      <c r="D251" s="4">
        <f>IF(IFERROR(VLOOKUP($B251,LINCE!$A$5:$D$6000,4,FALSE),"")=0,"",IFERROR(VLOOKUP($B251,LINCE!$A$5:$D$6000,4,FALSE),""))</f>
        <v>800</v>
      </c>
      <c r="E251" s="14">
        <f>IF(IFERROR(VLOOKUP($B251,LINCE!$A$5:$E$6000,5,FALSE),"")=0,"",IFERROR(VLOOKUP($B251,LINCE!$A$5:$E$6000,5,FALSE),""))</f>
        <v>91</v>
      </c>
    </row>
    <row r="252" spans="1:5" ht="129.94999999999999" customHeight="1" x14ac:dyDescent="0.25">
      <c r="A252" s="1"/>
      <c r="B252" s="3">
        <v>8520866</v>
      </c>
      <c r="C252" s="4" t="str">
        <f>IF(IFERROR(VLOOKUP($B252,LINCE!$A$5:$D$6000,3,FALSE),"")=0,"",IFERROR(VLOOKUP($B252,LINCE!$A$5:$D$6000,3,FALSE),""))</f>
        <v>NAVAJA MARIPOSA NEGRA 86B LUG</v>
      </c>
      <c r="D252" s="4">
        <f>IF(IFERROR(VLOOKUP($B252,LINCE!$A$5:$D$6000,4,FALSE),"")=0,"",IFERROR(VLOOKUP($B252,LINCE!$A$5:$D$6000,4,FALSE),""))</f>
        <v>665.5</v>
      </c>
      <c r="E252" s="14">
        <f>IF(IFERROR(VLOOKUP($B252,LINCE!$A$5:$E$6000,5,FALSE),"")=0,"",IFERROR(VLOOKUP($B252,LINCE!$A$5:$E$6000,5,FALSE),""))</f>
        <v>8</v>
      </c>
    </row>
    <row r="253" spans="1:5" ht="129.94999999999999" customHeight="1" x14ac:dyDescent="0.25">
      <c r="A253" s="1"/>
      <c r="B253" s="3">
        <v>8521305</v>
      </c>
      <c r="C253" s="4" t="str">
        <f>IF(IFERROR(VLOOKUP($B253,LINCE!$A$5:$D$6000,3,FALSE),"")=0,"",IFERROR(VLOOKUP($B253,LINCE!$A$5:$D$6000,3,FALSE),""))</f>
        <v>NAVAJA MULTIUSO IMP</v>
      </c>
      <c r="D253" s="4">
        <f>IF(IFERROR(VLOOKUP($B253,LINCE!$A$5:$D$6000,4,FALSE),"")=0,"",IFERROR(VLOOKUP($B253,LINCE!$A$5:$D$6000,4,FALSE),""))</f>
        <v>400</v>
      </c>
      <c r="E253" s="14">
        <f>IF(IFERROR(VLOOKUP($B253,LINCE!$A$5:$E$6000,5,FALSE),"")=0,"",IFERROR(VLOOKUP($B253,LINCE!$A$5:$E$6000,5,FALSE),""))</f>
        <v>83</v>
      </c>
    </row>
    <row r="254" spans="1:5" ht="129.94999999999999" customHeight="1" x14ac:dyDescent="0.25">
      <c r="A254" s="1"/>
      <c r="B254" s="3">
        <v>8521304</v>
      </c>
      <c r="C254" s="4" t="str">
        <f>IF(IFERROR(VLOOKUP($B254,LINCE!$A$5:$D$6000,3,FALSE),"")=0,"",IFERROR(VLOOKUP($B254,LINCE!$A$5:$D$6000,3,FALSE),""))</f>
        <v>NAVAJA STRIDER KNIVES 352 IMP 0005</v>
      </c>
      <c r="D254" s="4">
        <f>IF(IFERROR(VLOOKUP($B254,LINCE!$A$5:$D$6000,4,FALSE),"")=0,"",IFERROR(VLOOKUP($B254,LINCE!$A$5:$D$6000,4,FALSE),""))</f>
        <v>900</v>
      </c>
      <c r="E254" s="14">
        <f>IF(IFERROR(VLOOKUP($B254,LINCE!$A$5:$E$6000,5,FALSE),"")=0,"",IFERROR(VLOOKUP($B254,LINCE!$A$5:$E$6000,5,FALSE),""))</f>
        <v>48</v>
      </c>
    </row>
    <row r="255" spans="1:5" ht="129.94999999999999" hidden="1" customHeight="1" x14ac:dyDescent="0.25">
      <c r="A255" s="1"/>
      <c r="B255" s="3">
        <v>8519044</v>
      </c>
      <c r="C255" s="4" t="str">
        <f>IF(IFERROR(VLOOKUP($B255,LINCE!$A$5:$D$4000,3,FALSE),"")=0,"",IFERROR(VLOOKUP($B255,LINCE!$A$5:$D$4000,3,FALSE),""))</f>
        <v>AEROSOL GAS SABRE 150498 - 22GR. AB</v>
      </c>
      <c r="D255" s="4">
        <f>IF(IFERROR(VLOOKUP($B255,LINCE!$A$5:$D$4000,4,FALSE),"")=0,"",IFERROR(VLOOKUP($B255,LINCE!$A$5:$D$4000,4,FALSE),""))</f>
        <v>1800</v>
      </c>
      <c r="E255" s="14">
        <f>IF(IFERROR(VLOOKUP($B255,LINCE!$A$5:$E$4000,5,FALSE),"")=0,"",IFERROR(VLOOKUP($B255,LINCE!$A$5:$E$4000,5,FALSE),""))</f>
        <v>53</v>
      </c>
    </row>
    <row r="256" spans="1:5" ht="129.94999999999999" hidden="1" customHeight="1" x14ac:dyDescent="0.25">
      <c r="A256" s="1"/>
      <c r="B256" s="3">
        <v>8519060</v>
      </c>
      <c r="C256" s="4" t="str">
        <f>IF(IFERROR(VLOOKUP($B256,LINCE!$A$5:$D$4000,3,FALSE),"")=0,"",IFERROR(VLOOKUP($B256,LINCE!$A$5:$D$4000,3,FALSE),""))</f>
        <v>AEROSOL GAS POLICE 60 ML RER</v>
      </c>
      <c r="D256" s="4">
        <f>IF(IFERROR(VLOOKUP($B256,LINCE!$A$5:$D$4000,4,FALSE),"")=0,"",IFERROR(VLOOKUP($B256,LINCE!$A$5:$D$4000,4,FALSE),""))</f>
        <v>2499.9899999999998</v>
      </c>
      <c r="E256" s="14" t="str">
        <f>IF(IFERROR(VLOOKUP($B256,LINCE!$A$5:$E$4000,5,FALSE),"")=0,"",IFERROR(VLOOKUP($B256,LINCE!$A$5:$E$4000,5,FALSE),""))</f>
        <v/>
      </c>
    </row>
    <row r="257" spans="1:5" ht="129.94999999999999" hidden="1" customHeight="1" x14ac:dyDescent="0.25">
      <c r="A257" s="1"/>
      <c r="B257" s="3">
        <v>8519022</v>
      </c>
      <c r="C257" s="4" t="str">
        <f>IF(IFERROR(VLOOKUP($B257,LINCE!$A$5:$D$4000,3,FALSE),"")=0,"",IFERROR(VLOOKUP($B257,LINCE!$A$5:$D$4000,3,FALSE),""))</f>
        <v>AEROSOL GAS SMITH AND WESSON 22 GR MIN</v>
      </c>
      <c r="D257" s="4">
        <f>IF(IFERROR(VLOOKUP($B257,LINCE!$A$5:$D$4000,4,FALSE),"")=0,"",IFERROR(VLOOKUP($B257,LINCE!$A$5:$D$4000,4,FALSE),""))</f>
        <v>1499.99</v>
      </c>
      <c r="E257" s="14" t="str">
        <f>IF(IFERROR(VLOOKUP($B257,LINCE!$A$5:$E$4000,5,FALSE),"")=0,"",IFERROR(VLOOKUP($B257,LINCE!$A$5:$E$4000,5,FALSE),""))</f>
        <v/>
      </c>
    </row>
    <row r="258" spans="1:5" ht="129.94999999999999" hidden="1" customHeight="1" x14ac:dyDescent="0.25">
      <c r="A258" s="1"/>
      <c r="B258" s="3">
        <v>8519042</v>
      </c>
      <c r="C258" s="4" t="str">
        <f>IF(IFERROR(VLOOKUP($B258,LINCE!$A$5:$D$4000,3,FALSE),"")=0,"",IFERROR(VLOOKUP($B258,LINCE!$A$5:$D$4000,3,FALSE),""))</f>
        <v>AEROSOL GAS SABRE 14 GRS AB</v>
      </c>
      <c r="D258" s="4">
        <f>IF(IFERROR(VLOOKUP($B258,LINCE!$A$5:$D$4000,4,FALSE),"")=0,"",IFERROR(VLOOKUP($B258,LINCE!$A$5:$D$4000,4,FALSE),""))</f>
        <v>1550</v>
      </c>
      <c r="E258" s="14">
        <f>IF(IFERROR(VLOOKUP($B258,LINCE!$A$5:$E$4000,5,FALSE),"")=0,"",IFERROR(VLOOKUP($B258,LINCE!$A$5:$E$4000,5,FALSE),""))</f>
        <v>32</v>
      </c>
    </row>
    <row r="259" spans="1:5" ht="129.94999999999999" hidden="1" customHeight="1" x14ac:dyDescent="0.25">
      <c r="A259" s="1"/>
      <c r="B259" s="3">
        <v>8519041</v>
      </c>
      <c r="C259" s="4" t="str">
        <f>IF(IFERROR(VLOOKUP($B259,LINCE!$A$5:$D$4000,3,FALSE),"")=0,"",IFERROR(VLOOKUP($B259,LINCE!$A$5:$D$4000,3,FALSE),""))</f>
        <v>AEROSOL GAS SABRE 150499 - 60 GRS AB</v>
      </c>
      <c r="D259" s="4">
        <f>IF(IFERROR(VLOOKUP($B259,LINCE!$A$5:$D$4000,4,FALSE),"")=0,"",IFERROR(VLOOKUP($B259,LINCE!$A$5:$D$4000,4,FALSE),""))</f>
        <v>2800</v>
      </c>
      <c r="E259" s="14">
        <f>IF(IFERROR(VLOOKUP($B259,LINCE!$A$5:$E$4000,5,FALSE),"")=0,"",IFERROR(VLOOKUP($B259,LINCE!$A$5:$E$4000,5,FALSE),""))</f>
        <v>41</v>
      </c>
    </row>
    <row r="260" spans="1:5" ht="129.94999999999999" hidden="1" customHeight="1" x14ac:dyDescent="0.25">
      <c r="A260" s="1"/>
      <c r="B260" s="3">
        <v>8520100</v>
      </c>
      <c r="C260" s="4" t="str">
        <f>IF(IFERROR(VLOOKUP($B260,LINCE!$A$5:$D$4000,3,FALSE),"")=0,"",IFERROR(VLOOKUP($B260,LINCE!$A$5:$D$4000,3,FALSE),""))</f>
        <v>CARGADOR USB PARA BATERIAS/PILAS</v>
      </c>
      <c r="D260" s="4">
        <f>IF(IFERROR(VLOOKUP($B260,LINCE!$A$5:$D$4000,4,FALSE),"")=0,"",IFERROR(VLOOKUP($B260,LINCE!$A$5:$D$4000,4,FALSE),""))</f>
        <v>300</v>
      </c>
      <c r="E260" s="14">
        <f>IF(IFERROR(VLOOKUP($B260,LINCE!$A$5:$E$4000,5,FALSE),"")=0,"",IFERROR(VLOOKUP($B260,LINCE!$A$5:$E$4000,5,FALSE),""))</f>
        <v>32</v>
      </c>
    </row>
    <row r="261" spans="1:5" ht="129.94999999999999" hidden="1" customHeight="1" x14ac:dyDescent="0.25">
      <c r="A261" s="1"/>
      <c r="B261" s="3">
        <v>8520141</v>
      </c>
      <c r="C261" s="4" t="str">
        <f>IF(IFERROR(VLOOKUP($B261,LINCE!$A$5:$D$4000,3,FALSE),"")=0,"",IFERROR(VLOOKUP($B261,LINCE!$A$5:$D$4000,3,FALSE),""))</f>
        <v>LINTERNA 9 LED FLASHLIGTH RER</v>
      </c>
      <c r="D261" s="4">
        <f>IF(IFERROR(VLOOKUP($B261,LINCE!$A$5:$D$4000,4,FALSE),"")=0,"",IFERROR(VLOOKUP($B261,LINCE!$A$5:$D$4000,4,FALSE),""))</f>
        <v>457.67</v>
      </c>
      <c r="E261" s="14">
        <f>IF(IFERROR(VLOOKUP($B261,LINCE!$A$5:$E$4000,5,FALSE),"")=0,"",IFERROR(VLOOKUP($B261,LINCE!$A$5:$E$4000,5,FALSE),""))</f>
        <v>24</v>
      </c>
    </row>
    <row r="262" spans="1:5" ht="129.94999999999999" hidden="1" customHeight="1" x14ac:dyDescent="0.25">
      <c r="A262" s="1"/>
      <c r="B262" s="3">
        <v>8520946</v>
      </c>
      <c r="C262" s="4" t="str">
        <f>IF(IFERROR(VLOOKUP($B262,LINCE!$A$5:$D$4000,3,FALSE),"")=0,"",IFERROR(VLOOKUP($B262,LINCE!$A$5:$D$4000,3,FALSE),""))</f>
        <v>LINTERNA 1946+PILA USB+FUNDA C/ZOOM 14X3</v>
      </c>
      <c r="D262" s="4">
        <f>IF(IFERROR(VLOOKUP($B262,LINCE!$A$5:$D$4000,4,FALSE),"")=0,"",IFERROR(VLOOKUP($B262,LINCE!$A$5:$D$4000,4,FALSE),""))</f>
        <v>1300</v>
      </c>
      <c r="E262" s="14">
        <f>IF(IFERROR(VLOOKUP($B262,LINCE!$A$5:$E$4000,5,FALSE),"")=0,"",IFERROR(VLOOKUP($B262,LINCE!$A$5:$E$4000,5,FALSE),""))</f>
        <v>835</v>
      </c>
    </row>
    <row r="263" spans="1:5" ht="129.94999999999999" hidden="1" customHeight="1" x14ac:dyDescent="0.25">
      <c r="A263" s="1"/>
      <c r="B263" s="3">
        <v>8520064</v>
      </c>
      <c r="C263" s="4" t="str">
        <f>IF(IFERROR(VLOOKUP($B263,LINCE!$A$5:$D$4000,3,FALSE),"")=0,"",IFERROR(VLOOKUP($B263,LINCE!$A$5:$D$4000,3,FALSE),""))</f>
        <v>LINTERNA 12.5X3CM CAJA VERDE4064+PILAUSB</v>
      </c>
      <c r="D263" s="4">
        <f>IF(IFERROR(VLOOKUP($B263,LINCE!$A$5:$D$4000,4,FALSE),"")=0,"",IFERROR(VLOOKUP($B263,LINCE!$A$5:$D$4000,4,FALSE),""))</f>
        <v>950</v>
      </c>
      <c r="E263" s="14">
        <f>IF(IFERROR(VLOOKUP($B263,LINCE!$A$5:$E$4000,5,FALSE),"")=0,"",IFERROR(VLOOKUP($B263,LINCE!$A$5:$E$4000,5,FALSE),""))</f>
        <v>595</v>
      </c>
    </row>
    <row r="264" spans="1:5" ht="129.94999999999999" hidden="1" customHeight="1" x14ac:dyDescent="0.25">
      <c r="A264" s="1"/>
      <c r="B264" s="3">
        <v>8520265</v>
      </c>
      <c r="C264" s="4" t="str">
        <f>IF(IFERROR(VLOOKUP($B264,LINCE!$A$5:$D$4000,3,FALSE),"")=0,"",IFERROR(VLOOKUP($B264,LINCE!$A$5:$D$4000,3,FALSE),""))</f>
        <v>LINTERNA C/ZOOM 3X10CM 3F IMP 4733</v>
      </c>
      <c r="D264" s="4">
        <f>IF(IFERROR(VLOOKUP($B264,LINCE!$A$5:$D$4000,4,FALSE),"")=0,"",IFERROR(VLOOKUP($B264,LINCE!$A$5:$D$4000,4,FALSE),""))</f>
        <v>200</v>
      </c>
      <c r="E264" s="14">
        <f>IF(IFERROR(VLOOKUP($B264,LINCE!$A$5:$E$4000,5,FALSE),"")=0,"",IFERROR(VLOOKUP($B264,LINCE!$A$5:$E$4000,5,FALSE),""))</f>
        <v>649</v>
      </c>
    </row>
    <row r="265" spans="1:5" ht="129.94999999999999" hidden="1" customHeight="1" x14ac:dyDescent="0.25">
      <c r="A265" s="1"/>
      <c r="B265" s="3">
        <v>8520936</v>
      </c>
      <c r="C265" s="4" t="str">
        <f>IF(IFERROR(VLOOKUP($B265,LINCE!$A$5:$D$4000,3,FALSE),"")=0,"",IFERROR(VLOOKUP($B265,LINCE!$A$5:$D$4000,3,FALSE),""))</f>
        <v>LINTERNA 1932 SIN CAJA+CABLE USB</v>
      </c>
      <c r="D265" s="4">
        <f>IF(IFERROR(VLOOKUP($B265,LINCE!$A$5:$D$4000,4,FALSE),"")=0,"",IFERROR(VLOOKUP($B265,LINCE!$A$5:$D$4000,4,FALSE),""))</f>
        <v>900</v>
      </c>
      <c r="E265" s="14">
        <f>IF(IFERROR(VLOOKUP($B265,LINCE!$A$5:$E$4000,5,FALSE),"")=0,"",IFERROR(VLOOKUP($B265,LINCE!$A$5:$E$4000,5,FALSE),""))</f>
        <v>105</v>
      </c>
    </row>
    <row r="266" spans="1:5" ht="129.94999999999999" hidden="1" customHeight="1" x14ac:dyDescent="0.25">
      <c r="A266" s="1"/>
      <c r="B266" s="3">
        <v>8520750</v>
      </c>
      <c r="C266" s="4" t="str">
        <f>IF(IFERROR(VLOOKUP($B266,LINCE!$A$5:$D$4000,3,FALSE),"")=0,"",IFERROR(VLOOKUP($B266,LINCE!$A$5:$D$4000,3,FALSE),""))</f>
        <v>LINTERNA  7750 ZOOM 15X3 3 FUN+CABLE USB</v>
      </c>
      <c r="D266" s="4">
        <f>IF(IFERROR(VLOOKUP($B266,LINCE!$A$5:$D$4000,4,FALSE),"")=0,"",IFERROR(VLOOKUP($B266,LINCE!$A$5:$D$4000,4,FALSE),""))</f>
        <v>700</v>
      </c>
      <c r="E266" s="14">
        <f>IF(IFERROR(VLOOKUP($B266,LINCE!$A$5:$E$4000,5,FALSE),"")=0,"",IFERROR(VLOOKUP($B266,LINCE!$A$5:$E$4000,5,FALSE),""))</f>
        <v>180</v>
      </c>
    </row>
    <row r="267" spans="1:5" ht="129.94999999999999" hidden="1" customHeight="1" x14ac:dyDescent="0.25">
      <c r="A267" s="1"/>
      <c r="B267" s="3">
        <v>8520745</v>
      </c>
      <c r="C267" s="4" t="str">
        <f>IF(IFERROR(VLOOKUP($B267,LINCE!$A$5:$D$4000,3,FALSE),"")=0,"",IFERROR(VLOOKUP($B267,LINCE!$A$5:$D$4000,3,FALSE),""))</f>
        <v>LINTERNA POLICE + CABLE USB</v>
      </c>
      <c r="D267" s="4">
        <f>IF(IFERROR(VLOOKUP($B267,LINCE!$A$5:$D$4000,4,FALSE),"")=0,"",IFERROR(VLOOKUP($B267,LINCE!$A$5:$D$4000,4,FALSE),""))</f>
        <v>700</v>
      </c>
      <c r="E267" s="14">
        <f>IF(IFERROR(VLOOKUP($B267,LINCE!$A$5:$E$4000,5,FALSE),"")=0,"",IFERROR(VLOOKUP($B267,LINCE!$A$5:$E$4000,5,FALSE),""))</f>
        <v>139</v>
      </c>
    </row>
    <row r="268" spans="1:5" ht="129.94999999999999" hidden="1" customHeight="1" x14ac:dyDescent="0.25">
      <c r="A268" s="1"/>
      <c r="B268" s="3">
        <v>8520051</v>
      </c>
      <c r="C268" s="4" t="str">
        <f>IF(IFERROR(VLOOKUP($B268,LINCE!$A$5:$D$4000,3,FALSE),"")=0,"",IFERROR(VLOOKUP($B268,LINCE!$A$5:$D$4000,3,FALSE),""))</f>
        <v>LINTERNA 4048+CABLE USB+ROMPEVIDRIO</v>
      </c>
      <c r="D268" s="4">
        <f>IF(IFERROR(VLOOKUP($B268,LINCE!$A$5:$D$4000,4,FALSE),"")=0,"",IFERROR(VLOOKUP($B268,LINCE!$A$5:$D$4000,4,FALSE),""))</f>
        <v>850</v>
      </c>
      <c r="E268" s="14">
        <f>IF(IFERROR(VLOOKUP($B268,LINCE!$A$5:$E$4000,5,FALSE),"")=0,"",IFERROR(VLOOKUP($B268,LINCE!$A$5:$E$4000,5,FALSE),""))</f>
        <v>340</v>
      </c>
    </row>
    <row r="269" spans="1:5" ht="129.94999999999999" hidden="1" customHeight="1" x14ac:dyDescent="0.25">
      <c r="A269" s="1"/>
      <c r="B269" s="3">
        <v>8520067</v>
      </c>
      <c r="C269" s="4" t="str">
        <f>IF(IFERROR(VLOOKUP($B269,LINCE!$A$5:$D$4000,3,FALSE),"")=0,"",IFERROR(VLOOKUP($B269,LINCE!$A$5:$D$4000,3,FALSE),""))</f>
        <v>LINTERNA 4067 ZOOM R/VIDRIO + CABLE USB</v>
      </c>
      <c r="D269" s="4">
        <f>IF(IFERROR(VLOOKUP($B269,LINCE!$A$5:$D$4000,4,FALSE),"")=0,"",IFERROR(VLOOKUP($B269,LINCE!$A$5:$D$4000,4,FALSE),""))</f>
        <v>650</v>
      </c>
      <c r="E269" s="14">
        <f>IF(IFERROR(VLOOKUP($B269,LINCE!$A$5:$E$4000,5,FALSE),"")=0,"",IFERROR(VLOOKUP($B269,LINCE!$A$5:$E$4000,5,FALSE),""))</f>
        <v>738</v>
      </c>
    </row>
    <row r="270" spans="1:5" ht="129.94999999999999" hidden="1" customHeight="1" x14ac:dyDescent="0.25">
      <c r="A270" s="1"/>
      <c r="B270" s="3">
        <v>8520932</v>
      </c>
      <c r="C270" s="4" t="str">
        <f>IF(IFERROR(VLOOKUP($B270,LINCE!$A$5:$D$4000,3,FALSE),"")=0,"",IFERROR(VLOOKUP($B270,LINCE!$A$5:$D$4000,3,FALSE),""))</f>
        <v>LINTERNA 1932 ZOOM + CABLE USB</v>
      </c>
      <c r="D270" s="4">
        <f>IF(IFERROR(VLOOKUP($B270,LINCE!$A$5:$D$4000,4,FALSE),"")=0,"",IFERROR(VLOOKUP($B270,LINCE!$A$5:$D$4000,4,FALSE),""))</f>
        <v>900</v>
      </c>
      <c r="E270" s="14">
        <f>IF(IFERROR(VLOOKUP($B270,LINCE!$A$5:$E$4000,5,FALSE),"")=0,"",IFERROR(VLOOKUP($B270,LINCE!$A$5:$E$4000,5,FALSE),""))</f>
        <v>32</v>
      </c>
    </row>
    <row r="271" spans="1:5" ht="129.94999999999999" hidden="1" customHeight="1" x14ac:dyDescent="0.25">
      <c r="A271" s="1"/>
      <c r="B271" s="3">
        <v>8520941</v>
      </c>
      <c r="C271" s="4" t="str">
        <f>IF(IFERROR(VLOOKUP($B271,LINCE!$A$5:$D$4000,3,FALSE),"")=0,"",IFERROR(VLOOKUP($B271,LINCE!$A$5:$D$4000,3,FALSE),""))</f>
        <v>LINTERNA 1941 C/ZOOM 800LUMENS+PILA USB</v>
      </c>
      <c r="D271" s="4">
        <f>IF(IFERROR(VLOOKUP($B271,LINCE!$A$5:$D$4000,4,FALSE),"")=0,"",IFERROR(VLOOKUP($B271,LINCE!$A$5:$D$4000,4,FALSE),""))</f>
        <v>1000</v>
      </c>
      <c r="E271" s="14">
        <f>IF(IFERROR(VLOOKUP($B271,LINCE!$A$5:$E$4000,5,FALSE),"")=0,"",IFERROR(VLOOKUP($B271,LINCE!$A$5:$E$4000,5,FALSE),""))</f>
        <v>522</v>
      </c>
    </row>
    <row r="272" spans="1:5" ht="129.94999999999999" hidden="1" customHeight="1" x14ac:dyDescent="0.25">
      <c r="A272" s="1"/>
      <c r="B272" s="3">
        <v>8520729</v>
      </c>
      <c r="C272" s="4" t="str">
        <f>IF(IFERROR(VLOOKUP($B272,LINCE!$A$5:$D$4000,3,FALSE),"")=0,"",IFERROR(VLOOKUP($B272,LINCE!$A$5:$D$4000,3,FALSE),""))</f>
        <v>LINTERNA C/ZOOM 13X3,2CM 3F 4729+PILAUSB</v>
      </c>
      <c r="D272" s="4">
        <f>IF(IFERROR(VLOOKUP($B272,LINCE!$A$5:$D$4000,4,FALSE),"")=0,"",IFERROR(VLOOKUP($B272,LINCE!$A$5:$D$4000,4,FALSE),""))</f>
        <v>1200</v>
      </c>
      <c r="E272" s="14">
        <f>IF(IFERROR(VLOOKUP($B272,LINCE!$A$5:$E$4000,5,FALSE),"")=0,"",IFERROR(VLOOKUP($B272,LINCE!$A$5:$E$4000,5,FALSE),""))</f>
        <v>113</v>
      </c>
    </row>
    <row r="273" spans="1:5" ht="129.94999999999999" hidden="1" customHeight="1" x14ac:dyDescent="0.25">
      <c r="A273" s="1"/>
      <c r="B273" s="3">
        <v>8520738</v>
      </c>
      <c r="C273" s="4" t="str">
        <f>IF(IFERROR(VLOOKUP($B273,LINCE!$A$5:$D$4000,3,FALSE),"")=0,"",IFERROR(VLOOKUP($B273,LINCE!$A$5:$D$4000,3,FALSE),""))</f>
        <v>LINTERNA4738+PILAUSB+FUNDAS+CABLE USB</v>
      </c>
      <c r="D273" s="4">
        <f>IF(IFERROR(VLOOKUP($B273,LINCE!$A$5:$D$4000,4,FALSE),"")=0,"",IFERROR(VLOOKUP($B273,LINCE!$A$5:$D$4000,4,FALSE),""))</f>
        <v>800</v>
      </c>
      <c r="E273" s="14">
        <f>IF(IFERROR(VLOOKUP($B273,LINCE!$A$5:$E$4000,5,FALSE),"")=0,"",IFERROR(VLOOKUP($B273,LINCE!$A$5:$E$4000,5,FALSE),""))</f>
        <v>248</v>
      </c>
    </row>
    <row r="274" spans="1:5" ht="129.94999999999999" hidden="1" customHeight="1" x14ac:dyDescent="0.25">
      <c r="A274" s="1"/>
      <c r="B274" s="3">
        <v>8520726</v>
      </c>
      <c r="C274" s="4" t="str">
        <f>IF(IFERROR(VLOOKUP($B274,LINCE!$A$5:$D$4000,3,FALSE),"")=0,"",IFERROR(VLOOKUP($B274,LINCE!$A$5:$D$4000,3,FALSE),""))</f>
        <v>LINTERNA PARA CICLISTAS USB 4726</v>
      </c>
      <c r="D274" s="4">
        <f>IF(IFERROR(VLOOKUP($B274,LINCE!$A$5:$D$4000,4,FALSE),"")=0,"",IFERROR(VLOOKUP($B274,LINCE!$A$5:$D$4000,4,FALSE),""))</f>
        <v>350</v>
      </c>
      <c r="E274" s="14">
        <f>IF(IFERROR(VLOOKUP($B274,LINCE!$A$5:$E$4000,5,FALSE),"")=0,"",IFERROR(VLOOKUP($B274,LINCE!$A$5:$E$4000,5,FALSE),""))</f>
        <v>16</v>
      </c>
    </row>
    <row r="275" spans="1:5" ht="129.94999999999999" hidden="1" customHeight="1" x14ac:dyDescent="0.25">
      <c r="A275" s="1"/>
      <c r="B275" s="3">
        <v>8503505</v>
      </c>
      <c r="C275" s="4" t="str">
        <f>IF(IFERROR(VLOOKUP($B275,LINCE!$A$5:$D$4000,3,FALSE),"")=0,"",IFERROR(VLOOKUP($B275,LINCE!$A$5:$D$4000,3,FALSE),""))</f>
        <v>LINTERNA TRASERA BICI LUG</v>
      </c>
      <c r="D275" s="4">
        <f>IF(IFERROR(VLOOKUP($B275,LINCE!$A$5:$D$4000,4,FALSE),"")=0,"",IFERROR(VLOOKUP($B275,LINCE!$A$5:$D$4000,4,FALSE),""))</f>
        <v>240.79</v>
      </c>
      <c r="E275" s="14" t="str">
        <f>IF(IFERROR(VLOOKUP($B275,LINCE!$A$5:$E$4000,5,FALSE),"")=0,"",IFERROR(VLOOKUP($B275,LINCE!$A$5:$E$4000,5,FALSE),""))</f>
        <v/>
      </c>
    </row>
    <row r="276" spans="1:5" ht="129.94999999999999" hidden="1" customHeight="1" x14ac:dyDescent="0.25">
      <c r="A276" s="1"/>
      <c r="B276" s="3">
        <v>8520629</v>
      </c>
      <c r="C276" s="4" t="str">
        <f>IF(IFERROR(VLOOKUP($B276,LINCE!$A$5:$D$4000,3,FALSE),"")=0,"",IFERROR(VLOOKUP($B276,LINCE!$A$5:$D$4000,3,FALSE),""))</f>
        <v>PILA 18650 BATERIA REUTILIZABLE</v>
      </c>
      <c r="D276" s="4">
        <f>IF(IFERROR(VLOOKUP($B276,LINCE!$A$5:$D$4000,4,FALSE),"")=0,"",IFERROR(VLOOKUP($B276,LINCE!$A$5:$D$4000,4,FALSE),""))</f>
        <v>300</v>
      </c>
      <c r="E276" s="14">
        <f>IF(IFERROR(VLOOKUP($B276,LINCE!$A$5:$E$4000,5,FALSE),"")=0,"",IFERROR(VLOOKUP($B276,LINCE!$A$5:$E$4000,5,FALSE),""))</f>
        <v>518</v>
      </c>
    </row>
    <row r="277" spans="1:5" ht="129.94999999999999" hidden="1" customHeight="1" x14ac:dyDescent="0.25">
      <c r="A277" s="1"/>
      <c r="B277" s="3">
        <v>8520626</v>
      </c>
      <c r="C277" s="4" t="str">
        <f>IF(IFERROR(VLOOKUP($B277,LINCE!$A$5:$D$4000,3,FALSE),"")=0,"",IFERROR(VLOOKUP($B277,LINCE!$A$5:$D$4000,3,FALSE),""))</f>
        <v>PILA 18650 BATERIA REUT.VERDE USB 4526</v>
      </c>
      <c r="D277" s="4">
        <f>IF(IFERROR(VLOOKUP($B277,LINCE!$A$5:$D$4000,4,FALSE),"")=0,"",IFERROR(VLOOKUP($B277,LINCE!$A$5:$D$4000,4,FALSE),""))</f>
        <v>603.79</v>
      </c>
      <c r="E277" s="14">
        <f>IF(IFERROR(VLOOKUP($B277,LINCE!$A$5:$E$4000,5,FALSE),"")=0,"",IFERROR(VLOOKUP($B277,LINCE!$A$5:$E$4000,5,FALSE),""))</f>
        <v>660</v>
      </c>
    </row>
    <row r="278" spans="1:5" ht="129.94999999999999" hidden="1" customHeight="1" x14ac:dyDescent="0.25">
      <c r="A278" s="1"/>
      <c r="B278" s="3">
        <v>8503111</v>
      </c>
      <c r="C278" s="4" t="str">
        <f>IF(IFERROR(VLOOKUP($B278,LINCE!$A$5:$D$4000,3,FALSE),"")=0,"",IFERROR(VLOOKUP($B278,LINCE!$A$5:$D$4000,3,FALSE),""))</f>
        <v>PROTECTOR AUDITIVO RER</v>
      </c>
      <c r="D278" s="4">
        <f>IF(IFERROR(VLOOKUP($B278,LINCE!$A$5:$D$4000,4,FALSE),"")=0,"",IFERROR(VLOOKUP($B278,LINCE!$A$5:$D$4000,4,FALSE),""))</f>
        <v>489.43</v>
      </c>
      <c r="E278" s="14" t="str">
        <f>IF(IFERROR(VLOOKUP($B278,LINCE!$A$5:$E$4000,5,FALSE),"")=0,"",IFERROR(VLOOKUP($B278,LINCE!$A$5:$E$4000,5,FALSE),""))</f>
        <v/>
      </c>
    </row>
    <row r="279" spans="1:5" ht="129.94999999999999" hidden="1" customHeight="1" x14ac:dyDescent="0.25">
      <c r="A279" s="1"/>
      <c r="B279" s="3">
        <v>8503224</v>
      </c>
      <c r="C279" s="4" t="str">
        <f>IF(IFERROR(VLOOKUP($B279,LINCE!$A$5:$D$4000,3,FALSE),"")=0,"",IFERROR(VLOOKUP($B279,LINCE!$A$5:$D$4000,3,FALSE),""))</f>
        <v>PROTECTOR AUDITIVO LIBUS ALTERNATIVE</v>
      </c>
      <c r="D279" s="4">
        <f>IF(IFERROR(VLOOKUP($B279,LINCE!$A$5:$D$4000,4,FALSE),"")=0,"",IFERROR(VLOOKUP($B279,LINCE!$A$5:$D$4000,4,FALSE),""))</f>
        <v>918.38</v>
      </c>
      <c r="E279" s="14" t="str">
        <f>IF(IFERROR(VLOOKUP($B279,LINCE!$A$5:$E$4000,5,FALSE),"")=0,"",IFERROR(VLOOKUP($B279,LINCE!$A$5:$E$4000,5,FALSE),""))</f>
        <v/>
      </c>
    </row>
    <row r="280" spans="1:5" ht="129.94999999999999" hidden="1" customHeight="1" x14ac:dyDescent="0.25">
      <c r="A280" s="1"/>
      <c r="B280" s="3">
        <v>8612500</v>
      </c>
      <c r="C280" s="4" t="str">
        <f>IF(IFERROR(VLOOKUP($B280,LINCE!$A$5:$D$4000,3,FALSE),"")=0,"",IFERROR(VLOOKUP($B280,LINCE!$A$5:$D$4000,3,FALSE),""))</f>
        <v/>
      </c>
      <c r="D280" s="4" t="str">
        <f>IF(IFERROR(VLOOKUP($B280,LINCE!$A$5:$D$4000,4,FALSE),"")=0,"",IFERROR(VLOOKUP($B280,LINCE!$A$5:$D$4000,4,FALSE),""))</f>
        <v/>
      </c>
      <c r="E280" s="14" t="str">
        <f>IF(IFERROR(VLOOKUP($B280,LINCE!$A$5:$E$4000,5,FALSE),"")=0,"",IFERROR(VLOOKUP($B280,LINCE!$A$5:$E$4000,5,FALSE),""))</f>
        <v/>
      </c>
    </row>
    <row r="281" spans="1:5" ht="129.94999999999999" hidden="1" customHeight="1" x14ac:dyDescent="0.25">
      <c r="A281" s="1"/>
      <c r="B281" s="3">
        <v>8503305</v>
      </c>
      <c r="C281" s="4" t="str">
        <f>IF(IFERROR(VLOOKUP($B281,LINCE!$A$5:$D$4000,3,FALSE),"")=0,"",IFERROR(VLOOKUP($B281,LINCE!$A$5:$D$4000,3,FALSE),""))</f>
        <v>RELOJ TACTICO 4098-4102-30</v>
      </c>
      <c r="D281" s="4">
        <f>IF(IFERROR(VLOOKUP($B281,LINCE!$A$5:$D$4000,4,FALSE),"")=0,"",IFERROR(VLOOKUP($B281,LINCE!$A$5:$D$4000,4,FALSE),""))</f>
        <v>450</v>
      </c>
      <c r="E281" s="14">
        <f>IF(IFERROR(VLOOKUP($B281,LINCE!$A$5:$E$4000,5,FALSE),"")=0,"",IFERROR(VLOOKUP($B281,LINCE!$A$5:$E$4000,5,FALSE),""))</f>
        <v>549</v>
      </c>
    </row>
    <row r="282" spans="1:5" ht="129.94999999999999" hidden="1" customHeight="1" x14ac:dyDescent="0.25">
      <c r="A282" s="1"/>
      <c r="B282" s="3">
        <v>8686010</v>
      </c>
      <c r="C282" s="4" t="str">
        <f>IF(IFERROR(VLOOKUP($B282,LINCE!$A$5:$D$4000,3,FALSE),"")=0,"",IFERROR(VLOOKUP($B282,LINCE!$A$5:$D$4000,3,FALSE),""))</f>
        <v/>
      </c>
      <c r="D282" s="4" t="str">
        <f>IF(IFERROR(VLOOKUP($B282,LINCE!$A$5:$D$4000,4,FALSE),"")=0,"",IFERROR(VLOOKUP($B282,LINCE!$A$5:$D$4000,4,FALSE),""))</f>
        <v/>
      </c>
      <c r="E282" s="14" t="str">
        <f>IF(IFERROR(VLOOKUP($B282,LINCE!$A$5:$E$4000,5,FALSE),"")=0,"",IFERROR(VLOOKUP($B282,LINCE!$A$5:$E$4000,5,FALSE),""))</f>
        <v/>
      </c>
    </row>
    <row r="283" spans="1:5" ht="129.94999999999999" hidden="1" customHeight="1" x14ac:dyDescent="0.25">
      <c r="A283" s="1"/>
      <c r="B283" s="3">
        <v>8525999</v>
      </c>
      <c r="C283" s="4" t="str">
        <f>IF(IFERROR(VLOOKUP($B283,LINCE!$A$5:$D$4000,3,FALSE),"")=0,"",IFERROR(VLOOKUP($B283,LINCE!$A$5:$D$4000,3,FALSE),""))</f>
        <v>SILBATO METALICO 4CM C/SOGA 5764-032/4,4</v>
      </c>
      <c r="D283" s="4">
        <f>IF(IFERROR(VLOOKUP($B283,LINCE!$A$5:$D$4000,4,FALSE),"")=0,"",IFERROR(VLOOKUP($B283,LINCE!$A$5:$D$4000,4,FALSE),""))</f>
        <v>130</v>
      </c>
      <c r="E283" s="14">
        <f>IF(IFERROR(VLOOKUP($B283,LINCE!$A$5:$E$4000,5,FALSE),"")=0,"",IFERROR(VLOOKUP($B283,LINCE!$A$5:$E$4000,5,FALSE),""))</f>
        <v>170</v>
      </c>
    </row>
    <row r="284" spans="1:5" ht="129.94999999999999" hidden="1" customHeight="1" x14ac:dyDescent="0.25">
      <c r="A284" s="1"/>
      <c r="B284" s="3">
        <v>8503820</v>
      </c>
      <c r="C284" s="4" t="str">
        <f>IF(IFERROR(VLOOKUP($B284,LINCE!$A$5:$D$4000,3,FALSE),"")=0,"",IFERROR(VLOOKUP($B284,LINCE!$A$5:$D$4000,3,FALSE),""))</f>
        <v>PROTECTOR VISUAL ARGON ANTEOJO</v>
      </c>
      <c r="D284" s="4">
        <f>IF(IFERROR(VLOOKUP($B284,LINCE!$A$5:$D$4000,4,FALSE),"")=0,"",IFERROR(VLOOKUP($B284,LINCE!$A$5:$D$4000,4,FALSE),""))</f>
        <v>328.9</v>
      </c>
      <c r="E284" s="14">
        <f>IF(IFERROR(VLOOKUP($B284,LINCE!$A$5:$E$4000,5,FALSE),"")=0,"",IFERROR(VLOOKUP($B284,LINCE!$A$5:$E$4000,5,FALSE),""))</f>
        <v>3</v>
      </c>
    </row>
    <row r="285" spans="1:5" ht="129.94999999999999" hidden="1" customHeight="1" x14ac:dyDescent="0.25">
      <c r="A285" s="1"/>
      <c r="B285" s="3">
        <v>8503832</v>
      </c>
      <c r="C285" s="4" t="str">
        <f>IF(IFERROR(VLOOKUP($B285,LINCE!$A$5:$D$4000,3,FALSE),"")=0,"",IFERROR(VLOOKUP($B285,LINCE!$A$5:$D$4000,3,FALSE),""))</f>
        <v>ANTIPARRA SPORT 3104DR/11.85 GLA</v>
      </c>
      <c r="D285" s="4">
        <f>IF(IFERROR(VLOOKUP($B285,LINCE!$A$5:$D$4000,4,FALSE),"")=0,"",IFERROR(VLOOKUP($B285,LINCE!$A$5:$D$4000,4,FALSE),""))</f>
        <v>1988.32</v>
      </c>
      <c r="E285" s="14">
        <f>IF(IFERROR(VLOOKUP($B285,LINCE!$A$5:$E$4000,5,FALSE),"")=0,"",IFERROR(VLOOKUP($B285,LINCE!$A$5:$E$4000,5,FALSE),""))</f>
        <v>1</v>
      </c>
    </row>
    <row r="286" spans="1:5" ht="129.94999999999999" hidden="1" customHeight="1" x14ac:dyDescent="0.25">
      <c r="A286" s="1"/>
      <c r="B286" s="3">
        <v>8503831</v>
      </c>
      <c r="C286" s="4" t="str">
        <f>IF(IFERROR(VLOOKUP($B286,LINCE!$A$5:$D$4000,3,FALSE),"")=0,"",IFERROR(VLOOKUP($B286,LINCE!$A$5:$D$4000,3,FALSE),""))</f>
        <v>ANTIPARRA SPORT 3104CM/11.85 GLA</v>
      </c>
      <c r="D286" s="4" t="str">
        <f>IF(IFERROR(VLOOKUP($B286,LINCE!$A$5:$D$4000,4,FALSE),"")=0,"",IFERROR(VLOOKUP($B286,LINCE!$A$5:$D$4000,4,FALSE),""))</f>
        <v/>
      </c>
      <c r="E286" s="14" t="str">
        <f>IF(IFERROR(VLOOKUP($B286,LINCE!$A$5:$E$4000,5,FALSE),"")=0,"",IFERROR(VLOOKUP($B286,LINCE!$A$5:$E$4000,5,FALSE),""))</f>
        <v/>
      </c>
    </row>
    <row r="287" spans="1:5" ht="129.94999999999999" hidden="1" customHeight="1" x14ac:dyDescent="0.25">
      <c r="A287" s="1"/>
      <c r="B287" s="3">
        <v>8503823</v>
      </c>
      <c r="C287" s="4" t="str">
        <f>IF(IFERROR(VLOOKUP($B287,LINCE!$A$5:$D$4000,3,FALSE),"")=0,"",IFERROR(VLOOKUP($B287,LINCE!$A$5:$D$4000,3,FALSE),""))</f>
        <v>ANTIPARRA 3000MS/19.00 GLA</v>
      </c>
      <c r="D287" s="4">
        <f>IF(IFERROR(VLOOKUP($B287,LINCE!$A$5:$D$4000,4,FALSE),"")=0,"",IFERROR(VLOOKUP($B287,LINCE!$A$5:$D$4000,4,FALSE),""))</f>
        <v>2906.71</v>
      </c>
      <c r="E287" s="14">
        <f>IF(IFERROR(VLOOKUP($B287,LINCE!$A$5:$E$4000,5,FALSE),"")=0,"",IFERROR(VLOOKUP($B287,LINCE!$A$5:$E$4000,5,FALSE),""))</f>
        <v>1</v>
      </c>
    </row>
    <row r="288" spans="1:5" ht="129.94999999999999" hidden="1" customHeight="1" x14ac:dyDescent="0.25">
      <c r="A288" s="1"/>
      <c r="B288" s="3">
        <v>8703679</v>
      </c>
      <c r="C288" s="4" t="str">
        <f>IF(IFERROR(VLOOKUP($B288,LINCE!$A$5:$D$4000,3,FALSE),"")=0,"",IFERROR(VLOOKUP($B288,LINCE!$A$5:$D$4000,3,FALSE),""))</f>
        <v>PIST. NIVEL 2 BLCKHAWKGLOCK HOLSTER 5679</v>
      </c>
      <c r="D288" s="4">
        <f>IF(IFERROR(VLOOKUP($B288,LINCE!$A$5:$D$4000,4,FALSE),"")=0,"",IFERROR(VLOOKUP($B288,LINCE!$A$5:$D$4000,4,FALSE),""))</f>
        <v>1400</v>
      </c>
      <c r="E288" s="14">
        <f>IF(IFERROR(VLOOKUP($B288,LINCE!$A$5:$E$4000,5,FALSE),"")=0,"",IFERROR(VLOOKUP($B288,LINCE!$A$5:$E$4000,5,FALSE),""))</f>
        <v>58</v>
      </c>
    </row>
    <row r="289" spans="1:5" ht="129.94999999999999" hidden="1" customHeight="1" x14ac:dyDescent="0.25">
      <c r="A289" s="1"/>
      <c r="B289" s="3">
        <v>8703671</v>
      </c>
      <c r="C289" s="4" t="str">
        <f>IF(IFERROR(VLOOKUP($B289,LINCE!$A$5:$D$4000,3,FALSE),"")=0,"",IFERROR(VLOOKUP($B289,LINCE!$A$5:$D$4000,3,FALSE),""))</f>
        <v>PIST. NIVEL3 H3 HIPOWER/BROW/GLOCK 5671</v>
      </c>
      <c r="D289" s="4">
        <f>IF(IFERROR(VLOOKUP($B289,LINCE!$A$5:$D$4000,4,FALSE),"")=0,"",IFERROR(VLOOKUP($B289,LINCE!$A$5:$D$4000,4,FALSE),""))</f>
        <v>3500</v>
      </c>
      <c r="E289" s="14">
        <f>IF(IFERROR(VLOOKUP($B289,LINCE!$A$5:$E$4000,5,FALSE),"")=0,"",IFERROR(VLOOKUP($B289,LINCE!$A$5:$E$4000,5,FALSE),""))</f>
        <v>42</v>
      </c>
    </row>
    <row r="290" spans="1:5" ht="129.94999999999999" hidden="1" customHeight="1" x14ac:dyDescent="0.25">
      <c r="A290" s="1"/>
      <c r="B290" s="3">
        <v>8703669</v>
      </c>
      <c r="C290" s="4" t="str">
        <f>IF(IFERROR(VLOOKUP($B290,LINCE!$A$5:$D$4000,3,FALSE),"")=0,"",IFERROR(VLOOKUP($B290,LINCE!$A$5:$D$4000,3,FALSE),""))</f>
        <v>PIST. NIVEL 2 ROTATIVA BERSA 98 HOLSTER</v>
      </c>
      <c r="D290" s="4">
        <f>IF(IFERROR(VLOOKUP($B290,LINCE!$A$5:$D$4000,4,FALSE),"")=0,"",IFERROR(VLOOKUP($B290,LINCE!$A$5:$D$4000,4,FALSE),""))</f>
        <v>2400</v>
      </c>
      <c r="E290" s="14">
        <f>IF(IFERROR(VLOOKUP($B290,LINCE!$A$5:$E$4000,5,FALSE),"")=0,"",IFERROR(VLOOKUP($B290,LINCE!$A$5:$E$4000,5,FALSE),""))</f>
        <v>31</v>
      </c>
    </row>
    <row r="291" spans="1:5" ht="129.94999999999999" hidden="1" customHeight="1" x14ac:dyDescent="0.25">
      <c r="A291" s="1"/>
      <c r="B291" s="3">
        <v>8703667</v>
      </c>
      <c r="C291" s="4" t="str">
        <f>IF(IFERROR(VLOOKUP($B291,LINCE!$A$5:$D$4000,3,FALSE),"")=0,"",IFERROR(VLOOKUP($B291,LINCE!$A$5:$D$4000,3,FALSE),""))</f>
        <v>PIST. NIVEL 2 BERSA AJUSTABLE 92GB HOLST</v>
      </c>
      <c r="D291" s="4">
        <f>IF(IFERROR(VLOOKUP($B291,LINCE!$A$5:$D$4000,4,FALSE),"")=0,"",IFERROR(VLOOKUP($B291,LINCE!$A$5:$D$4000,4,FALSE),""))</f>
        <v>2700</v>
      </c>
      <c r="E291" s="14">
        <f>IF(IFERROR(VLOOKUP($B291,LINCE!$A$5:$E$4000,5,FALSE),"")=0,"",IFERROR(VLOOKUP($B291,LINCE!$A$5:$E$4000,5,FALSE),""))</f>
        <v>32</v>
      </c>
    </row>
    <row r="292" spans="1:5" ht="129.94999999999999" hidden="1" customHeight="1" x14ac:dyDescent="0.25">
      <c r="A292" s="1"/>
      <c r="B292" s="3">
        <v>8703665</v>
      </c>
      <c r="C292" s="4" t="str">
        <f>IF(IFERROR(VLOOKUP($B292,LINCE!$A$5:$D$4000,3,FALSE),"")=0,"",IFERROR(VLOOKUP($B292,LINCE!$A$5:$D$4000,3,FALSE),""))</f>
        <v>PIST. NIVEL2 BERSA MUSLERA 92G HOLSTER 5</v>
      </c>
      <c r="D292" s="4">
        <f>IF(IFERROR(VLOOKUP($B292,LINCE!$A$5:$D$4000,4,FALSE),"")=0,"",IFERROR(VLOOKUP($B292,LINCE!$A$5:$D$4000,4,FALSE),""))</f>
        <v>2600</v>
      </c>
      <c r="E292" s="14">
        <f>IF(IFERROR(VLOOKUP($B292,LINCE!$A$5:$E$4000,5,FALSE),"")=0,"",IFERROR(VLOOKUP($B292,LINCE!$A$5:$E$4000,5,FALSE),""))</f>
        <v>26</v>
      </c>
    </row>
    <row r="293" spans="1:5" ht="129.94999999999999" hidden="1" customHeight="1" x14ac:dyDescent="0.25">
      <c r="A293" s="1"/>
      <c r="B293" s="3">
        <v>8703662</v>
      </c>
      <c r="C293" s="4" t="str">
        <f>IF(IFERROR(VLOOKUP($B293,LINCE!$A$5:$D$4000,3,FALSE),"")=0,"",IFERROR(VLOOKUP($B293,LINCE!$A$5:$D$4000,3,FALSE),""))</f>
        <v>PIST. NIVEL 2 BERSA PRO/THU HOLSTER 5662</v>
      </c>
      <c r="D293" s="4">
        <f>IF(IFERROR(VLOOKUP($B293,LINCE!$A$5:$D$4000,4,FALSE),"")=0,"",IFERROR(VLOOKUP($B293,LINCE!$A$5:$D$4000,4,FALSE),""))</f>
        <v>1200</v>
      </c>
      <c r="E293" s="14">
        <f>IF(IFERROR(VLOOKUP($B293,LINCE!$A$5:$E$4000,5,FALSE),"")=0,"",IFERROR(VLOOKUP($B293,LINCE!$A$5:$E$4000,5,FALSE),""))</f>
        <v>65</v>
      </c>
    </row>
    <row r="294" spans="1:5" ht="129.94999999999999" hidden="1" customHeight="1" x14ac:dyDescent="0.25">
      <c r="A294" s="1"/>
      <c r="B294" s="3">
        <v>8703660</v>
      </c>
      <c r="C294" s="4" t="str">
        <f>IF(IFERROR(VLOOKUP($B294,LINCE!$A$5:$D$4000,3,FALSE),"")=0,"",IFERROR(VLOOKUP($B294,LINCE!$A$5:$D$4000,3,FALSE),""))</f>
        <v>PIST. NIVEL 2 TAU809/GLOCK 17 5660 ZURDA</v>
      </c>
      <c r="D294" s="4">
        <f>IF(IFERROR(VLOOKUP($B294,LINCE!$A$5:$D$4000,4,FALSE),"")=0,"",IFERROR(VLOOKUP($B294,LINCE!$A$5:$D$4000,4,FALSE),""))</f>
        <v>900</v>
      </c>
      <c r="E294" s="14">
        <f>IF(IFERROR(VLOOKUP($B294,LINCE!$A$5:$E$4000,5,FALSE),"")=0,"",IFERROR(VLOOKUP($B294,LINCE!$A$5:$E$4000,5,FALSE),""))</f>
        <v>75</v>
      </c>
    </row>
    <row r="295" spans="1:5" ht="129.94999999999999" hidden="1" customHeight="1" x14ac:dyDescent="0.25">
      <c r="A295" s="1"/>
      <c r="B295" s="3">
        <v>8703658</v>
      </c>
      <c r="C295" s="4" t="str">
        <f>IF(IFERROR(VLOOKUP($B295,LINCE!$A$5:$D$4000,3,FALSE),"")=0,"",IFERROR(VLOOKUP($B295,LINCE!$A$5:$D$4000,3,FALSE),""))</f>
        <v>PIST. NIVEL 2 BERSA PRO / HOLSTER 5658-8</v>
      </c>
      <c r="D295" s="4">
        <f>IF(IFERROR(VLOOKUP($B295,LINCE!$A$5:$D$4000,4,FALSE),"")=0,"",IFERROR(VLOOKUP($B295,LINCE!$A$5:$D$4000,4,FALSE),""))</f>
        <v>2400</v>
      </c>
      <c r="E295" s="14">
        <f>IF(IFERROR(VLOOKUP($B295,LINCE!$A$5:$E$4000,5,FALSE),"")=0,"",IFERROR(VLOOKUP($B295,LINCE!$A$5:$E$4000,5,FALSE),""))</f>
        <v>72</v>
      </c>
    </row>
    <row r="296" spans="1:5" ht="129.94999999999999" hidden="1" customHeight="1" x14ac:dyDescent="0.25">
      <c r="A296" s="1"/>
      <c r="B296" s="3">
        <v>8703656</v>
      </c>
      <c r="C296" s="4" t="str">
        <f>IF(IFERROR(VLOOKUP($B296,LINCE!$A$5:$D$4000,3,FALSE),"")=0,"",IFERROR(VLOOKUP($B296,LINCE!$A$5:$D$4000,3,FALSE),""))</f>
        <v>PIST. NIVEL 2 BERSA PRO/THUNDMODM92 5656</v>
      </c>
      <c r="D296" s="4">
        <f>IF(IFERROR(VLOOKUP($B296,LINCE!$A$5:$D$4000,4,FALSE),"")=0,"",IFERROR(VLOOKUP($B296,LINCE!$A$5:$D$4000,4,FALSE),""))</f>
        <v>1200</v>
      </c>
      <c r="E296" s="14">
        <f>IF(IFERROR(VLOOKUP($B296,LINCE!$A$5:$E$4000,5,FALSE),"")=0,"",IFERROR(VLOOKUP($B296,LINCE!$A$5:$E$4000,5,FALSE),""))</f>
        <v>53</v>
      </c>
    </row>
    <row r="297" spans="1:5" ht="129.94999999999999" hidden="1" customHeight="1" x14ac:dyDescent="0.25">
      <c r="A297" s="1"/>
      <c r="B297" s="3">
        <v>8703570</v>
      </c>
      <c r="C297" s="4" t="str">
        <f>IF(IFERROR(VLOOKUP($B297,LINCE!$A$5:$D$4000,3,FALSE),"")=0,"",IFERROR(VLOOKUP($B297,LINCE!$A$5:$D$4000,3,FALSE),""))</f>
        <v>PIST NIVEL 1 + PORT CARG BERSA/PT92/BROW</v>
      </c>
      <c r="D297" s="4">
        <f>IF(IFERROR(VLOOKUP($B297,LINCE!$A$5:$D$4000,4,FALSE),"")=0,"",IFERROR(VLOOKUP($B297,LINCE!$A$5:$D$4000,4,FALSE),""))</f>
        <v>600</v>
      </c>
      <c r="E297" s="14">
        <f>IF(IFERROR(VLOOKUP($B297,LINCE!$A$5:$E$4000,5,FALSE),"")=0,"",IFERROR(VLOOKUP($B297,LINCE!$A$5:$E$4000,5,FALSE),""))</f>
        <v>246</v>
      </c>
    </row>
    <row r="298" spans="1:5" ht="129.94999999999999" hidden="1" customHeight="1" x14ac:dyDescent="0.25">
      <c r="A298" s="1"/>
      <c r="B298" s="3">
        <v>8701576</v>
      </c>
      <c r="C298" s="4" t="str">
        <f>IF(IFERROR(VLOOKUP($B298,LINCE!$A$5:$D$4000,3,FALSE),"")=0,"",IFERROR(VLOOKUP($B298,LINCE!$A$5:$D$4000,3,FALSE),""))</f>
        <v>CINTURON TACTICO HEBILLA COBRA 5576-1,6/</v>
      </c>
      <c r="D298" s="4">
        <f>IF(IFERROR(VLOOKUP($B298,LINCE!$A$5:$D$4000,4,FALSE),"")=0,"",IFERROR(VLOOKUP($B298,LINCE!$A$5:$D$4000,4,FALSE),""))</f>
        <v>1100</v>
      </c>
      <c r="E298" s="14">
        <f>IF(IFERROR(VLOOKUP($B298,LINCE!$A$5:$E$4000,5,FALSE),"")=0,"",IFERROR(VLOOKUP($B298,LINCE!$A$5:$E$4000,5,FALSE),""))</f>
        <v>670</v>
      </c>
    </row>
    <row r="299" spans="1:5" ht="129.94999999999999" hidden="1" customHeight="1" x14ac:dyDescent="0.25">
      <c r="A299" s="1"/>
      <c r="B299" s="3">
        <v>8701575</v>
      </c>
      <c r="C299" s="4" t="str">
        <f>IF(IFERROR(VLOOKUP($B299,LINCE!$A$5:$D$4000,3,FALSE),"")=0,"",IFERROR(VLOOKUP($B299,LINCE!$A$5:$D$4000,3,FALSE),""))</f>
        <v>CINTURON TACTICO C/HEBILLA METALICA 5575</v>
      </c>
      <c r="D299" s="4">
        <f>IF(IFERROR(VLOOKUP($B299,LINCE!$A$5:$D$4000,4,FALSE),"")=0,"",IFERROR(VLOOKUP($B299,LINCE!$A$5:$D$4000,4,FALSE),""))</f>
        <v>450</v>
      </c>
      <c r="E299" s="14">
        <f>IF(IFERROR(VLOOKUP($B299,LINCE!$A$5:$E$4000,5,FALSE),"")=0,"",IFERROR(VLOOKUP($B299,LINCE!$A$5:$E$4000,5,FALSE),""))</f>
        <v>178</v>
      </c>
    </row>
    <row r="300" spans="1:5" ht="129.94999999999999" hidden="1" customHeight="1" x14ac:dyDescent="0.25">
      <c r="A300" s="1"/>
      <c r="B300" s="3">
        <v>8701494</v>
      </c>
      <c r="C300" s="4" t="str">
        <f>IF(IFERROR(VLOOKUP($B300,LINCE!$A$5:$D$4000,3,FALSE),"")=0,"",IFERROR(VLOOKUP($B300,LINCE!$A$5:$D$4000,3,FALSE),""))</f>
        <v>CINTURON TACTICO URBANO GRANDE  5494/3</v>
      </c>
      <c r="D300" s="4">
        <f>IF(IFERROR(VLOOKUP($B300,LINCE!$A$5:$D$4000,4,FALSE),"")=0,"",IFERROR(VLOOKUP($B300,LINCE!$A$5:$D$4000,4,FALSE),""))</f>
        <v>500</v>
      </c>
      <c r="E300" s="14">
        <f>IF(IFERROR(VLOOKUP($B300,LINCE!$A$5:$E$4000,5,FALSE),"")=0,"",IFERROR(VLOOKUP($B300,LINCE!$A$5:$E$4000,5,FALSE),""))</f>
        <v>123</v>
      </c>
    </row>
    <row r="301" spans="1:5" ht="129.94999999999999" hidden="1" customHeight="1" x14ac:dyDescent="0.25">
      <c r="A301" s="1"/>
      <c r="B301" s="3">
        <v>8701038</v>
      </c>
      <c r="C301" s="4" t="str">
        <f>IF(IFERROR(VLOOKUP($B301,LINCE!$A$5:$D$4000,3,FALSE),"")=0,"",IFERROR(VLOOKUP($B301,LINCE!$A$5:$D$4000,3,FALSE),""))</f>
        <v>CINTURON TACTICO RANGER HEBILLA FA38</v>
      </c>
      <c r="D301" s="4">
        <f>IF(IFERROR(VLOOKUP($B301,LINCE!$A$5:$D$4000,4,FALSE),"")=0,"",IFERROR(VLOOKUP($B301,LINCE!$A$5:$D$4000,4,FALSE),""))</f>
        <v>1300</v>
      </c>
      <c r="E301" s="14">
        <f>IF(IFERROR(VLOOKUP($B301,LINCE!$A$5:$E$4000,5,FALSE),"")=0,"",IFERROR(VLOOKUP($B301,LINCE!$A$5:$E$4000,5,FALSE),""))</f>
        <v>104</v>
      </c>
    </row>
    <row r="302" spans="1:5" ht="129.94999999999999" hidden="1" customHeight="1" x14ac:dyDescent="0.25">
      <c r="A302" s="1"/>
      <c r="B302" s="3">
        <v>8612418</v>
      </c>
      <c r="C302" s="4" t="str">
        <f>IF(IFERROR(VLOOKUP($B302,LINCE!$A$5:$D$4000,3,FALSE),"")=0,"",IFERROR(VLOOKUP($B302,LINCE!$A$5:$D$4000,3,FALSE),""))</f>
        <v>TARJETA DE SUPERVIVENCIA 5559-029/4,84</v>
      </c>
      <c r="D302" s="4">
        <f>IF(IFERROR(VLOOKUP($B302,LINCE!$A$5:$D$4000,4,FALSE),"")=0,"",IFERROR(VLOOKUP($B302,LINCE!$A$5:$D$4000,4,FALSE),""))</f>
        <v>100</v>
      </c>
      <c r="E302" s="14">
        <f>IF(IFERROR(VLOOKUP($B302,LINCE!$A$5:$E$4000,5,FALSE),"")=0,"",IFERROR(VLOOKUP($B302,LINCE!$A$5:$E$4000,5,FALSE),""))</f>
        <v>371</v>
      </c>
    </row>
    <row r="303" spans="1:5" ht="129.94999999999999" hidden="1" customHeight="1" x14ac:dyDescent="0.25">
      <c r="A303" s="1"/>
      <c r="B303" s="3">
        <v>8525576</v>
      </c>
      <c r="C303" s="4" t="str">
        <f>IF(IFERROR(VLOOKUP($B303,LINCE!$A$5:$D$4000,3,FALSE),"")=0,"",IFERROR(VLOOKUP($B303,LINCE!$A$5:$D$4000,3,FALSE),""))</f>
        <v>SILBATO PLASTICO NEGRO C/SOGA 5768-023/4</v>
      </c>
      <c r="D303" s="4">
        <f>IF(IFERROR(VLOOKUP($B303,LINCE!$A$5:$D$4000,4,FALSE),"")=0,"",IFERROR(VLOOKUP($B303,LINCE!$A$5:$D$4000,4,FALSE),""))</f>
        <v>90</v>
      </c>
      <c r="E303" s="14">
        <f>IF(IFERROR(VLOOKUP($B303,LINCE!$A$5:$E$4000,5,FALSE),"")=0,"",IFERROR(VLOOKUP($B303,LINCE!$A$5:$E$4000,5,FALSE),""))</f>
        <v>399</v>
      </c>
    </row>
    <row r="304" spans="1:5" ht="129.94999999999999" hidden="1" customHeight="1" x14ac:dyDescent="0.25">
      <c r="A304" s="1"/>
      <c r="B304" s="3">
        <v>8522030</v>
      </c>
      <c r="C304" s="4" t="str">
        <f>IF(IFERROR(VLOOKUP($B304,LINCE!$A$5:$D$4000,3,FALSE),"")=0,"",IFERROR(VLOOKUP($B304,LINCE!$A$5:$D$4000,3,FALSE),""))</f>
        <v>RABIZA TACTICA REFORZADA C/HEBILLA 5641-</v>
      </c>
      <c r="D304" s="4">
        <f>IF(IFERROR(VLOOKUP($B304,LINCE!$A$5:$D$4000,4,FALSE),"")=0,"",IFERROR(VLOOKUP($B304,LINCE!$A$5:$D$4000,4,FALSE),""))</f>
        <v>990</v>
      </c>
      <c r="E304" s="14">
        <f>IF(IFERROR(VLOOKUP($B304,LINCE!$A$5:$E$4000,5,FALSE),"")=0,"",IFERROR(VLOOKUP($B304,LINCE!$A$5:$E$4000,5,FALSE),""))</f>
        <v>333</v>
      </c>
    </row>
    <row r="305" spans="1:5" ht="129.94999999999999" hidden="1" customHeight="1" x14ac:dyDescent="0.25">
      <c r="A305" s="1"/>
      <c r="B305" s="3">
        <v>8522012</v>
      </c>
      <c r="C305" s="4" t="str">
        <f>IF(IFERROR(VLOOKUP($B305,LINCE!$A$5:$D$4000,3,FALSE),"")=0,"",IFERROR(VLOOKUP($B305,LINCE!$A$5:$D$4000,3,FALSE),""))</f>
        <v/>
      </c>
      <c r="D305" s="4" t="str">
        <f>IF(IFERROR(VLOOKUP($B305,LINCE!$A$5:$D$4000,4,FALSE),"")=0,"",IFERROR(VLOOKUP($B305,LINCE!$A$5:$D$4000,4,FALSE),""))</f>
        <v/>
      </c>
      <c r="E305" s="14" t="str">
        <f>IF(IFERROR(VLOOKUP($B305,LINCE!$A$5:$E$4000,5,FALSE),"")=0,"",IFERROR(VLOOKUP($B305,LINCE!$A$5:$E$4000,5,FALSE),""))</f>
        <v/>
      </c>
    </row>
    <row r="306" spans="1:5" ht="129.94999999999999" customHeight="1" x14ac:dyDescent="0.25">
      <c r="A306" s="1"/>
      <c r="B306" s="3">
        <v>8521306</v>
      </c>
      <c r="C306" s="4" t="str">
        <f>IF(IFERROR(VLOOKUP($B306,LINCE!$A$5:$D$6000,3,FALSE),"")=0,"",IFERROR(VLOOKUP($B306,LINCE!$A$5:$D$6000,3,FALSE),""))</f>
        <v>NAVAJA SUREFIRE D38 5542 ROMPE VIDRIO IM</v>
      </c>
      <c r="D306" s="4">
        <f>IF(IFERROR(VLOOKUP($B306,LINCE!$A$5:$D$6000,4,FALSE),"")=0,"",IFERROR(VLOOKUP($B306,LINCE!$A$5:$D$6000,4,FALSE),""))</f>
        <v>1200</v>
      </c>
      <c r="E306" s="14">
        <f>IF(IFERROR(VLOOKUP($B306,LINCE!$A$5:$E$6000,5,FALSE),"")=0,"",IFERROR(VLOOKUP($B306,LINCE!$A$5:$E$6000,5,FALSE),""))</f>
        <v>334</v>
      </c>
    </row>
    <row r="307" spans="1:5" ht="129.94999999999999" customHeight="1" x14ac:dyDescent="0.25">
      <c r="A307" s="1"/>
      <c r="B307" s="3">
        <v>8521100</v>
      </c>
      <c r="C307" s="4" t="str">
        <f>IF(IFERROR(VLOOKUP($B307,LINCE!$A$5:$D$6000,3,FALSE),"")=0,"",IFERROR(VLOOKUP($B307,LINCE!$A$5:$D$6000,3,FALSE),""))</f>
        <v>CUCHILLO COLUMBIA C/FUNDA RIGIDA IMP</v>
      </c>
      <c r="D307" s="4">
        <f>IF(IFERROR(VLOOKUP($B307,LINCE!$A$5:$D$6000,4,FALSE),"")=0,"",IFERROR(VLOOKUP($B307,LINCE!$A$5:$D$6000,4,FALSE),""))</f>
        <v>1200</v>
      </c>
      <c r="E307" s="14">
        <f>IF(IFERROR(VLOOKUP($B307,LINCE!$A$5:$E$6000,5,FALSE),"")=0,"",IFERROR(VLOOKUP($B307,LINCE!$A$5:$E$6000,5,FALSE),""))</f>
        <v>104</v>
      </c>
    </row>
    <row r="308" spans="1:5" ht="129.94999999999999" customHeight="1" x14ac:dyDescent="0.25">
      <c r="A308" s="1"/>
      <c r="B308" s="3">
        <v>8521063</v>
      </c>
      <c r="C308" s="4" t="str">
        <f>IF(IFERROR(VLOOKUP($B308,LINCE!$A$5:$D$6000,3,FALSE),"")=0,"",IFERROR(VLOOKUP($B308,LINCE!$A$5:$D$6000,3,FALSE),""))</f>
        <v>CUCHILLO 19CM KARAMBIT NEGRO 17/4,24</v>
      </c>
      <c r="D308" s="4">
        <f>IF(IFERROR(VLOOKUP($B308,LINCE!$A$5:$D$6000,4,FALSE),"")=0,"",IFERROR(VLOOKUP($B308,LINCE!$A$5:$D$6000,4,FALSE),""))</f>
        <v>900</v>
      </c>
      <c r="E308" s="14">
        <f>IF(IFERROR(VLOOKUP($B308,LINCE!$A$5:$E$6000,5,FALSE),"")=0,"",IFERROR(VLOOKUP($B308,LINCE!$A$5:$E$6000,5,FALSE),""))</f>
        <v>205</v>
      </c>
    </row>
    <row r="309" spans="1:5" ht="129.94999999999999" customHeight="1" x14ac:dyDescent="0.25">
      <c r="A309" s="1"/>
      <c r="B309" s="3">
        <v>8521036</v>
      </c>
      <c r="C309" s="4" t="str">
        <f>IF(IFERROR(VLOOKUP($B309,LINCE!$A$5:$D$6000,3,FALSE),"")=0,"",IFERROR(VLOOKUP($B309,LINCE!$A$5:$D$6000,3,FALSE),""))</f>
        <v>CUCHILLO 30CM CAMU BOSQUE   16-305/3,6</v>
      </c>
      <c r="D309" s="4">
        <f>IF(IFERROR(VLOOKUP($B309,LINCE!$A$5:$D$6000,4,FALSE),"")=0,"",IFERROR(VLOOKUP($B309,LINCE!$A$5:$D$6000,4,FALSE),""))</f>
        <v>1100</v>
      </c>
      <c r="E309" s="14">
        <f>IF(IFERROR(VLOOKUP($B309,LINCE!$A$5:$E$6000,5,FALSE),"")=0,"",IFERROR(VLOOKUP($B309,LINCE!$A$5:$E$6000,5,FALSE),""))</f>
        <v>50</v>
      </c>
    </row>
    <row r="310" spans="1:5" ht="129.94999999999999" customHeight="1" x14ac:dyDescent="0.25">
      <c r="A310" s="1"/>
      <c r="B310" s="3">
        <v>8521014</v>
      </c>
      <c r="C310" s="4" t="str">
        <f>IF(IFERROR(VLOOKUP($B310,LINCE!$A$5:$D$6000,3,FALSE),"")=0,"",IFERROR(VLOOKUP($B310,LINCE!$A$5:$D$6000,3,FALSE),""))</f>
        <v>CUCHILLO CON FUNDA VERDE 6 TK063 6-7,7/2</v>
      </c>
      <c r="D310" s="4">
        <f>IF(IFERROR(VLOOKUP($B310,LINCE!$A$5:$D$6000,4,FALSE),"")=0,"",IFERROR(VLOOKUP($B310,LINCE!$A$5:$D$6000,4,FALSE),""))</f>
        <v>3200</v>
      </c>
      <c r="E310" s="14">
        <f>IF(IFERROR(VLOOKUP($B310,LINCE!$A$5:$E$6000,5,FALSE),"")=0,"",IFERROR(VLOOKUP($B310,LINCE!$A$5:$E$6000,5,FALSE),""))</f>
        <v>62</v>
      </c>
    </row>
    <row r="311" spans="1:5" ht="129.94999999999999" customHeight="1" x14ac:dyDescent="0.25">
      <c r="A311" s="1"/>
      <c r="B311" s="3">
        <v>8520813</v>
      </c>
      <c r="C311" s="4" t="str">
        <f>IF(IFERROR(VLOOKUP($B311,LINCE!$A$5:$D$6000,3,FALSE),"")=0,"",IFERROR(VLOOKUP($B311,LINCE!$A$5:$D$6000,3,FALSE),""))</f>
        <v>NAVAJA COLUMBIA ESCORPION SAQUE RAPIDO 1</v>
      </c>
      <c r="D311" s="4">
        <f>IF(IFERROR(VLOOKUP($B311,LINCE!$A$5:$D$6000,4,FALSE),"")=0,"",IFERROR(VLOOKUP($B311,LINCE!$A$5:$D$6000,4,FALSE),""))</f>
        <v>250</v>
      </c>
      <c r="E311" s="14">
        <f>IF(IFERROR(VLOOKUP($B311,LINCE!$A$5:$E$6000,5,FALSE),"")=0,"",IFERROR(VLOOKUP($B311,LINCE!$A$5:$E$6000,5,FALSE),""))</f>
        <v>126</v>
      </c>
    </row>
    <row r="312" spans="1:5" ht="129.94999999999999" hidden="1" customHeight="1" x14ac:dyDescent="0.25">
      <c r="A312" s="1"/>
      <c r="B312" s="3">
        <v>8520733</v>
      </c>
      <c r="C312" s="4" t="str">
        <f>IF(IFERROR(VLOOKUP($B312,LINCE!$A$5:$D$4000,3,FALSE),"")=0,"",IFERROR(VLOOKUP($B312,LINCE!$A$5:$D$4000,3,FALSE),""))</f>
        <v>LINTERNA SOLART09 4863 BRUJULA/IMAN/ROMP</v>
      </c>
      <c r="D312" s="4">
        <f>IF(IFERROR(VLOOKUP($B312,LINCE!$A$5:$D$4000,4,FALSE),"")=0,"",IFERROR(VLOOKUP($B312,LINCE!$A$5:$D$4000,4,FALSE),""))</f>
        <v>2200</v>
      </c>
      <c r="E312" s="14">
        <f>IF(IFERROR(VLOOKUP($B312,LINCE!$A$5:$E$4000,5,FALSE),"")=0,"",IFERROR(VLOOKUP($B312,LINCE!$A$5:$E$4000,5,FALSE),""))</f>
        <v>19</v>
      </c>
    </row>
    <row r="313" spans="1:5" ht="129.94999999999999" hidden="1" customHeight="1" x14ac:dyDescent="0.25">
      <c r="A313" s="1"/>
      <c r="B313" s="3">
        <v>8520513</v>
      </c>
      <c r="C313" s="4" t="str">
        <f>IF(IFERROR(VLOOKUP($B313,LINCE!$A$5:$D$4000,3,FALSE),"")=0,"",IFERROR(VLOOKUP($B313,LINCE!$A$5:$D$4000,3,FALSE),""))</f>
        <v>MOSQUETON ACERO/GRIS 9CM C/ROSCA 5565/4</v>
      </c>
      <c r="D313" s="4">
        <f>IF(IFERROR(VLOOKUP($B313,LINCE!$A$5:$D$4000,4,FALSE),"")=0,"",IFERROR(VLOOKUP($B313,LINCE!$A$5:$D$4000,4,FALSE),""))</f>
        <v>130</v>
      </c>
      <c r="E313" s="14">
        <f>IF(IFERROR(VLOOKUP($B313,LINCE!$A$5:$E$4000,5,FALSE),"")=0,"",IFERROR(VLOOKUP($B313,LINCE!$A$5:$E$4000,5,FALSE),""))</f>
        <v>377</v>
      </c>
    </row>
    <row r="314" spans="1:5" ht="129.94999999999999" customHeight="1" x14ac:dyDescent="0.25">
      <c r="A314" s="1"/>
      <c r="B314" s="3">
        <v>8520230</v>
      </c>
      <c r="C314" s="4" t="str">
        <f>IF(IFERROR(VLOOKUP($B314,LINCE!$A$5:$D$6000,3,FALSE),"")=0,"",IFERROR(VLOOKUP($B314,LINCE!$A$5:$D$6000,3,FALSE),""))</f>
        <v>NAVAJA MARIPOSA GRIS  19-12/3</v>
      </c>
      <c r="D314" s="4">
        <f>IF(IFERROR(VLOOKUP($B314,LINCE!$A$5:$D$6000,4,FALSE),"")=0,"",IFERROR(VLOOKUP($B314,LINCE!$A$5:$D$6000,4,FALSE),""))</f>
        <v>500</v>
      </c>
      <c r="E314" s="14">
        <f>IF(IFERROR(VLOOKUP($B314,LINCE!$A$5:$E$6000,5,FALSE),"")=0,"",IFERROR(VLOOKUP($B314,LINCE!$A$5:$E$6000,5,FALSE),""))</f>
        <v>147</v>
      </c>
    </row>
    <row r="315" spans="1:5" ht="129.94999999999999" customHeight="1" x14ac:dyDescent="0.25">
      <c r="A315" s="1"/>
      <c r="B315" s="3">
        <v>8520162</v>
      </c>
      <c r="C315" s="4" t="str">
        <f>IF(IFERROR(VLOOKUP($B315,LINCE!$A$5:$D$6000,3,FALSE),"")=0,"",IFERROR(VLOOKUP($B315,LINCE!$A$5:$D$6000,3,FALSE),""))</f>
        <v>NAVAJA 21CM MASTIFF/CAMUFLADA   14-28/3</v>
      </c>
      <c r="D315" s="4">
        <f>IF(IFERROR(VLOOKUP($B315,LINCE!$A$5:$D$6000,4,FALSE),"")=0,"",IFERROR(VLOOKUP($B315,LINCE!$A$5:$D$6000,4,FALSE),""))</f>
        <v>1100</v>
      </c>
      <c r="E315" s="14">
        <f>IF(IFERROR(VLOOKUP($B315,LINCE!$A$5:$E$6000,5,FALSE),"")=0,"",IFERROR(VLOOKUP($B315,LINCE!$A$5:$E$6000,5,FALSE),""))</f>
        <v>54</v>
      </c>
    </row>
    <row r="316" spans="1:5" ht="129.94999999999999" hidden="1" customHeight="1" x14ac:dyDescent="0.25">
      <c r="A316" s="1"/>
      <c r="B316" s="3">
        <v>8520118</v>
      </c>
      <c r="C316" s="4" t="str">
        <f>IF(IFERROR(VLOOKUP($B316,LINCE!$A$5:$D$4000,3,FALSE),"")=0,"",IFERROR(VLOOKUP($B316,LINCE!$A$5:$D$4000,3,FALSE),""))</f>
        <v>LINTERNA C/ZOOM Y USB 5545 LUZ LATERAL 2</v>
      </c>
      <c r="D316" s="4">
        <f>IF(IFERROR(VLOOKUP($B316,LINCE!$A$5:$D$4000,4,FALSE),"")=0,"",IFERROR(VLOOKUP($B316,LINCE!$A$5:$D$4000,4,FALSE),""))</f>
        <v>890</v>
      </c>
      <c r="E316" s="14">
        <f>IF(IFERROR(VLOOKUP($B316,LINCE!$A$5:$E$4000,5,FALSE),"")=0,"",IFERROR(VLOOKUP($B316,LINCE!$A$5:$E$4000,5,FALSE),""))</f>
        <v>143</v>
      </c>
    </row>
    <row r="317" spans="1:5" ht="129.94999999999999" customHeight="1" x14ac:dyDescent="0.25">
      <c r="A317" s="1"/>
      <c r="B317" s="3">
        <v>8520110</v>
      </c>
      <c r="C317" s="4" t="str">
        <f>IF(IFERROR(VLOOKUP($B317,LINCE!$A$5:$D$6000,3,FALSE),"")=0,"",IFERROR(VLOOKUP($B317,LINCE!$A$5:$D$6000,3,FALSE),""))</f>
        <v>NAVAJA 21CM BUCK/GRIS DA139   10-3/3</v>
      </c>
      <c r="D317" s="4">
        <f>IF(IFERROR(VLOOKUP($B317,LINCE!$A$5:$D$6000,4,FALSE),"")=0,"",IFERROR(VLOOKUP($B317,LINCE!$A$5:$D$6000,4,FALSE),""))</f>
        <v>1300</v>
      </c>
      <c r="E317" s="14">
        <f>IF(IFERROR(VLOOKUP($B317,LINCE!$A$5:$E$6000,5,FALSE),"")=0,"",IFERROR(VLOOKUP($B317,LINCE!$A$5:$E$6000,5,FALSE),""))</f>
        <v>26</v>
      </c>
    </row>
    <row r="318" spans="1:5" ht="129.94999999999999" customHeight="1" x14ac:dyDescent="0.25">
      <c r="A318" s="1"/>
      <c r="B318" s="3">
        <v>8520102</v>
      </c>
      <c r="C318" s="4" t="str">
        <f>IF(IFERROR(VLOOKUP($B318,LINCE!$A$5:$D$6000,3,FALSE),"")=0,"",IFERROR(VLOOKUP($B318,LINCE!$A$5:$D$6000,3,FALSE),""))</f>
        <v>NAVAJA 21CM MASTIFF/GRIS DA162  9-11/3</v>
      </c>
      <c r="D318" s="4">
        <f>IF(IFERROR(VLOOKUP($B318,LINCE!$A$5:$D$6000,4,FALSE),"")=0,"",IFERROR(VLOOKUP($B318,LINCE!$A$5:$D$6000,4,FALSE),""))</f>
        <v>1200</v>
      </c>
      <c r="E318" s="14">
        <f>IF(IFERROR(VLOOKUP($B318,LINCE!$A$5:$E$6000,5,FALSE),"")=0,"",IFERROR(VLOOKUP($B318,LINCE!$A$5:$E$6000,5,FALSE),""))</f>
        <v>43</v>
      </c>
    </row>
    <row r="319" spans="1:5" ht="129.94999999999999" hidden="1" customHeight="1" x14ac:dyDescent="0.25">
      <c r="A319" s="1"/>
      <c r="B319" s="3">
        <v>8520045</v>
      </c>
      <c r="C319" s="4" t="str">
        <f>IF(IFERROR(VLOOKUP($B319,LINCE!$A$5:$D$4000,3,FALSE),"")=0,"",IFERROR(VLOOKUP($B319,LINCE!$A$5:$D$4000,3,FALSE),""))</f>
        <v>LINTERNA RECARG USB C/ZOOM11CM 4050/5544</v>
      </c>
      <c r="D319" s="4">
        <f>IF(IFERROR(VLOOKUP($B319,LINCE!$A$5:$D$4000,4,FALSE),"")=0,"",IFERROR(VLOOKUP($B319,LINCE!$A$5:$D$4000,4,FALSE),""))</f>
        <v>800</v>
      </c>
      <c r="E319" s="14">
        <f>IF(IFERROR(VLOOKUP($B319,LINCE!$A$5:$E$4000,5,FALSE),"")=0,"",IFERROR(VLOOKUP($B319,LINCE!$A$5:$E$4000,5,FALSE),""))</f>
        <v>1463</v>
      </c>
    </row>
    <row r="320" spans="1:5" ht="129.94999999999999" hidden="1" customHeight="1" x14ac:dyDescent="0.25">
      <c r="A320" s="1"/>
      <c r="B320" s="3">
        <v>8520025</v>
      </c>
      <c r="C320" s="4" t="str">
        <f>IF(IFERROR(VLOOKUP($B320,LINCE!$A$5:$D$4000,3,FALSE),"")=0,"",IFERROR(VLOOKUP($B320,LINCE!$A$5:$D$4000,3,FALSE),""))</f>
        <v>LINTERNA RECARG.LED LATERAL C/CAJA 5543-</v>
      </c>
      <c r="D320" s="4">
        <f>IF(IFERROR(VLOOKUP($B320,LINCE!$A$5:$D$4000,4,FALSE),"")=0,"",IFERROR(VLOOKUP($B320,LINCE!$A$5:$D$4000,4,FALSE),""))</f>
        <v>495</v>
      </c>
      <c r="E320" s="14">
        <f>IF(IFERROR(VLOOKUP($B320,LINCE!$A$5:$E$4000,5,FALSE),"")=0,"",IFERROR(VLOOKUP($B320,LINCE!$A$5:$E$4000,5,FALSE),""))</f>
        <v>106</v>
      </c>
    </row>
    <row r="321" spans="1:5" ht="129.94999999999999" hidden="1" customHeight="1" x14ac:dyDescent="0.25">
      <c r="A321" s="1"/>
      <c r="B321" s="3">
        <v>8520016</v>
      </c>
      <c r="C321" s="4" t="str">
        <f>IF(IFERROR(VLOOKUP($B321,LINCE!$A$5:$D$4000,3,FALSE),"")=0,"",IFERROR(VLOOKUP($B321,LINCE!$A$5:$D$4000,3,FALSE),""))</f>
        <v>LINTERNA USB ZOOM/IMAN/LED LATERAL 5546-</v>
      </c>
      <c r="D321" s="4">
        <f>IF(IFERROR(VLOOKUP($B321,LINCE!$A$5:$D$4000,4,FALSE),"")=0,"",IFERROR(VLOOKUP($B321,LINCE!$A$5:$D$4000,4,FALSE),""))</f>
        <v>1200</v>
      </c>
      <c r="E321" s="14">
        <f>IF(IFERROR(VLOOKUP($B321,LINCE!$A$5:$E$4000,5,FALSE),"")=0,"",IFERROR(VLOOKUP($B321,LINCE!$A$5:$E$4000,5,FALSE),""))</f>
        <v>58</v>
      </c>
    </row>
    <row r="322" spans="1:5" ht="129.94999999999999" hidden="1" customHeight="1" x14ac:dyDescent="0.25">
      <c r="A322" s="1"/>
      <c r="B322" s="3">
        <v>8520014</v>
      </c>
      <c r="C322" s="4" t="str">
        <f>IF(IFERROR(VLOOKUP($B322,LINCE!$A$5:$D$4000,3,FALSE),"")=0,"",IFERROR(VLOOKUP($B322,LINCE!$A$5:$D$4000,3,FALSE),""))</f>
        <v>LINTERNA GOMA RECARG USB CON CLIP 5621-1</v>
      </c>
      <c r="D322" s="4">
        <f>IF(IFERROR(VLOOKUP($B322,LINCE!$A$5:$D$4000,4,FALSE),"")=0,"",IFERROR(VLOOKUP($B322,LINCE!$A$5:$D$4000,4,FALSE),""))</f>
        <v>499</v>
      </c>
      <c r="E322" s="14">
        <f>IF(IFERROR(VLOOKUP($B322,LINCE!$A$5:$E$4000,5,FALSE),"")=0,"",IFERROR(VLOOKUP($B322,LINCE!$A$5:$E$4000,5,FALSE),""))</f>
        <v>679</v>
      </c>
    </row>
    <row r="323" spans="1:5" ht="129.94999999999999" hidden="1" customHeight="1" x14ac:dyDescent="0.25">
      <c r="A323" s="1"/>
      <c r="B323" s="3">
        <v>8520007</v>
      </c>
      <c r="C323" s="4" t="str">
        <f>IF(IFERROR(VLOOKUP($B323,LINCE!$A$5:$D$4000,3,FALSE),"")=0,"",IFERROR(VLOOKUP($B323,LINCE!$A$5:$D$4000,3,FALSE),""))</f>
        <v>LAPICERA TACTICA KUBOTAN 5553  4236</v>
      </c>
      <c r="D323" s="4">
        <f>IF(IFERROR(VLOOKUP($B323,LINCE!$A$5:$D$4000,4,FALSE),"")=0,"",IFERROR(VLOOKUP($B323,LINCE!$A$5:$D$4000,4,FALSE),""))</f>
        <v>790</v>
      </c>
      <c r="E323" s="14">
        <f>IF(IFERROR(VLOOKUP($B323,LINCE!$A$5:$E$4000,5,FALSE),"")=0,"",IFERROR(VLOOKUP($B323,LINCE!$A$5:$E$4000,5,FALSE),""))</f>
        <v>221</v>
      </c>
    </row>
    <row r="324" spans="1:5" ht="129.94999999999999" hidden="1" customHeight="1" x14ac:dyDescent="0.25">
      <c r="A324" s="1"/>
      <c r="B324" s="3">
        <v>8520005</v>
      </c>
      <c r="C324" s="4" t="str">
        <f>IF(IFERROR(VLOOKUP($B324,LINCE!$A$5:$D$4000,3,FALSE),"")=0,"",IFERROR(VLOOKUP($B324,LINCE!$A$5:$D$4000,3,FALSE),""))</f>
        <v>LINTERNA W.LIGHT 5590 CARG/SOLAR/USB/BRU</v>
      </c>
      <c r="D324" s="4">
        <f>IF(IFERROR(VLOOKUP($B324,LINCE!$A$5:$D$4000,4,FALSE),"")=0,"",IFERROR(VLOOKUP($B324,LINCE!$A$5:$D$4000,4,FALSE),""))</f>
        <v>1550</v>
      </c>
      <c r="E324" s="14">
        <f>IF(IFERROR(VLOOKUP($B324,LINCE!$A$5:$E$4000,5,FALSE),"")=0,"",IFERROR(VLOOKUP($B324,LINCE!$A$5:$E$4000,5,FALSE),""))</f>
        <v>94</v>
      </c>
    </row>
    <row r="325" spans="1:5" ht="129.94999999999999" hidden="1" customHeight="1" x14ac:dyDescent="0.25">
      <c r="A325" s="1"/>
      <c r="B325" s="3">
        <v>8520003</v>
      </c>
      <c r="C325" s="4" t="str">
        <f>IF(IFERROR(VLOOKUP($B325,LINCE!$A$5:$D$4000,3,FALSE),"")=0,"",IFERROR(VLOOKUP($B325,LINCE!$A$5:$D$4000,3,FALSE),""))</f>
        <v>LINTERNA T6-26 LED LATERAL ROJO/BCO 5547</v>
      </c>
      <c r="D325" s="4">
        <f>IF(IFERROR(VLOOKUP($B325,LINCE!$A$5:$D$4000,4,FALSE),"")=0,"",IFERROR(VLOOKUP($B325,LINCE!$A$5:$D$4000,4,FALSE),""))</f>
        <v>1200</v>
      </c>
      <c r="E325" s="14">
        <f>IF(IFERROR(VLOOKUP($B325,LINCE!$A$5:$E$4000,5,FALSE),"")=0,"",IFERROR(VLOOKUP($B325,LINCE!$A$5:$E$4000,5,FALSE),""))</f>
        <v>217</v>
      </c>
    </row>
    <row r="326" spans="1:5" ht="129.94999999999999" hidden="1" customHeight="1" x14ac:dyDescent="0.25">
      <c r="A326" s="1"/>
      <c r="B326" s="3">
        <v>8518014</v>
      </c>
      <c r="C326" s="4" t="str">
        <f>IF(IFERROR(VLOOKUP($B326,LINCE!$A$5:$D$4000,3,FALSE),"")=0,"",IFERROR(VLOOKUP($B326,LINCE!$A$5:$D$4000,3,FALSE),""))</f>
        <v>MASCARA BALACLAVA 1RA PIEL 8088-1,2/3</v>
      </c>
      <c r="D326" s="4">
        <f>IF(IFERROR(VLOOKUP($B326,LINCE!$A$5:$D$4000,4,FALSE),"")=0,"",IFERROR(VLOOKUP($B326,LINCE!$A$5:$D$4000,4,FALSE),""))</f>
        <v>490</v>
      </c>
      <c r="E326" s="14">
        <f>IF(IFERROR(VLOOKUP($B326,LINCE!$A$5:$E$4000,5,FALSE),"")=0,"",IFERROR(VLOOKUP($B326,LINCE!$A$5:$E$4000,5,FALSE),""))</f>
        <v>355</v>
      </c>
    </row>
    <row r="327" spans="1:5" ht="129.94999999999999" hidden="1" customHeight="1" x14ac:dyDescent="0.25">
      <c r="A327" s="1"/>
      <c r="B327" s="3">
        <v>8708644</v>
      </c>
      <c r="C327" s="4" t="str">
        <f>IF(IFERROR(VLOOKUP($B327,LINCE!$A$5:$D$4000,3,FALSE),"")=0,"",IFERROR(VLOOKUP($B327,LINCE!$A$5:$D$4000,3,FALSE),""))</f>
        <v>CORREA TACTICA MILITAR 1 PUNTO 5643-1,8/</v>
      </c>
      <c r="D327" s="4">
        <f>IF(IFERROR(VLOOKUP($B327,LINCE!$A$5:$D$4000,4,FALSE),"")=0,"",IFERROR(VLOOKUP($B327,LINCE!$A$5:$D$4000,4,FALSE),""))</f>
        <v>900</v>
      </c>
      <c r="E327" s="14">
        <f>IF(IFERROR(VLOOKUP($B327,LINCE!$A$5:$E$4000,5,FALSE),"")=0,"",IFERROR(VLOOKUP($B327,LINCE!$A$5:$E$4000,5,FALSE),""))</f>
        <v>76</v>
      </c>
    </row>
    <row r="328" spans="1:5" ht="129.94999999999999" hidden="1" customHeight="1" x14ac:dyDescent="0.25">
      <c r="A328" s="1"/>
      <c r="B328" s="3">
        <v>8708639</v>
      </c>
      <c r="C328" s="4" t="str">
        <f>IF(IFERROR(VLOOKUP($B328,LINCE!$A$5:$D$4000,3,FALSE),"")=0,"",IFERROR(VLOOKUP($B328,LINCE!$A$5:$D$4000,3,FALSE),""))</f>
        <v>CORREA TACTICA MILITAR 2 PUNTOS 5639-18/</v>
      </c>
      <c r="D328" s="4">
        <f>IF(IFERROR(VLOOKUP($B328,LINCE!$A$5:$D$4000,4,FALSE),"")=0,"",IFERROR(VLOOKUP($B328,LINCE!$A$5:$D$4000,4,FALSE),""))</f>
        <v>900</v>
      </c>
      <c r="E328" s="14">
        <f>IF(IFERROR(VLOOKUP($B328,LINCE!$A$5:$E$4000,5,FALSE),"")=0,"",IFERROR(VLOOKUP($B328,LINCE!$A$5:$E$4000,5,FALSE),""))</f>
        <v>76</v>
      </c>
    </row>
    <row r="329" spans="1:5" ht="129.94999999999999" hidden="1" customHeight="1" x14ac:dyDescent="0.25">
      <c r="A329" s="1"/>
      <c r="B329" s="3">
        <v>8708001</v>
      </c>
      <c r="C329" s="4" t="str">
        <f>IF(IFERROR(VLOOKUP($B329,LINCE!$A$5:$D$4000,3,FALSE),"")=0,"",IFERROR(VLOOKUP($B329,LINCE!$A$5:$D$4000,3,FALSE),""))</f>
        <v>PLATAFORMA MOLLE STRIKE 001-14/4,84</v>
      </c>
      <c r="D329" s="4">
        <f>IF(IFERROR(VLOOKUP($B329,LINCE!$A$5:$D$4000,4,FALSE),"")=0,"",IFERROR(VLOOKUP($B329,LINCE!$A$5:$D$4000,4,FALSE),""))</f>
        <v>450</v>
      </c>
      <c r="E329" s="14">
        <f>IF(IFERROR(VLOOKUP($B329,LINCE!$A$5:$E$4000,5,FALSE),"")=0,"",IFERROR(VLOOKUP($B329,LINCE!$A$5:$E$4000,5,FALSE),""))</f>
        <v>262</v>
      </c>
    </row>
    <row r="330" spans="1:5" ht="129.94999999999999" hidden="1" customHeight="1" x14ac:dyDescent="0.25">
      <c r="A330" s="1"/>
      <c r="B330" s="3">
        <v>8705568</v>
      </c>
      <c r="C330" s="4" t="str">
        <f>IF(IFERROR(VLOOKUP($B330,LINCE!$A$5:$D$4000,3,FALSE),"")=0,"",IFERROR(VLOOKUP($B330,LINCE!$A$5:$D$4000,3,FALSE),""))</f>
        <v>PORTA BASTON EXT. POLIMERO 9.5CM 5681-32</v>
      </c>
      <c r="D330" s="4">
        <f>IF(IFERROR(VLOOKUP($B330,LINCE!$A$5:$D$4000,4,FALSE),"")=0,"",IFERROR(VLOOKUP($B330,LINCE!$A$5:$D$4000,4,FALSE),""))</f>
        <v>999</v>
      </c>
      <c r="E330" s="14">
        <f>IF(IFERROR(VLOOKUP($B330,LINCE!$A$5:$E$4000,5,FALSE),"")=0,"",IFERROR(VLOOKUP($B330,LINCE!$A$5:$E$4000,5,FALSE),""))</f>
        <v>55</v>
      </c>
    </row>
    <row r="331" spans="1:5" ht="129.94999999999999" hidden="1" customHeight="1" x14ac:dyDescent="0.25">
      <c r="A331" s="1"/>
      <c r="B331" s="3">
        <v>8705683</v>
      </c>
      <c r="C331" s="4" t="str">
        <f>IF(IFERROR(VLOOKUP($B331,LINCE!$A$5:$D$4000,3,FALSE),"")=0,"",IFERROR(VLOOKUP($B331,LINCE!$A$5:$D$4000,3,FALSE),""))</f>
        <v>PORTA BASTON EXT. POLIMERO MOLLE 5683-22</v>
      </c>
      <c r="D331" s="4">
        <f>IF(IFERROR(VLOOKUP($B331,LINCE!$A$5:$D$4000,4,FALSE),"")=0,"",IFERROR(VLOOKUP($B331,LINCE!$A$5:$D$4000,4,FALSE),""))</f>
        <v>800</v>
      </c>
      <c r="E331" s="14">
        <f>IF(IFERROR(VLOOKUP($B331,LINCE!$A$5:$E$4000,5,FALSE),"")=0,"",IFERROR(VLOOKUP($B331,LINCE!$A$5:$E$4000,5,FALSE),""))</f>
        <v>52</v>
      </c>
    </row>
    <row r="332" spans="1:5" ht="129.94999999999999" hidden="1" customHeight="1" x14ac:dyDescent="0.25">
      <c r="A332" s="1"/>
      <c r="B332" s="3">
        <v>8705661</v>
      </c>
      <c r="C332" s="4" t="str">
        <f>IF(IFERROR(VLOOKUP($B332,LINCE!$A$5:$D$4000,3,FALSE),"")=0,"",IFERROR(VLOOKUP($B332,LINCE!$A$5:$D$4000,3,FALSE),""))</f>
        <v>PORTA BASTON EXT. POLIMERO 12CM  5566/1-</v>
      </c>
      <c r="D332" s="4">
        <f>IF(IFERROR(VLOOKUP($B332,LINCE!$A$5:$D$4000,4,FALSE),"")=0,"",IFERROR(VLOOKUP($B332,LINCE!$A$5:$D$4000,4,FALSE),""))</f>
        <v>900</v>
      </c>
      <c r="E332" s="14">
        <f>IF(IFERROR(VLOOKUP($B332,LINCE!$A$5:$E$4000,5,FALSE),"")=0,"",IFERROR(VLOOKUP($B332,LINCE!$A$5:$E$4000,5,FALSE),""))</f>
        <v>123</v>
      </c>
    </row>
    <row r="333" spans="1:5" ht="129.94999999999999" hidden="1" customHeight="1" x14ac:dyDescent="0.25">
      <c r="A333" s="1"/>
      <c r="B333" s="3">
        <v>8503600</v>
      </c>
      <c r="C333" s="4" t="str">
        <f>IF(IFERROR(VLOOKUP($B333,LINCE!$A$5:$D$4000,3,FALSE),"")=0,"",IFERROR(VLOOKUP($B333,LINCE!$A$5:$D$4000,3,FALSE),""))</f>
        <v>KIT RODILLERAS Y CODERAS TACTICAS 5637-2</v>
      </c>
      <c r="D333" s="4">
        <f>IF(IFERROR(VLOOKUP($B333,LINCE!$A$5:$D$4000,4,FALSE),"")=0,"",IFERROR(VLOOKUP($B333,LINCE!$A$5:$D$4000,4,FALSE),""))</f>
        <v>1300</v>
      </c>
      <c r="E333" s="14">
        <f>IF(IFERROR(VLOOKUP($B333,LINCE!$A$5:$E$4000,5,FALSE),"")=0,"",IFERROR(VLOOKUP($B333,LINCE!$A$5:$E$4000,5,FALSE),""))</f>
        <v>276</v>
      </c>
    </row>
    <row r="334" spans="1:5" ht="129.94999999999999" hidden="1" customHeight="1" x14ac:dyDescent="0.25">
      <c r="A334" s="1"/>
      <c r="B334" s="3">
        <v>8503303</v>
      </c>
      <c r="C334" s="4" t="str">
        <f>IF(IFERROR(VLOOKUP($B334,LINCE!$A$5:$D$4000,3,FALSE),"")=0,"",IFERROR(VLOOKUP($B334,LINCE!$A$5:$D$4000,3,FALSE),""))</f>
        <v>RELOJ SPORT WATCH TACTICO 5506-1,8/3,6</v>
      </c>
      <c r="D334" s="4">
        <f>IF(IFERROR(VLOOKUP($B334,LINCE!$A$5:$D$4000,4,FALSE),"")=0,"",IFERROR(VLOOKUP($B334,LINCE!$A$5:$D$4000,4,FALSE),""))</f>
        <v>600</v>
      </c>
      <c r="E334" s="14">
        <f>IF(IFERROR(VLOOKUP($B334,LINCE!$A$5:$E$4000,5,FALSE),"")=0,"",IFERROR(VLOOKUP($B334,LINCE!$A$5:$E$4000,5,FALSE),""))</f>
        <v>84</v>
      </c>
    </row>
    <row r="335" spans="1:5" ht="129.94999999999999" hidden="1" customHeight="1" x14ac:dyDescent="0.25">
      <c r="A335" s="1"/>
      <c r="B335" s="3">
        <v>8503125</v>
      </c>
      <c r="C335" s="4" t="str">
        <f>IF(IFERROR(VLOOKUP($B335,LINCE!$A$5:$D$4000,3,FALSE),"")=0,"",IFERROR(VLOOKUP($B335,LINCE!$A$5:$D$4000,3,FALSE),""))</f>
        <v>BASTON EXTENSIBLE CROM. C/ROMPEVID 5736-</v>
      </c>
      <c r="D335" s="4">
        <f>IF(IFERROR(VLOOKUP($B335,LINCE!$A$5:$D$4000,4,FALSE),"")=0,"",IFERROR(VLOOKUP($B335,LINCE!$A$5:$D$4000,4,FALSE),""))</f>
        <v>1400</v>
      </c>
      <c r="E335" s="14">
        <f>IF(IFERROR(VLOOKUP($B335,LINCE!$A$5:$E$4000,5,FALSE),"")=0,"",IFERROR(VLOOKUP($B335,LINCE!$A$5:$E$4000,5,FALSE),""))</f>
        <v>91</v>
      </c>
    </row>
    <row r="336" spans="1:5" ht="129.94999999999999" hidden="1" customHeight="1" x14ac:dyDescent="0.25">
      <c r="A336" s="1"/>
      <c r="B336" s="3">
        <v>8303300</v>
      </c>
      <c r="C336" s="4" t="str">
        <f>IF(IFERROR(VLOOKUP($B336,LINCE!$A$5:$D$4000,3,FALSE),"")=0,"",IFERROR(VLOOKUP($B336,LINCE!$A$5:$D$4000,3,FALSE),""))</f>
        <v>RELOJ TACTICO O.T.S T7033G 5518-30-48/3,</v>
      </c>
      <c r="D336" s="4">
        <f>IF(IFERROR(VLOOKUP($B336,LINCE!$A$5:$D$4000,4,FALSE),"")=0,"",IFERROR(VLOOKUP($B336,LINCE!$A$5:$D$4000,4,FALSE),""))</f>
        <v>2200</v>
      </c>
      <c r="E336" s="14">
        <f>IF(IFERROR(VLOOKUP($B336,LINCE!$A$5:$E$4000,5,FALSE),"")=0,"",IFERROR(VLOOKUP($B336,LINCE!$A$5:$E$4000,5,FALSE),""))</f>
        <v>242</v>
      </c>
    </row>
    <row r="337" spans="1:5" ht="129.94999999999999" hidden="1" customHeight="1" x14ac:dyDescent="0.25">
      <c r="A337" s="1"/>
      <c r="B337" s="3">
        <v>8303298</v>
      </c>
      <c r="C337" s="4" t="str">
        <f>IF(IFERROR(VLOOKUP($B337,LINCE!$A$5:$D$4000,3,FALSE),"")=0,"",IFERROR(VLOOKUP($B337,LINCE!$A$5:$D$4000,3,FALSE),""))</f>
        <v>RELOJ TACTICO O.T.S 5512-693-30-48/3,6</v>
      </c>
      <c r="D337" s="4">
        <f>IF(IFERROR(VLOOKUP($B337,LINCE!$A$5:$D$4000,4,FALSE),"")=0,"",IFERROR(VLOOKUP($B337,LINCE!$A$5:$D$4000,4,FALSE),""))</f>
        <v>2200</v>
      </c>
      <c r="E337" s="14">
        <f>IF(IFERROR(VLOOKUP($B337,LINCE!$A$5:$E$4000,5,FALSE),"")=0,"",IFERROR(VLOOKUP($B337,LINCE!$A$5:$E$4000,5,FALSE),""))</f>
        <v>66</v>
      </c>
    </row>
    <row r="338" spans="1:5" ht="129.94999999999999" hidden="1" customHeight="1" x14ac:dyDescent="0.25">
      <c r="A338" s="1"/>
      <c r="B338" s="3">
        <v>8303299</v>
      </c>
      <c r="C338" s="4" t="str">
        <f>IF(IFERROR(VLOOKUP($B338,LINCE!$A$5:$D$4000,3,FALSE),"")=0,"",IFERROR(VLOOKUP($B338,LINCE!$A$5:$D$4000,3,FALSE),""))</f>
        <v>RELOJ TACTICO DIGITAL 5514-30-48/3,6</v>
      </c>
      <c r="D338" s="4">
        <f>IF(IFERROR(VLOOKUP($B338,LINCE!$A$5:$D$4000,4,FALSE),"")=0,"",IFERROR(VLOOKUP($B338,LINCE!$A$5:$D$4000,4,FALSE),""))</f>
        <v>2200</v>
      </c>
      <c r="E338" s="14">
        <f>IF(IFERROR(VLOOKUP($B338,LINCE!$A$5:$E$4000,5,FALSE),"")=0,"",IFERROR(VLOOKUP($B338,LINCE!$A$5:$E$4000,5,FALSE),""))</f>
        <v>246</v>
      </c>
    </row>
    <row r="339" spans="1:5" ht="129.94999999999999" hidden="1" customHeight="1" x14ac:dyDescent="0.25">
      <c r="A339" s="1"/>
      <c r="B339" s="3">
        <v>8303297</v>
      </c>
      <c r="C339" s="4" t="str">
        <f>IF(IFERROR(VLOOKUP($B339,LINCE!$A$5:$D$4000,3,FALSE),"")=0,"",IFERROR(VLOOKUP($B339,LINCE!$A$5:$D$4000,3,FALSE),""))</f>
        <v>RELOJ TACTICO MALLA/CUERDA ICE FROG 5524</v>
      </c>
      <c r="D339" s="4">
        <f>IF(IFERROR(VLOOKUP($B339,LINCE!$A$5:$D$4000,4,FALSE),"")=0,"",IFERROR(VLOOKUP($B339,LINCE!$A$5:$D$4000,4,FALSE),""))</f>
        <v>750</v>
      </c>
      <c r="E339" s="14">
        <f>IF(IFERROR(VLOOKUP($B339,LINCE!$A$5:$E$4000,5,FALSE),"")=0,"",IFERROR(VLOOKUP($B339,LINCE!$A$5:$E$4000,5,FALSE),""))</f>
        <v>125</v>
      </c>
    </row>
    <row r="340" spans="1:5" ht="129.94999999999999" hidden="1" customHeight="1" x14ac:dyDescent="0.25">
      <c r="A340" s="1"/>
      <c r="B340" s="3">
        <v>8301558</v>
      </c>
      <c r="C340" s="4" t="str">
        <f>IF(IFERROR(VLOOKUP($B340,LINCE!$A$5:$D$4000,3,FALSE),"")=0,"",IFERROR(VLOOKUP($B340,LINCE!$A$5:$D$4000,3,FALSE),""))</f>
        <v>BOINA LANA AZUL 5581-26-2/3</v>
      </c>
      <c r="D340" s="4">
        <f>IF(IFERROR(VLOOKUP($B340,LINCE!$A$5:$D$4000,4,FALSE),"")=0,"",IFERROR(VLOOKUP($B340,LINCE!$A$5:$D$4000,4,FALSE),""))</f>
        <v>600</v>
      </c>
      <c r="E340" s="14">
        <f>IF(IFERROR(VLOOKUP($B340,LINCE!$A$5:$E$4000,5,FALSE),"")=0,"",IFERROR(VLOOKUP($B340,LINCE!$A$5:$E$4000,5,FALSE),""))</f>
        <v>956</v>
      </c>
    </row>
    <row r="341" spans="1:5" ht="129.94999999999999" hidden="1" customHeight="1" x14ac:dyDescent="0.25">
      <c r="A341" s="1"/>
      <c r="B341" s="3">
        <v>8708815</v>
      </c>
      <c r="C341" s="4" t="str">
        <f>IF(IFERROR(VLOOKUP($B341,LINCE!$A$5:$D$4000,3,FALSE),"")=0,"",IFERROR(VLOOKUP($B341,LINCE!$A$5:$D$4000,3,FALSE),""))</f>
        <v>POUCH TACTICO C/PORTA CEL MOLLE 8150-18/</v>
      </c>
      <c r="D341" s="4">
        <f>IF(IFERROR(VLOOKUP($B341,LINCE!$A$5:$D$4000,4,FALSE),"")=0,"",IFERROR(VLOOKUP($B341,LINCE!$A$5:$D$4000,4,FALSE),""))</f>
        <v>1000</v>
      </c>
      <c r="E341" s="14">
        <f>IF(IFERROR(VLOOKUP($B341,LINCE!$A$5:$E$4000,5,FALSE),"")=0,"",IFERROR(VLOOKUP($B341,LINCE!$A$5:$E$4000,5,FALSE),""))</f>
        <v>405</v>
      </c>
    </row>
    <row r="342" spans="1:5" ht="129.94999999999999" hidden="1" customHeight="1" x14ac:dyDescent="0.25">
      <c r="A342" s="1"/>
      <c r="B342" s="3">
        <v>8708657</v>
      </c>
      <c r="C342" s="4" t="str">
        <f>IF(IFERROR(VLOOKUP($B342,LINCE!$A$5:$D$4000,3,FALSE),"")=0,"",IFERROR(VLOOKUP($B342,LINCE!$A$5:$D$4000,3,FALSE),""))</f>
        <v>MOCHILA CIERRE CORDON 8057 33L YW-6,5/,</v>
      </c>
      <c r="D342" s="4">
        <f>IF(IFERROR(VLOOKUP($B342,LINCE!$A$5:$D$4000,4,FALSE),"")=0,"",IFERROR(VLOOKUP($B342,LINCE!$A$5:$D$4000,4,FALSE),""))</f>
        <v>2500</v>
      </c>
      <c r="E342" s="14">
        <f>IF(IFERROR(VLOOKUP($B342,LINCE!$A$5:$E$4000,5,FALSE),"")=0,"",IFERROR(VLOOKUP($B342,LINCE!$A$5:$E$4000,5,FALSE),""))</f>
        <v>35</v>
      </c>
    </row>
    <row r="343" spans="1:5" ht="129.94999999999999" hidden="1" customHeight="1" x14ac:dyDescent="0.25">
      <c r="A343" s="1"/>
      <c r="B343" s="3">
        <v>8708643</v>
      </c>
      <c r="C343" s="4" t="str">
        <f>IF(IFERROR(VLOOKUP($B343,LINCE!$A$5:$D$4000,3,FALSE),"")=0,"",IFERROR(VLOOKUP($B343,LINCE!$A$5:$D$4000,3,FALSE),""))</f>
        <v>MOCHILA 8141-43 20.5L YW-48/3</v>
      </c>
      <c r="D343" s="4">
        <f>IF(IFERROR(VLOOKUP($B343,LINCE!$A$5:$D$4000,4,FALSE),"")=0,"",IFERROR(VLOOKUP($B343,LINCE!$A$5:$D$4000,4,FALSE),""))</f>
        <v>2500</v>
      </c>
      <c r="E343" s="14">
        <f>IF(IFERROR(VLOOKUP($B343,LINCE!$A$5:$E$4000,5,FALSE),"")=0,"",IFERROR(VLOOKUP($B343,LINCE!$A$5:$E$4000,5,FALSE),""))</f>
        <v>296</v>
      </c>
    </row>
    <row r="344" spans="1:5" ht="129.94999999999999" hidden="1" customHeight="1" x14ac:dyDescent="0.25">
      <c r="A344" s="1"/>
      <c r="B344" s="3">
        <v>8708640</v>
      </c>
      <c r="C344" s="4" t="str">
        <f>IF(IFERROR(VLOOKUP($B344,LINCE!$A$5:$D$4000,3,FALSE),"")=0,"",IFERROR(VLOOKUP($B344,LINCE!$A$5:$D$4000,3,FALSE),""))</f>
        <v>MOCHILA PUBG WATERGROUN 8139-40 14.5L YW</v>
      </c>
      <c r="D344" s="4">
        <f>IF(IFERROR(VLOOKUP($B344,LINCE!$A$5:$D$4000,4,FALSE),"")=0,"",IFERROR(VLOOKUP($B344,LINCE!$A$5:$D$4000,4,FALSE),""))</f>
        <v>1500</v>
      </c>
      <c r="E344" s="14">
        <f>IF(IFERROR(VLOOKUP($B344,LINCE!$A$5:$E$4000,5,FALSE),"")=0,"",IFERROR(VLOOKUP($B344,LINCE!$A$5:$E$4000,5,FALSE),""))</f>
        <v>75</v>
      </c>
    </row>
    <row r="345" spans="1:5" ht="129.94999999999999" hidden="1" customHeight="1" x14ac:dyDescent="0.25">
      <c r="A345" s="1"/>
      <c r="B345" s="3">
        <v>8708637</v>
      </c>
      <c r="C345" s="4" t="str">
        <f>IF(IFERROR(VLOOKUP($B345,LINCE!$A$5:$D$4000,3,FALSE),"")=0,"",IFERROR(VLOOKUP($B345,LINCE!$A$5:$D$4000,3,FALSE),""))</f>
        <v>MOCHILA 3D GRANDE MZ-RJ-ZE-002 37.5L FRO</v>
      </c>
      <c r="D345" s="4">
        <f>IF(IFERROR(VLOOKUP($B345,LINCE!$A$5:$D$4000,4,FALSE),"")=0,"",IFERROR(VLOOKUP($B345,LINCE!$A$5:$D$4000,4,FALSE),""))</f>
        <v>5600</v>
      </c>
      <c r="E345" s="14">
        <f>IF(IFERROR(VLOOKUP($B345,LINCE!$A$5:$E$4000,5,FALSE),"")=0,"",IFERROR(VLOOKUP($B345,LINCE!$A$5:$E$4000,5,FALSE),""))</f>
        <v>85</v>
      </c>
    </row>
    <row r="346" spans="1:5" ht="129.94999999999999" hidden="1" customHeight="1" x14ac:dyDescent="0.25">
      <c r="A346" s="1"/>
      <c r="B346" s="3">
        <v>8708635</v>
      </c>
      <c r="C346" s="4" t="str">
        <f>IF(IFERROR(VLOOKUP($B346,LINCE!$A$5:$D$4000,3,FALSE),"")=0,"",IFERROR(VLOOKUP($B346,LINCE!$A$5:$D$4000,3,FALSE),""))</f>
        <v/>
      </c>
      <c r="D346" s="4" t="str">
        <f>IF(IFERROR(VLOOKUP($B346,LINCE!$A$5:$D$4000,4,FALSE),"")=0,"",IFERROR(VLOOKUP($B346,LINCE!$A$5:$D$4000,4,FALSE),""))</f>
        <v/>
      </c>
      <c r="E346" s="14" t="str">
        <f>IF(IFERROR(VLOOKUP($B346,LINCE!$A$5:$E$4000,5,FALSE),"")=0,"",IFERROR(VLOOKUP($B346,LINCE!$A$5:$E$4000,5,FALSE),""))</f>
        <v/>
      </c>
    </row>
    <row r="347" spans="1:5" ht="129.94999999999999" hidden="1" customHeight="1" x14ac:dyDescent="0.25">
      <c r="A347" s="1"/>
      <c r="B347" s="3">
        <v>8708634</v>
      </c>
      <c r="C347" s="4" t="str">
        <f>IF(IFERROR(VLOOKUP($B347,LINCE!$A$5:$D$4000,3,FALSE),"")=0,"",IFERROR(VLOOKUP($B347,LINCE!$A$5:$D$4000,3,FALSE),""))</f>
        <v>MOCHILA CON CORDON GRANDE 8132-34 65L YW</v>
      </c>
      <c r="D347" s="4">
        <f>IF(IFERROR(VLOOKUP($B347,LINCE!$A$5:$D$4000,4,FALSE),"")=0,"",IFERROR(VLOOKUP($B347,LINCE!$A$5:$D$4000,4,FALSE),""))</f>
        <v>3400</v>
      </c>
      <c r="E347" s="14">
        <f>IF(IFERROR(VLOOKUP($B347,LINCE!$A$5:$E$4000,5,FALSE),"")=0,"",IFERROR(VLOOKUP($B347,LINCE!$A$5:$E$4000,5,FALSE),""))</f>
        <v>185</v>
      </c>
    </row>
    <row r="348" spans="1:5" ht="129.94999999999999" hidden="1" customHeight="1" x14ac:dyDescent="0.25">
      <c r="A348" s="1"/>
      <c r="B348" s="3">
        <v>8708631</v>
      </c>
      <c r="C348" s="4" t="str">
        <f>IF(IFERROR(VLOOKUP($B348,LINCE!$A$5:$D$4000,3,FALSE),"")=0,"",IFERROR(VLOOKUP($B348,LINCE!$A$5:$D$4000,3,FALSE),""))</f>
        <v>MOCHILA PIX SPORT 8129-31 47L YW-3,76/4,</v>
      </c>
      <c r="D348" s="4">
        <f>IF(IFERROR(VLOOKUP($B348,LINCE!$A$5:$D$4000,4,FALSE),"")=0,"",IFERROR(VLOOKUP($B348,LINCE!$A$5:$D$4000,4,FALSE),""))</f>
        <v>1100</v>
      </c>
      <c r="E348" s="14">
        <f>IF(IFERROR(VLOOKUP($B348,LINCE!$A$5:$E$4000,5,FALSE),"")=0,"",IFERROR(VLOOKUP($B348,LINCE!$A$5:$E$4000,5,FALSE),""))</f>
        <v>73</v>
      </c>
    </row>
    <row r="349" spans="1:5" ht="129.94999999999999" hidden="1" customHeight="1" x14ac:dyDescent="0.25">
      <c r="A349" s="1"/>
      <c r="B349" s="3">
        <v>8708628</v>
      </c>
      <c r="C349" s="4" t="str">
        <f>IF(IFERROR(VLOOKUP($B349,LINCE!$A$5:$D$4000,3,FALSE),"")=0,"",IFERROR(VLOOKUP($B349,LINCE!$A$5:$D$4000,3,FALSE),""))</f>
        <v>MOCHILA BOLSO 8126-2 50L YW-140/3</v>
      </c>
      <c r="D349" s="4">
        <f>IF(IFERROR(VLOOKUP($B349,LINCE!$A$5:$D$4000,4,FALSE),"")=0,"",IFERROR(VLOOKUP($B349,LINCE!$A$5:$D$4000,4,FALSE),""))</f>
        <v>4200</v>
      </c>
      <c r="E349" s="14">
        <f>IF(IFERROR(VLOOKUP($B349,LINCE!$A$5:$E$4000,5,FALSE),"")=0,"",IFERROR(VLOOKUP($B349,LINCE!$A$5:$E$4000,5,FALSE),""))</f>
        <v>34</v>
      </c>
    </row>
    <row r="350" spans="1:5" ht="129.94999999999999" hidden="1" customHeight="1" x14ac:dyDescent="0.25">
      <c r="A350" s="1"/>
      <c r="B350" s="3">
        <v>8708625</v>
      </c>
      <c r="C350" s="4" t="str">
        <f>IF(IFERROR(VLOOKUP($B350,LINCE!$A$5:$D$4000,3,FALSE),"")=0,"",IFERROR(VLOOKUP($B350,LINCE!$A$5:$D$4000,3,FALSE),""))</f>
        <v>MOCHILA BOLSO CRAZY ANTS 8124-25 30L YW-</v>
      </c>
      <c r="D350" s="4">
        <f>IF(IFERROR(VLOOKUP($B350,LINCE!$A$5:$D$4000,4,FALSE),"")=0,"",IFERROR(VLOOKUP($B350,LINCE!$A$5:$D$4000,4,FALSE),""))</f>
        <v>3200</v>
      </c>
      <c r="E350" s="14">
        <f>IF(IFERROR(VLOOKUP($B350,LINCE!$A$5:$E$4000,5,FALSE),"")=0,"",IFERROR(VLOOKUP($B350,LINCE!$A$5:$E$4000,5,FALSE),""))</f>
        <v>150</v>
      </c>
    </row>
    <row r="351" spans="1:5" ht="129.94999999999999" hidden="1" customHeight="1" x14ac:dyDescent="0.25">
      <c r="A351" s="1"/>
      <c r="B351" s="3">
        <v>8708620</v>
      </c>
      <c r="C351" s="4" t="str">
        <f>IF(IFERROR(VLOOKUP($B351,LINCE!$A$5:$D$4000,3,FALSE),"")=0,"",IFERROR(VLOOKUP($B351,LINCE!$A$5:$D$4000,3,FALSE),""))</f>
        <v>MOCHILA SWAT 3P MZ-RJ-A20 23.5L FRONT-9,</v>
      </c>
      <c r="D351" s="4">
        <f>IF(IFERROR(VLOOKUP($B351,LINCE!$A$5:$D$4000,4,FALSE),"")=0,"",IFERROR(VLOOKUP($B351,LINCE!$A$5:$D$4000,4,FALSE),""))</f>
        <v>4700</v>
      </c>
      <c r="E351" s="14">
        <f>IF(IFERROR(VLOOKUP($B351,LINCE!$A$5:$E$4000,5,FALSE),"")=0,"",IFERROR(VLOOKUP($B351,LINCE!$A$5:$E$4000,5,FALSE),""))</f>
        <v>142</v>
      </c>
    </row>
    <row r="352" spans="1:5" ht="129.94999999999999" hidden="1" customHeight="1" x14ac:dyDescent="0.25">
      <c r="A352" s="1"/>
      <c r="B352" s="3">
        <v>8708618</v>
      </c>
      <c r="C352" s="4" t="str">
        <f>IF(IFERROR(VLOOKUP($B352,LINCE!$A$5:$D$4000,3,FALSE),"")=0,"",IFERROR(VLOOKUP($B352,LINCE!$A$5:$D$4000,3,FALSE),""))</f>
        <v>MOCHILA CAMELBACK MZ-RJ-B10 18.5L FRONT-</v>
      </c>
      <c r="D352" s="4">
        <f>IF(IFERROR(VLOOKUP($B352,LINCE!$A$5:$D$4000,4,FALSE),"")=0,"",IFERROR(VLOOKUP($B352,LINCE!$A$5:$D$4000,4,FALSE),""))</f>
        <v>2200</v>
      </c>
      <c r="E352" s="14">
        <f>IF(IFERROR(VLOOKUP($B352,LINCE!$A$5:$E$4000,5,FALSE),"")=0,"",IFERROR(VLOOKUP($B352,LINCE!$A$5:$E$4000,5,FALSE),""))</f>
        <v>26</v>
      </c>
    </row>
    <row r="353" spans="1:5" ht="129.94999999999999" hidden="1" customHeight="1" x14ac:dyDescent="0.25">
      <c r="A353" s="1"/>
      <c r="B353" s="3">
        <v>8708610</v>
      </c>
      <c r="C353" s="4" t="str">
        <f>IF(IFERROR(VLOOKUP($B353,LINCE!$A$5:$D$4000,3,FALSE),"")=0,"",IFERROR(VLOOKUP($B353,LINCE!$A$5:$D$4000,3,FALSE),""))</f>
        <v>MOCHILA 3D MEDIANA MZ-RJ-A10 35L FRONT 7</v>
      </c>
      <c r="D353" s="4">
        <f>IF(IFERROR(VLOOKUP($B353,LINCE!$A$5:$D$4000,4,FALSE),"")=0,"",IFERROR(VLOOKUP($B353,LINCE!$A$5:$D$4000,4,FALSE),""))</f>
        <v>3900</v>
      </c>
      <c r="E353" s="14">
        <f>IF(IFERROR(VLOOKUP($B353,LINCE!$A$5:$E$4000,5,FALSE),"")=0,"",IFERROR(VLOOKUP($B353,LINCE!$A$5:$E$4000,5,FALSE),""))</f>
        <v>158</v>
      </c>
    </row>
    <row r="354" spans="1:5" ht="129.94999999999999" hidden="1" customHeight="1" x14ac:dyDescent="0.25">
      <c r="A354" s="1"/>
      <c r="B354" s="3">
        <v>8708609</v>
      </c>
      <c r="C354" s="4" t="str">
        <f>IF(IFERROR(VLOOKUP($B354,LINCE!$A$5:$D$4000,3,FALSE),"")=0,"",IFERROR(VLOOKUP($B354,LINCE!$A$5:$D$4000,3,FALSE),""))</f>
        <v>MOCHILA MZ-RJ-B35809 38.5L FRONT-114/3,6</v>
      </c>
      <c r="D354" s="4">
        <f>IF(IFERROR(VLOOKUP($B354,LINCE!$A$5:$D$4000,4,FALSE),"")=0,"",IFERROR(VLOOKUP($B354,LINCE!$A$5:$D$4000,4,FALSE),""))</f>
        <v>4800</v>
      </c>
      <c r="E354" s="14">
        <f>IF(IFERROR(VLOOKUP($B354,LINCE!$A$5:$E$4000,5,FALSE),"")=0,"",IFERROR(VLOOKUP($B354,LINCE!$A$5:$E$4000,5,FALSE),""))</f>
        <v>53</v>
      </c>
    </row>
    <row r="355" spans="1:5" ht="129.94999999999999" hidden="1" customHeight="1" x14ac:dyDescent="0.25">
      <c r="A355" s="1"/>
      <c r="B355" s="3">
        <v>8708607</v>
      </c>
      <c r="C355" s="4" t="str">
        <f>IF(IFERROR(VLOOKUP($B355,LINCE!$A$5:$D$4000,3,FALSE),"")=0,"",IFERROR(VLOOKUP($B355,LINCE!$A$5:$D$4000,3,FALSE),""))</f>
        <v>MOCHILA FLANKER MZ-RJ-A18 X7 25L FRONT-1</v>
      </c>
      <c r="D355" s="4">
        <f>IF(IFERROR(VLOOKUP($B355,LINCE!$A$5:$D$4000,4,FALSE),"")=0,"",IFERROR(VLOOKUP($B355,LINCE!$A$5:$D$4000,4,FALSE),""))</f>
        <v>5000</v>
      </c>
      <c r="E355" s="14">
        <f>IF(IFERROR(VLOOKUP($B355,LINCE!$A$5:$E$4000,5,FALSE),"")=0,"",IFERROR(VLOOKUP($B355,LINCE!$A$5:$E$4000,5,FALSE),""))</f>
        <v>114</v>
      </c>
    </row>
    <row r="356" spans="1:5" ht="129.94999999999999" hidden="1" customHeight="1" x14ac:dyDescent="0.25">
      <c r="A356" s="1"/>
      <c r="B356" s="3">
        <v>8708603</v>
      </c>
      <c r="C356" s="4" t="str">
        <f>IF(IFERROR(VLOOKUP($B356,LINCE!$A$5:$D$4000,3,FALSE),"")=0,"",IFERROR(VLOOKUP($B356,LINCE!$A$5:$D$4000,3,FALSE),""))</f>
        <v>MOCHILA NITRO MZ-RJ-Y003 30.5L FRONT-82/</v>
      </c>
      <c r="D356" s="4">
        <f>IF(IFERROR(VLOOKUP($B356,LINCE!$A$5:$D$4000,4,FALSE),"")=0,"",IFERROR(VLOOKUP($B356,LINCE!$A$5:$D$4000,4,FALSE),""))</f>
        <v>3900</v>
      </c>
      <c r="E356" s="14">
        <f>IF(IFERROR(VLOOKUP($B356,LINCE!$A$5:$E$4000,5,FALSE),"")=0,"",IFERROR(VLOOKUP($B356,LINCE!$A$5:$E$4000,5,FALSE),""))</f>
        <v>33</v>
      </c>
    </row>
    <row r="357" spans="1:5" ht="129.94999999999999" hidden="1" customHeight="1" x14ac:dyDescent="0.25">
      <c r="A357" s="1"/>
      <c r="B357" s="3">
        <v>8708604</v>
      </c>
      <c r="C357" s="4" t="str">
        <f>IF(IFERROR(VLOOKUP($B357,LINCE!$A$5:$D$4000,3,FALSE),"")=0,"",IFERROR(VLOOKUP($B357,LINCE!$A$5:$D$4000,3,FALSE),""))</f>
        <v>MOCHILA RINIONERA MZ-RJ-B04 8.5L FRONT-3</v>
      </c>
      <c r="D357" s="4">
        <f>IF(IFERROR(VLOOKUP($B357,LINCE!$A$5:$D$4000,4,FALSE),"")=0,"",IFERROR(VLOOKUP($B357,LINCE!$A$5:$D$4000,4,FALSE),""))</f>
        <v>1999</v>
      </c>
      <c r="E357" s="14">
        <f>IF(IFERROR(VLOOKUP($B357,LINCE!$A$5:$E$4000,5,FALSE),"")=0,"",IFERROR(VLOOKUP($B357,LINCE!$A$5:$E$4000,5,FALSE),""))</f>
        <v>181</v>
      </c>
    </row>
    <row r="358" spans="1:5" ht="129.94999999999999" hidden="1" customHeight="1" x14ac:dyDescent="0.25">
      <c r="A358" s="1"/>
      <c r="B358" s="3">
        <v>8708603</v>
      </c>
      <c r="C358" s="4" t="str">
        <f>IF(IFERROR(VLOOKUP($B358,LINCE!$A$5:$D$4000,3,FALSE),"")=0,"",IFERROR(VLOOKUP($B358,LINCE!$A$5:$D$4000,3,FALSE),""))</f>
        <v>MOCHILA NITRO MZ-RJ-Y003 30.5L FRONT-82/</v>
      </c>
      <c r="D358" s="4">
        <f>IF(IFERROR(VLOOKUP($B358,LINCE!$A$5:$D$4000,4,FALSE),"")=0,"",IFERROR(VLOOKUP($B358,LINCE!$A$5:$D$4000,4,FALSE),""))</f>
        <v>3900</v>
      </c>
      <c r="E358" s="14">
        <f>IF(IFERROR(VLOOKUP($B358,LINCE!$A$5:$E$4000,5,FALSE),"")=0,"",IFERROR(VLOOKUP($B358,LINCE!$A$5:$E$4000,5,FALSE),""))</f>
        <v>33</v>
      </c>
    </row>
    <row r="359" spans="1:5" ht="129.94999999999999" hidden="1" customHeight="1" x14ac:dyDescent="0.25">
      <c r="A359" s="1"/>
      <c r="B359" s="3">
        <v>8708602</v>
      </c>
      <c r="C359" s="4" t="str">
        <f>IF(IFERROR(VLOOKUP($B359,LINCE!$A$5:$D$4000,3,FALSE),"")=0,"",IFERROR(VLOOKUP($B359,LINCE!$A$5:$D$4000,3,FALSE),""))</f>
        <v>MOCHILA 3D CHICA MZ-RJ-B02 22.5L FRONT-5</v>
      </c>
      <c r="D359" s="4">
        <f>IF(IFERROR(VLOOKUP($B359,LINCE!$A$5:$D$4000,4,FALSE),"")=0,"",IFERROR(VLOOKUP($B359,LINCE!$A$5:$D$4000,4,FALSE),""))</f>
        <v>2800</v>
      </c>
      <c r="E359" s="14">
        <f>IF(IFERROR(VLOOKUP($B359,LINCE!$A$5:$E$4000,5,FALSE),"")=0,"",IFERROR(VLOOKUP($B359,LINCE!$A$5:$E$4000,5,FALSE),""))</f>
        <v>120</v>
      </c>
    </row>
    <row r="360" spans="1:5" ht="129.94999999999999" hidden="1" customHeight="1" x14ac:dyDescent="0.25">
      <c r="A360" s="1"/>
      <c r="B360" s="3">
        <v>8708601</v>
      </c>
      <c r="C360" s="4" t="str">
        <f>IF(IFERROR(VLOOKUP($B360,LINCE!$A$5:$D$4000,3,FALSE),"")=0,"",IFERROR(VLOOKUP($B360,LINCE!$A$5:$D$4000,3,FALSE),""))</f>
        <v>MOCHILA PUBG LEVEL 3 MZ-RJ-B01 30L FRONT</v>
      </c>
      <c r="D360" s="4">
        <f>IF(IFERROR(VLOOKUP($B360,LINCE!$A$5:$D$4000,4,FALSE),"")=0,"",IFERROR(VLOOKUP($B360,LINCE!$A$5:$D$4000,4,FALSE),""))</f>
        <v>2700</v>
      </c>
      <c r="E360" s="14">
        <f>IF(IFERROR(VLOOKUP($B360,LINCE!$A$5:$E$4000,5,FALSE),"")=0,"",IFERROR(VLOOKUP($B360,LINCE!$A$5:$E$4000,5,FALSE),""))</f>
        <v>213</v>
      </c>
    </row>
    <row r="361" spans="1:5" ht="129.94999999999999" hidden="1" customHeight="1" x14ac:dyDescent="0.25">
      <c r="A361" s="1"/>
      <c r="B361" s="3">
        <v>8708550</v>
      </c>
      <c r="C361" s="4" t="str">
        <f>IF(IFERROR(VLOOKUP($B361,LINCE!$A$5:$D$4000,3,FALSE),"")=0,"",IFERROR(VLOOKUP($B361,LINCE!$A$5:$D$4000,3,FALSE),""))</f>
        <v>MORRAL BOLSO TACTICO PORTA BOTELLA 8147-</v>
      </c>
      <c r="D361" s="4">
        <f>IF(IFERROR(VLOOKUP($B361,LINCE!$A$5:$D$4000,4,FALSE),"")=0,"",IFERROR(VLOOKUP($B361,LINCE!$A$5:$D$4000,4,FALSE),""))</f>
        <v>1300</v>
      </c>
      <c r="E361" s="14">
        <f>IF(IFERROR(VLOOKUP($B361,LINCE!$A$5:$E$4000,5,FALSE),"")=0,"",IFERROR(VLOOKUP($B361,LINCE!$A$5:$E$4000,5,FALSE),""))</f>
        <v>39</v>
      </c>
    </row>
    <row r="362" spans="1:5" ht="129.94999999999999" hidden="1" customHeight="1" x14ac:dyDescent="0.25">
      <c r="A362" s="1"/>
      <c r="B362" s="3">
        <v>8521050</v>
      </c>
      <c r="C362" s="4" t="str">
        <f>IF(IFERROR(VLOOKUP($B362,LINCE!$A$5:$D$4000,3,FALSE),"")=0,"",IFERROR(VLOOKUP($B362,LINCE!$A$5:$D$4000,3,FALSE),""))</f>
        <v/>
      </c>
      <c r="D362" s="4" t="str">
        <f>IF(IFERROR(VLOOKUP($B362,LINCE!$A$5:$D$4000,4,FALSE),"")=0,"",IFERROR(VLOOKUP($B362,LINCE!$A$5:$D$4000,4,FALSE),""))</f>
        <v/>
      </c>
      <c r="E362" s="14" t="str">
        <f>IF(IFERROR(VLOOKUP($B362,LINCE!$A$5:$E$4000,5,FALSE),"")=0,"",IFERROR(VLOOKUP($B362,LINCE!$A$5:$E$4000,5,FALSE),""))</f>
        <v/>
      </c>
    </row>
    <row r="363" spans="1:5" ht="129.94999999999999" hidden="1" customHeight="1" x14ac:dyDescent="0.25">
      <c r="A363" s="1"/>
      <c r="B363" s="3">
        <v>8612600</v>
      </c>
      <c r="C363" s="4" t="str">
        <f>IF(IFERROR(VLOOKUP($B363,LINCE!$A$5:$D$4000,3,FALSE),"")=0,"",IFERROR(VLOOKUP($B363,LINCE!$A$5:$D$4000,3,FALSE),""))</f>
        <v>CARPA 6 PERSONAS IMP</v>
      </c>
      <c r="D363" s="4">
        <f>IF(IFERROR(VLOOKUP($B363,LINCE!$A$5:$D$4000,4,FALSE),"")=0,"",IFERROR(VLOOKUP($B363,LINCE!$A$5:$D$4000,4,FALSE),""))</f>
        <v>5300</v>
      </c>
      <c r="E363" s="14">
        <f>IF(IFERROR(VLOOKUP($B363,LINCE!$A$5:$E$4000,5,FALSE),"")=0,"",IFERROR(VLOOKUP($B363,LINCE!$A$5:$E$4000,5,FALSE),""))</f>
        <v>2</v>
      </c>
    </row>
    <row r="364" spans="1:5" ht="129.94999999999999" hidden="1" customHeight="1" x14ac:dyDescent="0.25">
      <c r="A364" s="1"/>
      <c r="B364" s="3">
        <v>8612462</v>
      </c>
      <c r="C364" s="4" t="str">
        <f>IF(IFERROR(VLOOKUP($B364,LINCE!$A$5:$D$4000,3,FALSE),"")=0,"",IFERROR(VLOOKUP($B364,LINCE!$A$5:$D$4000,3,FALSE),""))</f>
        <v>CARPA AUTOMATICA 2.5 X 2.5</v>
      </c>
      <c r="D364" s="4">
        <f>IF(IFERROR(VLOOKUP($B364,LINCE!$A$5:$D$4000,4,FALSE),"")=0,"",IFERROR(VLOOKUP($B364,LINCE!$A$5:$D$4000,4,FALSE),""))</f>
        <v>4400</v>
      </c>
      <c r="E364" s="14">
        <f>IF(IFERROR(VLOOKUP($B364,LINCE!$A$5:$E$4000,5,FALSE),"")=0,"",IFERROR(VLOOKUP($B364,LINCE!$A$5:$E$4000,5,FALSE),""))</f>
        <v>2</v>
      </c>
    </row>
    <row r="365" spans="1:5" ht="129.94999999999999" hidden="1" customHeight="1" x14ac:dyDescent="0.25">
      <c r="A365" s="1"/>
      <c r="B365" s="3">
        <v>8612523</v>
      </c>
      <c r="C365" s="4" t="str">
        <f>IF(IFERROR(VLOOKUP($B365,LINCE!$A$5:$D$4000,3,FALSE),"")=0,"",IFERROR(VLOOKUP($B365,LINCE!$A$5:$D$4000,3,FALSE),""))</f>
        <v>CARPA AUT. CAMU BOSQUE 2X2X1.45CM 4PERS</v>
      </c>
      <c r="D365" s="4">
        <f>IF(IFERROR(VLOOKUP($B365,LINCE!$A$5:$D$4000,4,FALSE),"")=0,"",IFERROR(VLOOKUP($B365,LINCE!$A$5:$D$4000,4,FALSE),""))</f>
        <v>7200</v>
      </c>
      <c r="E365" s="14">
        <f>IF(IFERROR(VLOOKUP($B365,LINCE!$A$5:$E$4000,5,FALSE),"")=0,"",IFERROR(VLOOKUP($B365,LINCE!$A$5:$E$4000,5,FALSE),""))</f>
        <v>3</v>
      </c>
    </row>
    <row r="366" spans="1:5" ht="129.94999999999999" hidden="1" customHeight="1" x14ac:dyDescent="0.25">
      <c r="A366" s="1"/>
      <c r="B366" s="3">
        <v>8612794</v>
      </c>
      <c r="C366" s="4" t="str">
        <f>IF(IFERROR(VLOOKUP($B366,LINCE!$A$5:$D$4000,3,FALSE),"")=0,"",IFERROR(VLOOKUP($B366,LINCE!$A$5:$D$4000,3,FALSE),""))</f>
        <v>CARPA AUTOMATICA TECHO SIMPLE 2X2X1.35 4</v>
      </c>
      <c r="D366" s="4">
        <f>IF(IFERROR(VLOOKUP($B366,LINCE!$A$5:$D$4000,4,FALSE),"")=0,"",IFERROR(VLOOKUP($B366,LINCE!$A$5:$D$4000,4,FALSE),""))</f>
        <v>4300</v>
      </c>
      <c r="E366" s="14">
        <f>IF(IFERROR(VLOOKUP($B366,LINCE!$A$5:$E$4000,5,FALSE),"")=0,"",IFERROR(VLOOKUP($B366,LINCE!$A$5:$E$4000,5,FALSE),""))</f>
        <v>3</v>
      </c>
    </row>
    <row r="367" spans="1:5" ht="129.94999999999999" hidden="1" customHeight="1" x14ac:dyDescent="0.25">
      <c r="A367" s="1"/>
      <c r="B367" s="3">
        <v>8612468</v>
      </c>
      <c r="C367" s="4" t="str">
        <f>IF(IFERROR(VLOOKUP($B367,LINCE!$A$5:$D$4000,3,FALSE),"")=0,"",IFERROR(VLOOKUP($B367,LINCE!$A$5:$D$4000,3,FALSE),""))</f>
        <v>CARPA AUTOMATICA 2X2 4462</v>
      </c>
      <c r="D367" s="4">
        <f>IF(IFERROR(VLOOKUP($B367,LINCE!$A$5:$D$4000,4,FALSE),"")=0,"",IFERROR(VLOOKUP($B367,LINCE!$A$5:$D$4000,4,FALSE),""))</f>
        <v>3500</v>
      </c>
      <c r="E367" s="14">
        <f>IF(IFERROR(VLOOKUP($B367,LINCE!$A$5:$E$4000,5,FALSE),"")=0,"",IFERROR(VLOOKUP($B367,LINCE!$A$5:$E$4000,5,FALSE),""))</f>
        <v>1</v>
      </c>
    </row>
    <row r="368" spans="1:5" ht="129.94999999999999" hidden="1" customHeight="1" x14ac:dyDescent="0.25">
      <c r="A368" s="1"/>
      <c r="B368" s="3">
        <v>8612793</v>
      </c>
      <c r="C368" s="4" t="str">
        <f>IF(IFERROR(VLOOKUP($B368,LINCE!$A$5:$D$4000,3,FALSE),"")=0,"",IFERROR(VLOOKUP($B368,LINCE!$A$5:$D$4000,3,FALSE),""))</f>
        <v>CARPA AUTOMATICA TECHO SIMPLE 2X1.5X1.1</v>
      </c>
      <c r="D368" s="4">
        <f>IF(IFERROR(VLOOKUP($B368,LINCE!$A$5:$D$4000,4,FALSE),"")=0,"",IFERROR(VLOOKUP($B368,LINCE!$A$5:$D$4000,4,FALSE),""))</f>
        <v>3600</v>
      </c>
      <c r="E368" s="14">
        <f>IF(IFERROR(VLOOKUP($B368,LINCE!$A$5:$E$4000,5,FALSE),"")=0,"",IFERROR(VLOOKUP($B368,LINCE!$A$5:$E$4000,5,FALSE),""))</f>
        <v>4</v>
      </c>
    </row>
    <row r="369" spans="1:5" ht="129.94999999999999" hidden="1" customHeight="1" x14ac:dyDescent="0.25">
      <c r="A369" s="1"/>
      <c r="B369" s="3">
        <v>8520017</v>
      </c>
      <c r="C369" s="4" t="str">
        <f>IF(IFERROR(VLOOKUP($B369,LINCE!$A$5:$D$4000,3,FALSE),"")=0,"",IFERROR(VLOOKUP($B369,LINCE!$A$5:$D$4000,3,FALSE),""))</f>
        <v>MIRA CON LUZ, LASER Y CABLE 4490/4495</v>
      </c>
      <c r="D369" s="4">
        <f>IF(IFERROR(VLOOKUP($B369,LINCE!$A$5:$D$4000,4,FALSE),"")=0,"",IFERROR(VLOOKUP($B369,LINCE!$A$5:$D$4000,4,FALSE),""))</f>
        <v>4500</v>
      </c>
      <c r="E369" s="14">
        <f>IF(IFERROR(VLOOKUP($B369,LINCE!$A$5:$E$4000,5,FALSE),"")=0,"",IFERROR(VLOOKUP($B369,LINCE!$A$5:$E$4000,5,FALSE),""))</f>
        <v>4</v>
      </c>
    </row>
    <row r="370" spans="1:5" ht="129.94999999999999" hidden="1" customHeight="1" x14ac:dyDescent="0.25">
      <c r="A370" s="1"/>
      <c r="B370" s="3">
        <v>8509729</v>
      </c>
      <c r="C370" s="4" t="str">
        <f>IF(IFERROR(VLOOKUP($B370,LINCE!$A$5:$D$4000,3,FALSE),"")=0,"",IFERROR(VLOOKUP($B370,LINCE!$A$5:$D$4000,3,FALSE),""))</f>
        <v>DRAGONA DORADA AZZ</v>
      </c>
      <c r="D370" s="4">
        <f>IF(IFERROR(VLOOKUP($B370,LINCE!$A$5:$D$4000,4,FALSE),"")=0,"",IFERROR(VLOOKUP($B370,LINCE!$A$5:$D$4000,4,FALSE),""))</f>
        <v>1814.99</v>
      </c>
      <c r="E370" s="14">
        <f>IF(IFERROR(VLOOKUP($B370,LINCE!$A$5:$E$4000,5,FALSE),"")=0,"",IFERROR(VLOOKUP($B370,LINCE!$A$5:$E$4000,5,FALSE),""))</f>
        <v>30</v>
      </c>
    </row>
    <row r="371" spans="1:5" ht="129.94999999999999" hidden="1" customHeight="1" x14ac:dyDescent="0.25">
      <c r="A371" s="1"/>
      <c r="B371" s="3">
        <v>8507002</v>
      </c>
      <c r="C371" s="4" t="str">
        <f>IF(IFERROR(VLOOKUP($B371,LINCE!$A$5:$D$4000,3,FALSE),"")=0,"",IFERROR(VLOOKUP($B371,LINCE!$A$5:$D$4000,3,FALSE),""))</f>
        <v>TIRO SABLE CUERO 1041 TB</v>
      </c>
      <c r="D371" s="4">
        <f>IF(IFERROR(VLOOKUP($B371,LINCE!$A$5:$D$4000,4,FALSE),"")=0,"",IFERROR(VLOOKUP($B371,LINCE!$A$5:$D$4000,4,FALSE),""))</f>
        <v>2640</v>
      </c>
      <c r="E371" s="14">
        <f>IF(IFERROR(VLOOKUP($B371,LINCE!$A$5:$E$4000,5,FALSE),"")=0,"",IFERROR(VLOOKUP($B371,LINCE!$A$5:$E$4000,5,FALSE),""))</f>
        <v>11</v>
      </c>
    </row>
    <row r="372" spans="1:5" ht="129.94999999999999" hidden="1" customHeight="1" x14ac:dyDescent="0.25">
      <c r="A372" s="1"/>
      <c r="B372" s="3">
        <v>8503712</v>
      </c>
      <c r="C372" s="4" t="str">
        <f>IF(IFERROR(VLOOKUP($B372,LINCE!$A$5:$D$4000,3,FALSE),"")=0,"",IFERROR(VLOOKUP($B372,LINCE!$A$5:$D$4000,3,FALSE),""))</f>
        <v>SABLE CORTO RER</v>
      </c>
      <c r="D372" s="4" t="str">
        <f>IF(IFERROR(VLOOKUP($B372,LINCE!$A$5:$D$4000,4,FALSE),"")=0,"",IFERROR(VLOOKUP($B372,LINCE!$A$5:$D$4000,4,FALSE),""))</f>
        <v/>
      </c>
      <c r="E372" s="14" t="str">
        <f>IF(IFERROR(VLOOKUP($B372,LINCE!$A$5:$E$4000,5,FALSE),"")=0,"",IFERROR(VLOOKUP($B372,LINCE!$A$5:$E$4000,5,FALSE),""))</f>
        <v/>
      </c>
    </row>
    <row r="373" spans="1:5" ht="129.94999999999999" hidden="1" customHeight="1" x14ac:dyDescent="0.25">
      <c r="A373" s="1"/>
      <c r="B373" s="3">
        <v>8503258</v>
      </c>
      <c r="C373" s="4" t="str">
        <f>IF(IFERROR(VLOOKUP($B373,LINCE!$A$5:$D$4000,3,FALSE),"")=0,"",IFERROR(VLOOKUP($B373,LINCE!$A$5:$D$4000,3,FALSE),""))</f>
        <v>SABLE LARGO RER</v>
      </c>
      <c r="D373" s="4">
        <f>IF(IFERROR(VLOOKUP($B373,LINCE!$A$5:$D$4000,4,FALSE),"")=0,"",IFERROR(VLOOKUP($B373,LINCE!$A$5:$D$4000,4,FALSE),""))</f>
        <v>35000</v>
      </c>
      <c r="E373" s="14">
        <f>IF(IFERROR(VLOOKUP($B373,LINCE!$A$5:$E$4000,5,FALSE),"")=0,"",IFERROR(VLOOKUP($B373,LINCE!$A$5:$E$4000,5,FALSE),""))</f>
        <v>4</v>
      </c>
    </row>
    <row r="374" spans="1:5" ht="129.94999999999999" hidden="1" customHeight="1" x14ac:dyDescent="0.25">
      <c r="A374" s="1"/>
      <c r="B374" s="3">
        <v>8522011</v>
      </c>
      <c r="C374" s="4" t="str">
        <f>IF(IFERROR(VLOOKUP($B374,LINCE!$A$5:$D$4000,3,FALSE),"")=0,"",IFERROR(VLOOKUP($B374,LINCE!$A$5:$D$4000,3,FALSE),""))</f>
        <v>RABIZA SIMPLE CON ABROJO IMP 1304</v>
      </c>
      <c r="D374" s="4">
        <f>IF(IFERROR(VLOOKUP($B374,LINCE!$A$5:$D$4000,4,FALSE),"")=0,"",IFERROR(VLOOKUP($B374,LINCE!$A$5:$D$4000,4,FALSE),""))</f>
        <v>390</v>
      </c>
      <c r="E374" s="14">
        <f>IF(IFERROR(VLOOKUP($B374,LINCE!$A$5:$E$4000,5,FALSE),"")=0,"",IFERROR(VLOOKUP($B374,LINCE!$A$5:$E$4000,5,FALSE),""))</f>
        <v>177</v>
      </c>
    </row>
    <row r="375" spans="1:5" ht="129.94999999999999" hidden="1" customHeight="1" x14ac:dyDescent="0.25">
      <c r="A375" s="1"/>
      <c r="B375" s="3">
        <v>8503639</v>
      </c>
      <c r="C375" s="4" t="str">
        <f>IF(IFERROR(VLOOKUP($B375,LINCE!$A$5:$D$4000,3,FALSE),"")=0,"",IFERROR(VLOOKUP($B375,LINCE!$A$5:$D$4000,3,FALSE),""))</f>
        <v>PROT RODILLA XTL 839 XTR</v>
      </c>
      <c r="D375" s="4">
        <f>IF(IFERROR(VLOOKUP($B375,LINCE!$A$5:$D$4000,4,FALSE),"")=0,"",IFERROR(VLOOKUP($B375,LINCE!$A$5:$D$4000,4,FALSE),""))</f>
        <v>2800</v>
      </c>
      <c r="E375" s="14">
        <f>IF(IFERROR(VLOOKUP($B375,LINCE!$A$5:$E$4000,5,FALSE),"")=0,"",IFERROR(VLOOKUP($B375,LINCE!$A$5:$E$4000,5,FALSE),""))</f>
        <v>2</v>
      </c>
    </row>
    <row r="376" spans="1:5" ht="129.94999999999999" hidden="1" customHeight="1" x14ac:dyDescent="0.25">
      <c r="A376" s="1"/>
      <c r="B376" s="3">
        <v>8503045</v>
      </c>
      <c r="C376" s="4" t="str">
        <f>IF(IFERROR(VLOOKUP($B376,LINCE!$A$5:$D$4000,3,FALSE),"")=0,"",IFERROR(VLOOKUP($B376,LINCE!$A$5:$D$4000,3,FALSE),""))</f>
        <v>ESPOSAS CON BISAGRA 1211-7/3</v>
      </c>
      <c r="D376" s="4">
        <f>IF(IFERROR(VLOOKUP($B376,LINCE!$A$5:$D$4000,4,FALSE),"")=0,"",IFERROR(VLOOKUP($B376,LINCE!$A$5:$D$4000,4,FALSE),""))</f>
        <v>3000</v>
      </c>
      <c r="E376" s="14">
        <f>IF(IFERROR(VLOOKUP($B376,LINCE!$A$5:$E$4000,5,FALSE),"")=0,"",IFERROR(VLOOKUP($B376,LINCE!$A$5:$E$4000,5,FALSE),""))</f>
        <v>225</v>
      </c>
    </row>
    <row r="377" spans="1:5" ht="129.94999999999999" hidden="1" customHeight="1" x14ac:dyDescent="0.25">
      <c r="A377" s="1"/>
      <c r="B377" s="3">
        <v>8503012</v>
      </c>
      <c r="C377" s="4" t="str">
        <f>IF(IFERROR(VLOOKUP($B377,LINCE!$A$5:$D$4000,3,FALSE),"")=0,"",IFERROR(VLOOKUP($B377,LINCE!$A$5:$D$4000,3,FALSE),""))</f>
        <v>ESPOSAS CON GANCHO EM-7/3 1211</v>
      </c>
      <c r="D377" s="4">
        <f>IF(IFERROR(VLOOKUP($B377,LINCE!$A$5:$D$4000,4,FALSE),"")=0,"",IFERROR(VLOOKUP($B377,LINCE!$A$5:$D$4000,4,FALSE),""))</f>
        <v>3300</v>
      </c>
      <c r="E377" s="14">
        <f>IF(IFERROR(VLOOKUP($B377,LINCE!$A$5:$E$4000,5,FALSE),"")=0,"",IFERROR(VLOOKUP($B377,LINCE!$A$5:$E$4000,5,FALSE),""))</f>
        <v>244</v>
      </c>
    </row>
    <row r="378" spans="1:5" ht="129.94999999999999" hidden="1" customHeight="1" x14ac:dyDescent="0.25">
      <c r="A378" s="1"/>
      <c r="B378" s="3">
        <v>8707553</v>
      </c>
      <c r="C378" s="4" t="str">
        <f>IF(IFERROR(VLOOKUP($B378,LINCE!$A$5:$D$4000,3,FALSE),"")=0,"",IFERROR(VLOOKUP($B378,LINCE!$A$5:$D$4000,3,FALSE),""))</f>
        <v>PORTA ESPOSAS TERMO T553 GUERRILLER TB</v>
      </c>
      <c r="D378" s="4">
        <f>IF(IFERROR(VLOOKUP($B378,LINCE!$A$5:$D$4000,4,FALSE),"")=0,"",IFERROR(VLOOKUP($B378,LINCE!$A$5:$D$4000,4,FALSE),""))</f>
        <v>780</v>
      </c>
      <c r="E378" s="14">
        <f>IF(IFERROR(VLOOKUP($B378,LINCE!$A$5:$E$4000,5,FALSE),"")=0,"",IFERROR(VLOOKUP($B378,LINCE!$A$5:$E$4000,5,FALSE),""))</f>
        <v>68</v>
      </c>
    </row>
    <row r="379" spans="1:5" ht="129.94999999999999" hidden="1" customHeight="1" x14ac:dyDescent="0.25">
      <c r="A379" s="1"/>
      <c r="B379" s="3">
        <v>8707550</v>
      </c>
      <c r="C379" s="4" t="str">
        <f>IF(IFERROR(VLOOKUP($B379,LINCE!$A$5:$D$4000,3,FALSE),"")=0,"",IFERROR(VLOOKUP($B379,LINCE!$A$5:$D$4000,3,FALSE),""))</f>
        <v>PORTAESPOSA TERMO C/TAPA VERDE TB</v>
      </c>
      <c r="D379" s="4">
        <f>IF(IFERROR(VLOOKUP($B379,LINCE!$A$5:$D$4000,4,FALSE),"")=0,"",IFERROR(VLOOKUP($B379,LINCE!$A$5:$D$4000,4,FALSE),""))</f>
        <v>733.18</v>
      </c>
      <c r="E379" s="14">
        <f>IF(IFERROR(VLOOKUP($B379,LINCE!$A$5:$E$4000,5,FALSE),"")=0,"",IFERROR(VLOOKUP($B379,LINCE!$A$5:$E$4000,5,FALSE),""))</f>
        <v>5</v>
      </c>
    </row>
    <row r="380" spans="1:5" ht="129.94999999999999" hidden="1" customHeight="1" x14ac:dyDescent="0.25">
      <c r="A380" s="1"/>
      <c r="B380" s="3">
        <v>8707552</v>
      </c>
      <c r="C380" s="4" t="str">
        <f>IF(IFERROR(VLOOKUP($B380,LINCE!$A$5:$D$4000,3,FALSE),"")=0,"",IFERROR(VLOOKUP($B380,LINCE!$A$5:$D$4000,3,FALSE),""))</f>
        <v>PORTA ESPOSAS TERMO T552 C/TAPA TB</v>
      </c>
      <c r="D380" s="4">
        <f>IF(IFERROR(VLOOKUP($B380,LINCE!$A$5:$D$4000,4,FALSE),"")=0,"",IFERROR(VLOOKUP($B380,LINCE!$A$5:$D$4000,4,FALSE),""))</f>
        <v>900</v>
      </c>
      <c r="E380" s="14">
        <f>IF(IFERROR(VLOOKUP($B380,LINCE!$A$5:$E$4000,5,FALSE),"")=0,"",IFERROR(VLOOKUP($B380,LINCE!$A$5:$E$4000,5,FALSE),""))</f>
        <v>1426</v>
      </c>
    </row>
    <row r="381" spans="1:5" ht="129.94999999999999" hidden="1" customHeight="1" x14ac:dyDescent="0.25">
      <c r="A381" s="1"/>
      <c r="B381" s="3">
        <v>8707750</v>
      </c>
      <c r="C381" s="4" t="str">
        <f>IF(IFERROR(VLOOKUP($B381,LINCE!$A$5:$D$4000,3,FALSE),"")=0,"",IFERROR(VLOOKUP($B381,LINCE!$A$5:$D$4000,3,FALSE),""))</f>
        <v/>
      </c>
      <c r="D381" s="4" t="str">
        <f>IF(IFERROR(VLOOKUP($B381,LINCE!$A$5:$D$4000,4,FALSE),"")=0,"",IFERROR(VLOOKUP($B381,LINCE!$A$5:$D$4000,4,FALSE),""))</f>
        <v/>
      </c>
      <c r="E381" s="14" t="str">
        <f>IF(IFERROR(VLOOKUP($B381,LINCE!$A$5:$E$4000,5,FALSE),"")=0,"",IFERROR(VLOOKUP($B381,LINCE!$A$5:$E$4000,5,FALSE),""))</f>
        <v/>
      </c>
    </row>
    <row r="382" spans="1:5" ht="129.94999999999999" hidden="1" customHeight="1" x14ac:dyDescent="0.25">
      <c r="A382" s="1"/>
      <c r="B382" s="3">
        <v>8707509</v>
      </c>
      <c r="C382" s="4" t="str">
        <f>IF(IFERROR(VLOOKUP($B382,LINCE!$A$5:$D$4000,3,FALSE),"")=0,"",IFERROR(VLOOKUP($B382,LINCE!$A$5:$D$4000,3,FALSE),""))</f>
        <v/>
      </c>
      <c r="D382" s="4" t="str">
        <f>IF(IFERROR(VLOOKUP($B382,LINCE!$A$5:$D$4000,4,FALSE),"")=0,"",IFERROR(VLOOKUP($B382,LINCE!$A$5:$D$4000,4,FALSE),""))</f>
        <v/>
      </c>
      <c r="E382" s="14" t="str">
        <f>IF(IFERROR(VLOOKUP($B382,LINCE!$A$5:$E$4000,5,FALSE),"")=0,"",IFERROR(VLOOKUP($B382,LINCE!$A$5:$E$4000,5,FALSE),""))</f>
        <v/>
      </c>
    </row>
    <row r="383" spans="1:5" ht="129.94999999999999" hidden="1" customHeight="1" x14ac:dyDescent="0.25">
      <c r="A383" s="1"/>
      <c r="B383" s="3">
        <v>8708011</v>
      </c>
      <c r="C383" s="4" t="str">
        <f>IF(IFERROR(VLOOKUP($B383,LINCE!$A$5:$D$4000,3,FALSE),"")=0,"",IFERROR(VLOOKUP($B383,LINCE!$A$5:$D$4000,3,FALSE),""))</f>
        <v>PORTA ESPOSAS SIST MOLLE 12 BLK</v>
      </c>
      <c r="D383" s="4">
        <f>IF(IFERROR(VLOOKUP($B383,LINCE!$A$5:$D$4000,4,FALSE),"")=0,"",IFERROR(VLOOKUP($B383,LINCE!$A$5:$D$4000,4,FALSE),""))</f>
        <v>700</v>
      </c>
      <c r="E383" s="14">
        <f>IF(IFERROR(VLOOKUP($B383,LINCE!$A$5:$E$4000,5,FALSE),"")=0,"",IFERROR(VLOOKUP($B383,LINCE!$A$5:$E$4000,5,FALSE),""))</f>
        <v>1</v>
      </c>
    </row>
    <row r="384" spans="1:5" ht="129.94999999999999" hidden="1" customHeight="1" x14ac:dyDescent="0.25">
      <c r="A384" s="1"/>
      <c r="B384" s="3">
        <v>8707555</v>
      </c>
      <c r="C384" s="4" t="str">
        <f>IF(IFERROR(VLOOKUP($B384,LINCE!$A$5:$D$4000,3,FALSE),"")=0,"",IFERROR(VLOOKUP($B384,LINCE!$A$5:$D$4000,3,FALSE),""))</f>
        <v>PORTA ESPOSAS POLIA VER C/TAPA GN GANCHO</v>
      </c>
      <c r="D384" s="4">
        <f>IF(IFERROR(VLOOKUP($B384,LINCE!$A$5:$D$4000,4,FALSE),"")=0,"",IFERROR(VLOOKUP($B384,LINCE!$A$5:$D$4000,4,FALSE),""))</f>
        <v>763.8</v>
      </c>
      <c r="E384" s="14">
        <f>IF(IFERROR(VLOOKUP($B384,LINCE!$A$5:$E$4000,5,FALSE),"")=0,"",IFERROR(VLOOKUP($B384,LINCE!$A$5:$E$4000,5,FALSE),""))</f>
        <v>1</v>
      </c>
    </row>
    <row r="385" spans="1:5" ht="129.94999999999999" hidden="1" customHeight="1" x14ac:dyDescent="0.25">
      <c r="A385" s="1"/>
      <c r="B385" s="3">
        <v>8707721</v>
      </c>
      <c r="C385" s="4" t="str">
        <f>IF(IFERROR(VLOOKUP($B385,LINCE!$A$5:$D$4000,3,FALSE),"")=0,"",IFERROR(VLOOKUP($B385,LINCE!$A$5:$D$4000,3,FALSE),""))</f>
        <v/>
      </c>
      <c r="D385" s="4" t="str">
        <f>IF(IFERROR(VLOOKUP($B385,LINCE!$A$5:$D$4000,4,FALSE),"")=0,"",IFERROR(VLOOKUP($B385,LINCE!$A$5:$D$4000,4,FALSE),""))</f>
        <v/>
      </c>
      <c r="E385" s="14" t="str">
        <f>IF(IFERROR(VLOOKUP($B385,LINCE!$A$5:$E$4000,5,FALSE),"")=0,"",IFERROR(VLOOKUP($B385,LINCE!$A$5:$E$4000,5,FALSE),""))</f>
        <v/>
      </c>
    </row>
    <row r="386" spans="1:5" ht="129.94999999999999" hidden="1" customHeight="1" x14ac:dyDescent="0.25">
      <c r="A386" s="1"/>
      <c r="B386" s="3">
        <v>8707024</v>
      </c>
      <c r="C386" s="4" t="str">
        <f>IF(IFERROR(VLOOKUP($B386,LINCE!$A$5:$D$4000,3,FALSE),"")=0,"",IFERROR(VLOOKUP($B386,LINCE!$A$5:$D$4000,3,FALSE),""))</f>
        <v>PORTA ESPOSAS CUERO 1024 SAQUE RAPID TB</v>
      </c>
      <c r="D386" s="4">
        <f>IF(IFERROR(VLOOKUP($B386,LINCE!$A$5:$D$4000,4,FALSE),"")=0,"",IFERROR(VLOOKUP($B386,LINCE!$A$5:$D$4000,4,FALSE),""))</f>
        <v>1845</v>
      </c>
      <c r="E386" s="14">
        <f>IF(IFERROR(VLOOKUP($B386,LINCE!$A$5:$E$4000,5,FALSE),"")=0,"",IFERROR(VLOOKUP($B386,LINCE!$A$5:$E$4000,5,FALSE),""))</f>
        <v>11</v>
      </c>
    </row>
    <row r="387" spans="1:5" ht="129.94999999999999" hidden="1" customHeight="1" x14ac:dyDescent="0.25">
      <c r="A387" s="1"/>
      <c r="B387" s="3">
        <v>8707023</v>
      </c>
      <c r="C387" s="4" t="str">
        <f>IF(IFERROR(VLOOKUP($B387,LINCE!$A$5:$D$4000,3,FALSE),"")=0,"",IFERROR(VLOOKUP($B387,LINCE!$A$5:$D$4000,3,FALSE),""))</f>
        <v>PORTA ESPOSAS CUERO 1023 C/TAPA TB</v>
      </c>
      <c r="D387" s="4">
        <f>IF(IFERROR(VLOOKUP($B387,LINCE!$A$5:$D$4000,4,FALSE),"")=0,"",IFERROR(VLOOKUP($B387,LINCE!$A$5:$D$4000,4,FALSE),""))</f>
        <v>2130</v>
      </c>
      <c r="E387" s="14">
        <f>IF(IFERROR(VLOOKUP($B387,LINCE!$A$5:$E$4000,5,FALSE),"")=0,"",IFERROR(VLOOKUP($B387,LINCE!$A$5:$E$4000,5,FALSE),""))</f>
        <v>9</v>
      </c>
    </row>
    <row r="388" spans="1:5" ht="129.94999999999999" hidden="1" customHeight="1" x14ac:dyDescent="0.25">
      <c r="A388" s="1"/>
      <c r="B388" s="3">
        <v>8711700</v>
      </c>
      <c r="C388" s="4" t="str">
        <f>IF(IFERROR(VLOOKUP($B388,LINCE!$A$5:$D$4000,3,FALSE),"")=0,"",IFERROR(VLOOKUP($B388,LINCE!$A$5:$D$4000,3,FALSE),""))</f>
        <v>SOBAQ. UNIVERSAL SIMPLE T700 TB</v>
      </c>
      <c r="D388" s="4">
        <f>IF(IFERROR(VLOOKUP($B388,LINCE!$A$5:$D$4000,4,FALSE),"")=0,"",IFERROR(VLOOKUP($B388,LINCE!$A$5:$D$4000,4,FALSE),""))</f>
        <v>2400</v>
      </c>
      <c r="E388" s="14">
        <f>IF(IFERROR(VLOOKUP($B388,LINCE!$A$5:$E$4000,5,FALSE),"")=0,"",IFERROR(VLOOKUP($B388,LINCE!$A$5:$E$4000,5,FALSE),""))</f>
        <v>7</v>
      </c>
    </row>
    <row r="389" spans="1:5" ht="129.94999999999999" hidden="1" customHeight="1" x14ac:dyDescent="0.25">
      <c r="A389" s="1"/>
      <c r="B389" s="3">
        <v>8708070</v>
      </c>
      <c r="C389" s="4" t="str">
        <f>IF(IFERROR(VLOOKUP($B389,LINCE!$A$5:$D$4000,3,FALSE),"")=0,"",IFERROR(VLOOKUP($B389,LINCE!$A$5:$D$4000,3,FALSE),""))</f>
        <v/>
      </c>
      <c r="D389" s="4" t="str">
        <f>IF(IFERROR(VLOOKUP($B389,LINCE!$A$5:$D$4000,4,FALSE),"")=0,"",IFERROR(VLOOKUP($B389,LINCE!$A$5:$D$4000,4,FALSE),""))</f>
        <v/>
      </c>
      <c r="E389" s="14" t="str">
        <f>IF(IFERROR(VLOOKUP($B389,LINCE!$A$5:$E$4000,5,FALSE),"")=0,"",IFERROR(VLOOKUP($B389,LINCE!$A$5:$E$4000,5,FALSE),""))</f>
        <v/>
      </c>
    </row>
    <row r="390" spans="1:5" ht="129.94999999999999" hidden="1" customHeight="1" x14ac:dyDescent="0.25">
      <c r="A390" s="1"/>
      <c r="B390" s="3">
        <v>8708272</v>
      </c>
      <c r="C390" s="4" t="str">
        <f>IF(IFERROR(VLOOKUP($B390,LINCE!$A$5:$D$4000,3,FALSE),"")=0,"",IFERROR(VLOOKUP($B390,LINCE!$A$5:$D$4000,3,FALSE),""))</f>
        <v/>
      </c>
      <c r="D390" s="4" t="str">
        <f>IF(IFERROR(VLOOKUP($B390,LINCE!$A$5:$D$4000,4,FALSE),"")=0,"",IFERROR(VLOOKUP($B390,LINCE!$A$5:$D$4000,4,FALSE),""))</f>
        <v/>
      </c>
      <c r="E390" s="14" t="str">
        <f>IF(IFERROR(VLOOKUP($B390,LINCE!$A$5:$E$4000,5,FALSE),"")=0,"",IFERROR(VLOOKUP($B390,LINCE!$A$5:$E$4000,5,FALSE),""))</f>
        <v/>
      </c>
    </row>
    <row r="391" spans="1:5" ht="129.94999999999999" hidden="1" customHeight="1" x14ac:dyDescent="0.25">
      <c r="A391" s="1"/>
      <c r="B391" s="3">
        <v>8703955</v>
      </c>
      <c r="C391" s="4" t="str">
        <f>IF(IFERROR(VLOOKUP($B391,LINCE!$A$5:$D$4000,3,FALSE),"")=0,"",IFERROR(VLOOKUP($B391,LINCE!$A$5:$D$4000,3,FALSE),""))</f>
        <v>PIST NIVEL 2 ZURDA BERSA THUNDER PRO XTR</v>
      </c>
      <c r="D391" s="4">
        <f>IF(IFERROR(VLOOKUP($B391,LINCE!$A$5:$D$4000,4,FALSE),"")=0,"",IFERROR(VLOOKUP($B391,LINCE!$A$5:$D$4000,4,FALSE),""))</f>
        <v>3600</v>
      </c>
      <c r="E391" s="14">
        <f>IF(IFERROR(VLOOKUP($B391,LINCE!$A$5:$E$4000,5,FALSE),"")=0,"",IFERROR(VLOOKUP($B391,LINCE!$A$5:$E$4000,5,FALSE),""))</f>
        <v>7</v>
      </c>
    </row>
    <row r="392" spans="1:5" ht="129.94999999999999" hidden="1" customHeight="1" x14ac:dyDescent="0.25">
      <c r="A392" s="1"/>
      <c r="B392" s="3">
        <v>8703042</v>
      </c>
      <c r="C392" s="4" t="str">
        <f>IF(IFERROR(VLOOKUP($B392,LINCE!$A$5:$D$4000,3,FALSE),"")=0,"",IFERROR(VLOOKUP($B392,LINCE!$A$5:$D$4000,3,FALSE),""))</f>
        <v>PIST. CUERO UNIVERSAL 1042 TB</v>
      </c>
      <c r="D392" s="4">
        <f>IF(IFERROR(VLOOKUP($B392,LINCE!$A$5:$D$4000,4,FALSE),"")=0,"",IFERROR(VLOOKUP($B392,LINCE!$A$5:$D$4000,4,FALSE),""))</f>
        <v>2430</v>
      </c>
      <c r="E392" s="14">
        <f>IF(IFERROR(VLOOKUP($B392,LINCE!$A$5:$E$4000,5,FALSE),"")=0,"",IFERROR(VLOOKUP($B392,LINCE!$A$5:$E$4000,5,FALSE),""))</f>
        <v>30</v>
      </c>
    </row>
    <row r="393" spans="1:5" ht="129.94999999999999" hidden="1" customHeight="1" x14ac:dyDescent="0.25">
      <c r="A393" s="1"/>
      <c r="B393" s="3">
        <v>8703604</v>
      </c>
      <c r="C393" s="4" t="str">
        <f>IF(IFERROR(VLOOKUP($B393,LINCE!$A$5:$D$4000,3,FALSE),"")=0,"",IFERROR(VLOOKUP($B393,LINCE!$A$5:$D$4000,3,FALSE),""))</f>
        <v>PIST. TERMO. TACTICA CTAPA NEGRA T507 TB</v>
      </c>
      <c r="D393" s="4">
        <f>IF(IFERROR(VLOOKUP($B393,LINCE!$A$5:$D$4000,4,FALSE),"")=0,"",IFERROR(VLOOKUP($B393,LINCE!$A$5:$D$4000,4,FALSE),""))</f>
        <v>1900</v>
      </c>
      <c r="E393" s="14">
        <f>IF(IFERROR(VLOOKUP($B393,LINCE!$A$5:$E$4000,5,FALSE),"")=0,"",IFERROR(VLOOKUP($B393,LINCE!$A$5:$E$4000,5,FALSE),""))</f>
        <v>7</v>
      </c>
    </row>
    <row r="394" spans="1:5" ht="129.94999999999999" hidden="1" customHeight="1" x14ac:dyDescent="0.25">
      <c r="A394" s="1"/>
      <c r="B394" s="3">
        <v>8703506</v>
      </c>
      <c r="C394" s="4" t="str">
        <f>IF(IFERROR(VLOOKUP($B394,LINCE!$A$5:$D$4000,3,FALSE),"")=0,"",IFERROR(VLOOKUP($B394,LINCE!$A$5:$D$4000,3,FALSE),""))</f>
        <v>PIST. TERMOFOR. MULTIMARCA T506 TB</v>
      </c>
      <c r="D394" s="4">
        <f>IF(IFERROR(VLOOKUP($B394,LINCE!$A$5:$D$4000,4,FALSE),"")=0,"",IFERROR(VLOOKUP($B394,LINCE!$A$5:$D$4000,4,FALSE),""))</f>
        <v>1573</v>
      </c>
      <c r="E394" s="14">
        <f>IF(IFERROR(VLOOKUP($B394,LINCE!$A$5:$E$4000,5,FALSE),"")=0,"",IFERROR(VLOOKUP($B394,LINCE!$A$5:$E$4000,5,FALSE),""))</f>
        <v>20</v>
      </c>
    </row>
    <row r="395" spans="1:5" ht="129.94999999999999" hidden="1" customHeight="1" x14ac:dyDescent="0.25">
      <c r="A395" s="1"/>
      <c r="B395" s="3">
        <v>8703509</v>
      </c>
      <c r="C395" s="4" t="str">
        <f>IF(IFERROR(VLOOKUP($B395,LINCE!$A$5:$D$4000,3,FALSE),"")=0,"",IFERROR(VLOOKUP($B395,LINCE!$A$5:$D$4000,3,FALSE),""))</f>
        <v>PIST. TERMO. BLK BLK</v>
      </c>
      <c r="D395" s="4">
        <f>IF(IFERROR(VLOOKUP($B395,LINCE!$A$5:$D$4000,4,FALSE),"")=0,"",IFERROR(VLOOKUP($B395,LINCE!$A$5:$D$4000,4,FALSE),""))</f>
        <v>670.8</v>
      </c>
      <c r="E395" s="14">
        <f>IF(IFERROR(VLOOKUP($B395,LINCE!$A$5:$E$4000,5,FALSE),"")=0,"",IFERROR(VLOOKUP($B395,LINCE!$A$5:$E$4000,5,FALSE),""))</f>
        <v>1</v>
      </c>
    </row>
    <row r="396" spans="1:5" ht="129.94999999999999" hidden="1" customHeight="1" x14ac:dyDescent="0.25">
      <c r="A396" s="1"/>
      <c r="B396" s="3">
        <v>8703925</v>
      </c>
      <c r="C396" s="4" t="str">
        <f>IF(IFERROR(VLOOKUP($B396,LINCE!$A$5:$D$4000,3,FALSE),"")=0,"",IFERROR(VLOOKUP($B396,LINCE!$A$5:$D$4000,3,FALSE),""))</f>
        <v>PIST. TERMO. MINI THUNDER CMTH EM</v>
      </c>
      <c r="D396" s="4">
        <f>IF(IFERROR(VLOOKUP($B396,LINCE!$A$5:$D$4000,4,FALSE),"")=0,"",IFERROR(VLOOKUP($B396,LINCE!$A$5:$D$4000,4,FALSE),""))</f>
        <v>990</v>
      </c>
      <c r="E396" s="14">
        <f>IF(IFERROR(VLOOKUP($B396,LINCE!$A$5:$E$4000,5,FALSE),"")=0,"",IFERROR(VLOOKUP($B396,LINCE!$A$5:$E$4000,5,FALSE),""))</f>
        <v>42</v>
      </c>
    </row>
    <row r="397" spans="1:5" ht="129.94999999999999" hidden="1" customHeight="1" x14ac:dyDescent="0.25">
      <c r="A397" s="1"/>
      <c r="B397" s="3">
        <v>8703504</v>
      </c>
      <c r="C397" s="4" t="str">
        <f>IF(IFERROR(VLOOKUP($B397,LINCE!$A$5:$D$4000,3,FALSE),"")=0,"",IFERROR(VLOOKUP($B397,LINCE!$A$5:$D$4000,3,FALSE),""))</f>
        <v>PIST. TERMO. TACTICA REGULABLE T504 TB</v>
      </c>
      <c r="D397" s="4">
        <f>IF(IFERROR(VLOOKUP($B397,LINCE!$A$5:$D$4000,4,FALSE),"")=0,"",IFERROR(VLOOKUP($B397,LINCE!$A$5:$D$4000,4,FALSE),""))</f>
        <v>1800</v>
      </c>
      <c r="E397" s="14">
        <f>IF(IFERROR(VLOOKUP($B397,LINCE!$A$5:$E$4000,5,FALSE),"")=0,"",IFERROR(VLOOKUP($B397,LINCE!$A$5:$E$4000,5,FALSE),""))</f>
        <v>46</v>
      </c>
    </row>
    <row r="398" spans="1:5" ht="129.94999999999999" hidden="1" customHeight="1" x14ac:dyDescent="0.25">
      <c r="A398" s="1"/>
      <c r="B398" s="3">
        <v>8703041</v>
      </c>
      <c r="C398" s="4" t="str">
        <f>IF(IFERROR(VLOOKUP($B398,LINCE!$A$5:$D$4000,3,FALSE),"")=0,"",IFERROR(VLOOKUP($B398,LINCE!$A$5:$D$4000,3,FALSE),""))</f>
        <v>PIST. CUERO SAQUE RAPID 1041 TB TB</v>
      </c>
      <c r="D398" s="4">
        <f>IF(IFERROR(VLOOKUP($B398,LINCE!$A$5:$D$4000,4,FALSE),"")=0,"",IFERROR(VLOOKUP($B398,LINCE!$A$5:$D$4000,4,FALSE),""))</f>
        <v>2520</v>
      </c>
      <c r="E398" s="14">
        <f>IF(IFERROR(VLOOKUP($B398,LINCE!$A$5:$E$4000,5,FALSE),"")=0,"",IFERROR(VLOOKUP($B398,LINCE!$A$5:$E$4000,5,FALSE),""))</f>
        <v>10</v>
      </c>
    </row>
    <row r="399" spans="1:5" ht="129.94999999999999" hidden="1" customHeight="1" x14ac:dyDescent="0.25">
      <c r="A399" s="1"/>
      <c r="B399" s="3">
        <v>8703926</v>
      </c>
      <c r="C399" s="4" t="str">
        <f>IF(IFERROR(VLOOKUP($B399,LINCE!$A$5:$D$4000,3,FALSE),"")=0,"",IFERROR(VLOOKUP($B399,LINCE!$A$5:$D$4000,3,FALSE),""))</f>
        <v>PIST. TERMO. BERSA TPB EM</v>
      </c>
      <c r="D399" s="4">
        <f>IF(IFERROR(VLOOKUP($B399,LINCE!$A$5:$D$4000,4,FALSE),"")=0,"",IFERROR(VLOOKUP($B399,LINCE!$A$5:$D$4000,4,FALSE),""))</f>
        <v>990</v>
      </c>
      <c r="E399" s="14">
        <f>IF(IFERROR(VLOOKUP($B399,LINCE!$A$5:$E$4000,5,FALSE),"")=0,"",IFERROR(VLOOKUP($B399,LINCE!$A$5:$E$4000,5,FALSE),""))</f>
        <v>47</v>
      </c>
    </row>
    <row r="400" spans="1:5" ht="129.94999999999999" hidden="1" customHeight="1" x14ac:dyDescent="0.25">
      <c r="A400" s="1"/>
      <c r="B400" s="3">
        <v>8703619</v>
      </c>
      <c r="C400" s="4" t="str">
        <f>IF(IFERROR(VLOOKUP($B400,LINCE!$A$5:$D$4000,3,FALSE),"")=0,"",IFERROR(VLOOKUP($B400,LINCE!$A$5:$D$4000,3,FALSE),""))</f>
        <v>PIST. POLIA RI¥ONERA POLIA MAZ</v>
      </c>
      <c r="D400" s="4">
        <f>IF(IFERROR(VLOOKUP($B400,LINCE!$A$5:$D$4000,4,FALSE),"")=0,"",IFERROR(VLOOKUP($B400,LINCE!$A$5:$D$4000,4,FALSE),""))</f>
        <v>838.52</v>
      </c>
      <c r="E400" s="14">
        <f>IF(IFERROR(VLOOKUP($B400,LINCE!$A$5:$E$4000,5,FALSE),"")=0,"",IFERROR(VLOOKUP($B400,LINCE!$A$5:$E$4000,5,FALSE),""))</f>
        <v>18</v>
      </c>
    </row>
    <row r="401" spans="1:5" ht="129.94999999999999" hidden="1" customHeight="1" x14ac:dyDescent="0.25">
      <c r="A401" s="1"/>
      <c r="B401" s="3">
        <v>8703615</v>
      </c>
      <c r="C401" s="4" t="str">
        <f>IF(IFERROR(VLOOKUP($B401,LINCE!$A$5:$D$4000,3,FALSE),"")=0,"",IFERROR(VLOOKUP($B401,LINCE!$A$5:$D$4000,3,FALSE),""))</f>
        <v>PIST. POLIA MINI GUERRILLERA MAZ</v>
      </c>
      <c r="D401" s="4">
        <f>IF(IFERROR(VLOOKUP($B401,LINCE!$A$5:$D$4000,4,FALSE),"")=0,"",IFERROR(VLOOKUP($B401,LINCE!$A$5:$D$4000,4,FALSE),""))</f>
        <v>838.52</v>
      </c>
      <c r="E401" s="14">
        <f>IF(IFERROR(VLOOKUP($B401,LINCE!$A$5:$E$4000,5,FALSE),"")=0,"",IFERROR(VLOOKUP($B401,LINCE!$A$5:$E$4000,5,FALSE),""))</f>
        <v>6</v>
      </c>
    </row>
    <row r="402" spans="1:5" ht="129.94999999999999" hidden="1" customHeight="1" x14ac:dyDescent="0.25">
      <c r="A402" s="1"/>
      <c r="B402" s="3">
        <v>8703810</v>
      </c>
      <c r="C402" s="4" t="str">
        <f>IF(IFERROR(VLOOKUP($B402,LINCE!$A$5:$D$4000,3,FALSE),"")=0,"",IFERROR(VLOOKUP($B402,LINCE!$A$5:$D$4000,3,FALSE),""))</f>
        <v>PIST. POLIA GEO MAZ</v>
      </c>
      <c r="D402" s="4">
        <f>IF(IFERROR(VLOOKUP($B402,LINCE!$A$5:$D$4000,4,FALSE),"")=0,"",IFERROR(VLOOKUP($B402,LINCE!$A$5:$D$4000,4,FALSE),""))</f>
        <v>1118.03</v>
      </c>
      <c r="E402" s="14">
        <f>IF(IFERROR(VLOOKUP($B402,LINCE!$A$5:$E$4000,5,FALSE),"")=0,"",IFERROR(VLOOKUP($B402,LINCE!$A$5:$E$4000,5,FALSE),""))</f>
        <v>17</v>
      </c>
    </row>
    <row r="403" spans="1:5" ht="129.94999999999999" hidden="1" customHeight="1" x14ac:dyDescent="0.25">
      <c r="A403" s="1"/>
      <c r="B403" s="3">
        <v>8703550</v>
      </c>
      <c r="C403" s="4" t="str">
        <f>IF(IFERROR(VLOOKUP($B403,LINCE!$A$5:$D$4000,3,FALSE),"")=0,"",IFERROR(VLOOKUP($B403,LINCE!$A$5:$D$4000,3,FALSE),""))</f>
        <v/>
      </c>
      <c r="D403" s="4" t="str">
        <f>IF(IFERROR(VLOOKUP($B403,LINCE!$A$5:$D$4000,4,FALSE),"")=0,"",IFERROR(VLOOKUP($B403,LINCE!$A$5:$D$4000,4,FALSE),""))</f>
        <v/>
      </c>
      <c r="E403" s="14" t="str">
        <f>IF(IFERROR(VLOOKUP($B403,LINCE!$A$5:$E$4000,5,FALSE),"")=0,"",IFERROR(VLOOKUP($B403,LINCE!$A$5:$E$4000,5,FALSE),""))</f>
        <v/>
      </c>
    </row>
    <row r="404" spans="1:5" ht="129.94999999999999" hidden="1" customHeight="1" x14ac:dyDescent="0.25">
      <c r="A404" s="1"/>
      <c r="B404" s="3">
        <v>8703812</v>
      </c>
      <c r="C404" s="4" t="str">
        <f>IF(IFERROR(VLOOKUP($B404,LINCE!$A$5:$D$4000,3,FALSE),"")=0,"",IFERROR(VLOOKUP($B404,LINCE!$A$5:$D$4000,3,FALSE),""))</f>
        <v>PIST. POLIA CON PORTACARD MAZ</v>
      </c>
      <c r="D404" s="4">
        <f>IF(IFERROR(VLOOKUP($B404,LINCE!$A$5:$D$4000,4,FALSE),"")=0,"",IFERROR(VLOOKUP($B404,LINCE!$A$5:$D$4000,4,FALSE),""))</f>
        <v>1118.03</v>
      </c>
      <c r="E404" s="14">
        <f>IF(IFERROR(VLOOKUP($B404,LINCE!$A$5:$E$4000,5,FALSE),"")=0,"",IFERROR(VLOOKUP($B404,LINCE!$A$5:$E$4000,5,FALSE),""))</f>
        <v>55</v>
      </c>
    </row>
    <row r="405" spans="1:5" ht="129.94999999999999" hidden="1" customHeight="1" x14ac:dyDescent="0.25">
      <c r="A405" s="1"/>
      <c r="B405" s="3">
        <v>8703502</v>
      </c>
      <c r="C405" s="4" t="str">
        <f>IF(IFERROR(VLOOKUP($B405,LINCE!$A$5:$D$4000,3,FALSE),"")=0,"",IFERROR(VLOOKUP($B405,LINCE!$A$5:$D$4000,3,FALSE),""))</f>
        <v>PIST. TERMOFOR. PANQUEQ CTA T502 TB</v>
      </c>
      <c r="D405" s="4">
        <f>IF(IFERROR(VLOOKUP($B405,LINCE!$A$5:$D$4000,4,FALSE),"")=0,"",IFERROR(VLOOKUP($B405,LINCE!$A$5:$D$4000,4,FALSE),""))</f>
        <v>765.31</v>
      </c>
      <c r="E405" s="14">
        <f>IF(IFERROR(VLOOKUP($B405,LINCE!$A$5:$E$4000,5,FALSE),"")=0,"",IFERROR(VLOOKUP($B405,LINCE!$A$5:$E$4000,5,FALSE),""))</f>
        <v>2</v>
      </c>
    </row>
    <row r="406" spans="1:5" ht="129.94999999999999" hidden="1" customHeight="1" x14ac:dyDescent="0.25">
      <c r="A406" s="1"/>
      <c r="B406" s="3">
        <v>8703956</v>
      </c>
      <c r="C406" s="4" t="str">
        <f>IF(IFERROR(VLOOKUP($B406,LINCE!$A$5:$D$4000,3,FALSE),"")=0,"",IFERROR(VLOOKUP($B406,LINCE!$A$5:$D$4000,3,FALSE),""))</f>
        <v>PIST. NIVEL 2 TAURUS PT92 XTR</v>
      </c>
      <c r="D406" s="4">
        <f>IF(IFERROR(VLOOKUP($B406,LINCE!$A$5:$D$4000,4,FALSE),"")=0,"",IFERROR(VLOOKUP($B406,LINCE!$A$5:$D$4000,4,FALSE),""))</f>
        <v>3600</v>
      </c>
      <c r="E406" s="14">
        <f>IF(IFERROR(VLOOKUP($B406,LINCE!$A$5:$E$4000,5,FALSE),"")=0,"",IFERROR(VLOOKUP($B406,LINCE!$A$5:$E$4000,5,FALSE),""))</f>
        <v>4</v>
      </c>
    </row>
    <row r="407" spans="1:5" ht="129.94999999999999" hidden="1" customHeight="1" x14ac:dyDescent="0.25">
      <c r="A407" s="1"/>
      <c r="B407" s="3">
        <v>8703960</v>
      </c>
      <c r="C407" s="4" t="str">
        <f>IF(IFERROR(VLOOKUP($B407,LINCE!$A$5:$D$4000,3,FALSE),"")=0,"",IFERROR(VLOOKUP($B407,LINCE!$A$5:$D$4000,3,FALSE),""))</f>
        <v/>
      </c>
      <c r="D407" s="4" t="str">
        <f>IF(IFERROR(VLOOKUP($B407,LINCE!$A$5:$D$4000,4,FALSE),"")=0,"",IFERROR(VLOOKUP($B407,LINCE!$A$5:$D$4000,4,FALSE),""))</f>
        <v/>
      </c>
      <c r="E407" s="14" t="str">
        <f>IF(IFERROR(VLOOKUP($B407,LINCE!$A$5:$E$4000,5,FALSE),"")=0,"",IFERROR(VLOOKUP($B407,LINCE!$A$5:$E$4000,5,FALSE),""))</f>
        <v/>
      </c>
    </row>
    <row r="408" spans="1:5" ht="129.94999999999999" hidden="1" customHeight="1" x14ac:dyDescent="0.25">
      <c r="A408" s="1"/>
      <c r="B408" s="3">
        <v>8703241</v>
      </c>
      <c r="C408" s="4" t="str">
        <f>IF(IFERROR(VLOOKUP($B408,LINCE!$A$5:$D$4000,3,FALSE),"")=0,"",IFERROR(VLOOKUP($B408,LINCE!$A$5:$D$4000,3,FALSE),""))</f>
        <v>PIST. NIVEL 2 HN2-41 BERSA THUND/PRO FUN</v>
      </c>
      <c r="D408" s="4">
        <f>IF(IFERROR(VLOOKUP($B408,LINCE!$A$5:$D$4000,4,FALSE),"")=0,"",IFERROR(VLOOKUP($B408,LINCE!$A$5:$D$4000,4,FALSE),""))</f>
        <v>3289</v>
      </c>
      <c r="E408" s="14">
        <f>IF(IFERROR(VLOOKUP($B408,LINCE!$A$5:$E$4000,5,FALSE),"")=0,"",IFERROR(VLOOKUP($B408,LINCE!$A$5:$E$4000,5,FALSE),""))</f>
        <v>16</v>
      </c>
    </row>
    <row r="409" spans="1:5" ht="129.94999999999999" hidden="1" customHeight="1" x14ac:dyDescent="0.25">
      <c r="A409" s="1"/>
      <c r="B409" s="3">
        <v>8707113</v>
      </c>
      <c r="C409" s="4" t="str">
        <f>IF(IFERROR(VLOOKUP($B409,LINCE!$A$5:$D$4000,3,FALSE),"")=0,"",IFERROR(VLOOKUP($B409,LINCE!$A$5:$D$4000,3,FALSE),""))</f>
        <v>PIST. MOLLE RRD11 BLK</v>
      </c>
      <c r="D409" s="4">
        <f>IF(IFERROR(VLOOKUP($B409,LINCE!$A$5:$D$4000,4,FALSE),"")=0,"",IFERROR(VLOOKUP($B409,LINCE!$A$5:$D$4000,4,FALSE),""))</f>
        <v>700</v>
      </c>
      <c r="E409" s="14">
        <f>IF(IFERROR(VLOOKUP($B409,LINCE!$A$5:$E$4000,5,FALSE),"")=0,"",IFERROR(VLOOKUP($B409,LINCE!$A$5:$E$4000,5,FALSE),""))</f>
        <v>32</v>
      </c>
    </row>
    <row r="410" spans="1:5" ht="129.94999999999999" hidden="1" customHeight="1" x14ac:dyDescent="0.25">
      <c r="A410" s="1"/>
      <c r="B410" s="3">
        <v>8703500</v>
      </c>
      <c r="C410" s="4" t="str">
        <f>IF(IFERROR(VLOOKUP($B410,LINCE!$A$5:$D$4000,3,FALSE),"")=0,"",IFERROR(VLOOKUP($B410,LINCE!$A$5:$D$4000,3,FALSE),""))</f>
        <v>PIST. POLIA MINI ASTRA GUERR. MAZ</v>
      </c>
      <c r="D410" s="4">
        <f>IF(IFERROR(VLOOKUP($B410,LINCE!$A$5:$D$4000,4,FALSE),"")=0,"",IFERROR(VLOOKUP($B410,LINCE!$A$5:$D$4000,4,FALSE),""))</f>
        <v>838.52</v>
      </c>
      <c r="E410" s="14">
        <f>IF(IFERROR(VLOOKUP($B410,LINCE!$A$5:$E$4000,5,FALSE),"")=0,"",IFERROR(VLOOKUP($B410,LINCE!$A$5:$E$4000,5,FALSE),""))</f>
        <v>48</v>
      </c>
    </row>
    <row r="411" spans="1:5" ht="129.94999999999999" hidden="1" customHeight="1" x14ac:dyDescent="0.25">
      <c r="A411" s="1"/>
      <c r="B411" s="3">
        <v>8703240</v>
      </c>
      <c r="C411" s="4" t="str">
        <f>IF(IFERROR(VLOOKUP($B411,LINCE!$A$5:$D$4000,3,FALSE),"")=0,"",IFERROR(VLOOKUP($B411,LINCE!$A$5:$D$4000,3,FALSE),""))</f>
        <v>PIST. NIVEL 2 H.N240 TAU PT92/B92/96 FUN</v>
      </c>
      <c r="D411" s="4">
        <f>IF(IFERROR(VLOOKUP($B411,LINCE!$A$5:$D$4000,4,FALSE),"")=0,"",IFERROR(VLOOKUP($B411,LINCE!$A$5:$D$4000,4,FALSE),""))</f>
        <v>3289</v>
      </c>
      <c r="E411" s="14">
        <f>IF(IFERROR(VLOOKUP($B411,LINCE!$A$5:$E$4000,5,FALSE),"")=0,"",IFERROR(VLOOKUP($B411,LINCE!$A$5:$E$4000,5,FALSE),""))</f>
        <v>12</v>
      </c>
    </row>
    <row r="412" spans="1:5" ht="129.94999999999999" hidden="1" customHeight="1" x14ac:dyDescent="0.25">
      <c r="A412" s="1"/>
      <c r="B412" s="3">
        <v>8703241</v>
      </c>
      <c r="C412" s="4" t="str">
        <f>IF(IFERROR(VLOOKUP($B412,LINCE!$A$5:$D$4000,3,FALSE),"")=0,"",IFERROR(VLOOKUP($B412,LINCE!$A$5:$D$4000,3,FALSE),""))</f>
        <v>PIST. NIVEL 2 HN2-41 BERSA THUND/PRO FUN</v>
      </c>
      <c r="D412" s="4">
        <f>IF(IFERROR(VLOOKUP($B412,LINCE!$A$5:$D$4000,4,FALSE),"")=0,"",IFERROR(VLOOKUP($B412,LINCE!$A$5:$D$4000,4,FALSE),""))</f>
        <v>3289</v>
      </c>
      <c r="E412" s="14">
        <f>IF(IFERROR(VLOOKUP($B412,LINCE!$A$5:$E$4000,5,FALSE),"")=0,"",IFERROR(VLOOKUP($B412,LINCE!$A$5:$E$4000,5,FALSE),""))</f>
        <v>16</v>
      </c>
    </row>
    <row r="413" spans="1:5" ht="129.94999999999999" hidden="1" customHeight="1" x14ac:dyDescent="0.25">
      <c r="A413" s="1"/>
      <c r="B413" s="3">
        <v>8703702</v>
      </c>
      <c r="C413" s="4" t="str">
        <f>IF(IFERROR(VLOOKUP($B413,LINCE!$A$5:$D$4000,3,FALSE),"")=0,"",IFERROR(VLOOKUP($B413,LINCE!$A$5:$D$4000,3,FALSE),""))</f>
        <v>PIST. POLIA GUERR. UNIV NEGRA MAZ</v>
      </c>
      <c r="D413" s="4">
        <f>IF(IFERROR(VLOOKUP($B413,LINCE!$A$5:$D$4000,4,FALSE),"")=0,"",IFERROR(VLOOKUP($B413,LINCE!$A$5:$D$4000,4,FALSE),""))</f>
        <v>838.52</v>
      </c>
      <c r="E413" s="14">
        <f>IF(IFERROR(VLOOKUP($B413,LINCE!$A$5:$E$4000,5,FALSE),"")=0,"",IFERROR(VLOOKUP($B413,LINCE!$A$5:$E$4000,5,FALSE),""))</f>
        <v>10</v>
      </c>
    </row>
    <row r="414" spans="1:5" ht="129.94999999999999" hidden="1" customHeight="1" x14ac:dyDescent="0.25">
      <c r="A414" s="1"/>
      <c r="B414" s="3">
        <v>8703157</v>
      </c>
      <c r="C414" s="4" t="str">
        <f>IF(IFERROR(VLOOKUP($B414,LINCE!$A$5:$D$4000,3,FALSE),"")=0,"",IFERROR(VLOOKUP($B414,LINCE!$A$5:$D$4000,3,FALSE),""))</f>
        <v>FUNDA FOBUS 4147 TAURUS 24/7 C/BOT MIN</v>
      </c>
      <c r="D414" s="4">
        <f>IF(IFERROR(VLOOKUP($B414,LINCE!$A$5:$D$4000,4,FALSE),"")=0,"",IFERROR(VLOOKUP($B414,LINCE!$A$5:$D$4000,4,FALSE),""))</f>
        <v>4544.3500000000004</v>
      </c>
      <c r="E414" s="14">
        <f>IF(IFERROR(VLOOKUP($B414,LINCE!$A$5:$E$4000,5,FALSE),"")=0,"",IFERROR(VLOOKUP($B414,LINCE!$A$5:$E$4000,5,FALSE),""))</f>
        <v>4</v>
      </c>
    </row>
    <row r="415" spans="1:5" ht="129.94999999999999" hidden="1" customHeight="1" x14ac:dyDescent="0.25">
      <c r="A415" s="1"/>
      <c r="B415" s="3">
        <v>8703103</v>
      </c>
      <c r="C415" s="4" t="str">
        <f>IF(IFERROR(VLOOKUP($B415,LINCE!$A$5:$D$4000,3,FALSE),"")=0,"",IFERROR(VLOOKUP($B415,LINCE!$A$5:$D$4000,3,FALSE),""))</f>
        <v/>
      </c>
      <c r="D415" s="4" t="str">
        <f>IF(IFERROR(VLOOKUP($B415,LINCE!$A$5:$D$4000,4,FALSE),"")=0,"",IFERROR(VLOOKUP($B415,LINCE!$A$5:$D$4000,4,FALSE),""))</f>
        <v/>
      </c>
      <c r="E415" s="14" t="str">
        <f>IF(IFERROR(VLOOKUP($B415,LINCE!$A$5:$E$4000,5,FALSE),"")=0,"",IFERROR(VLOOKUP($B415,LINCE!$A$5:$E$4000,5,FALSE),""))</f>
        <v/>
      </c>
    </row>
    <row r="416" spans="1:5" ht="129.94999999999999" hidden="1" customHeight="1" x14ac:dyDescent="0.25">
      <c r="A416" s="1"/>
      <c r="B416" s="3">
        <v>8703811</v>
      </c>
      <c r="C416" s="4" t="str">
        <f>IF(IFERROR(VLOOKUP($B416,LINCE!$A$5:$D$4000,3,FALSE),"")=0,"",IFERROR(VLOOKUP($B416,LINCE!$A$5:$D$4000,3,FALSE),""))</f>
        <v>PIST. POLIA GEO CON PORTACARG MAZ</v>
      </c>
      <c r="D416" s="4">
        <f>IF(IFERROR(VLOOKUP($B416,LINCE!$A$5:$D$4000,4,FALSE),"")=0,"",IFERROR(VLOOKUP($B416,LINCE!$A$5:$D$4000,4,FALSE),""))</f>
        <v>1277.75</v>
      </c>
      <c r="E416" s="14">
        <f>IF(IFERROR(VLOOKUP($B416,LINCE!$A$5:$E$4000,5,FALSE),"")=0,"",IFERROR(VLOOKUP($B416,LINCE!$A$5:$E$4000,5,FALSE),""))</f>
        <v>10</v>
      </c>
    </row>
    <row r="417" spans="1:5" ht="129.94999999999999" hidden="1" customHeight="1" x14ac:dyDescent="0.25">
      <c r="A417" s="1"/>
      <c r="B417" s="3">
        <v>8703051</v>
      </c>
      <c r="C417" s="4" t="str">
        <f>IF(IFERROR(VLOOKUP($B417,LINCE!$A$5:$D$4000,3,FALSE),"")=0,"",IFERROR(VLOOKUP($B417,LINCE!$A$5:$D$4000,3,FALSE),""))</f>
        <v>PIST. CUERO TODO CALIBRE 1051 TB</v>
      </c>
      <c r="D417" s="4">
        <f>IF(IFERROR(VLOOKUP($B417,LINCE!$A$5:$D$4000,4,FALSE),"")=0,"",IFERROR(VLOOKUP($B417,LINCE!$A$5:$D$4000,4,FALSE),""))</f>
        <v>3150</v>
      </c>
      <c r="E417" s="14">
        <f>IF(IFERROR(VLOOKUP($B417,LINCE!$A$5:$E$4000,5,FALSE),"")=0,"",IFERROR(VLOOKUP($B417,LINCE!$A$5:$E$4000,5,FALSE),""))</f>
        <v>10</v>
      </c>
    </row>
    <row r="418" spans="1:5" ht="129.94999999999999" hidden="1" customHeight="1" x14ac:dyDescent="0.25">
      <c r="A418" s="1"/>
      <c r="B418" s="3">
        <v>8703036</v>
      </c>
      <c r="C418" s="4" t="str">
        <f>IF(IFERROR(VLOOKUP($B418,LINCE!$A$5:$D$4000,3,FALSE),"")=0,"",IFERROR(VLOOKUP($B418,LINCE!$A$5:$D$4000,3,FALSE),""))</f>
        <v>PIST CUERO PANQUEQ CORTA 1036 TB</v>
      </c>
      <c r="D418" s="4">
        <f>IF(IFERROR(VLOOKUP($B418,LINCE!$A$5:$D$4000,4,FALSE),"")=0,"",IFERROR(VLOOKUP($B418,LINCE!$A$5:$D$4000,4,FALSE),""))</f>
        <v>2100</v>
      </c>
      <c r="E418" s="14">
        <f>IF(IFERROR(VLOOKUP($B418,LINCE!$A$5:$E$4000,5,FALSE),"")=0,"",IFERROR(VLOOKUP($B418,LINCE!$A$5:$E$4000,5,FALSE),""))</f>
        <v>9</v>
      </c>
    </row>
    <row r="419" spans="1:5" ht="129.94999999999999" hidden="1" customHeight="1" x14ac:dyDescent="0.25">
      <c r="A419" s="1"/>
      <c r="B419" s="3">
        <v>8703038</v>
      </c>
      <c r="C419" s="4" t="str">
        <f>IF(IFERROR(VLOOKUP($B419,LINCE!$A$5:$D$4000,3,FALSE),"")=0,"",IFERROR(VLOOKUP($B419,LINCE!$A$5:$D$4000,3,FALSE),""))</f>
        <v>PIST. CUERO AVENGER/TAU/BE 1038 TB</v>
      </c>
      <c r="D419" s="4">
        <f>IF(IFERROR(VLOOKUP($B419,LINCE!$A$5:$D$4000,4,FALSE),"")=0,"",IFERROR(VLOOKUP($B419,LINCE!$A$5:$D$4000,4,FALSE),""))</f>
        <v>2850</v>
      </c>
      <c r="E419" s="14">
        <f>IF(IFERROR(VLOOKUP($B419,LINCE!$A$5:$E$4000,5,FALSE),"")=0,"",IFERROR(VLOOKUP($B419,LINCE!$A$5:$E$4000,5,FALSE),""))</f>
        <v>21</v>
      </c>
    </row>
    <row r="420" spans="1:5" ht="129.94999999999999" hidden="1" customHeight="1" x14ac:dyDescent="0.25">
      <c r="A420" s="1"/>
      <c r="B420" s="3">
        <v>8703207</v>
      </c>
      <c r="C420" s="4" t="str">
        <f>IF(IFERROR(VLOOKUP($B420,LINCE!$A$5:$D$4000,3,FALSE),"")=0,"",IFERROR(VLOOKUP($B420,LINCE!$A$5:$D$4000,3,FALSE),""))</f>
        <v>PIST. N5 AH PX4 AUTOMATIC HOLSTER DEG</v>
      </c>
      <c r="D420" s="4">
        <f>IF(IFERROR(VLOOKUP($B420,LINCE!$A$5:$D$4000,4,FALSE),"")=0,"",IFERROR(VLOOKUP($B420,LINCE!$A$5:$D$4000,4,FALSE),""))</f>
        <v>12990</v>
      </c>
      <c r="E420" s="14">
        <f>IF(IFERROR(VLOOKUP($B420,LINCE!$A$5:$E$4000,5,FALSE),"")=0,"",IFERROR(VLOOKUP($B420,LINCE!$A$5:$E$4000,5,FALSE),""))</f>
        <v>12</v>
      </c>
    </row>
    <row r="421" spans="1:5" ht="129.94999999999999" hidden="1" customHeight="1" x14ac:dyDescent="0.25">
      <c r="A421" s="1"/>
      <c r="B421" s="3">
        <v>8703205</v>
      </c>
      <c r="C421" s="4" t="str">
        <f>IF(IFERROR(VLOOKUP($B421,LINCE!$A$5:$D$4000,3,FALSE),"")=0,"",IFERROR(VLOOKUP($B421,LINCE!$A$5:$D$4000,3,FALSE),""))</f>
        <v>PIST. N5 AH FS92 AUTOMATIC HOLSTER DEG</v>
      </c>
      <c r="D421" s="4">
        <f>IF(IFERROR(VLOOKUP($B421,LINCE!$A$5:$D$4000,4,FALSE),"")=0,"",IFERROR(VLOOKUP($B421,LINCE!$A$5:$D$4000,4,FALSE),""))</f>
        <v>12990</v>
      </c>
      <c r="E421" s="14">
        <f>IF(IFERROR(VLOOKUP($B421,LINCE!$A$5:$E$4000,5,FALSE),"")=0,"",IFERROR(VLOOKUP($B421,LINCE!$A$5:$E$4000,5,FALSE),""))</f>
        <v>28</v>
      </c>
    </row>
    <row r="422" spans="1:5" ht="129.94999999999999" hidden="1" customHeight="1" x14ac:dyDescent="0.25">
      <c r="A422" s="1"/>
      <c r="B422" s="3">
        <v>8703206</v>
      </c>
      <c r="C422" s="4" t="str">
        <f>IF(IFERROR(VLOOKUP($B422,LINCE!$A$5:$D$4000,3,FALSE),"")=0,"",IFERROR(VLOOKUP($B422,LINCE!$A$5:$D$4000,3,FALSE),""))</f>
        <v>PIST. N5 AH GLOCK AUTOMATIC HOLSTER DEG</v>
      </c>
      <c r="D422" s="4">
        <f>IF(IFERROR(VLOOKUP($B422,LINCE!$A$5:$D$4000,4,FALSE),"")=0,"",IFERROR(VLOOKUP($B422,LINCE!$A$5:$D$4000,4,FALSE),""))</f>
        <v>12990</v>
      </c>
      <c r="E422" s="14">
        <f>IF(IFERROR(VLOOKUP($B422,LINCE!$A$5:$E$4000,5,FALSE),"")=0,"",IFERROR(VLOOKUP($B422,LINCE!$A$5:$E$4000,5,FALSE),""))</f>
        <v>19</v>
      </c>
    </row>
    <row r="423" spans="1:5" ht="129.94999999999999" hidden="1" customHeight="1" x14ac:dyDescent="0.25">
      <c r="A423" s="1"/>
      <c r="B423" s="3">
        <v>8703208</v>
      </c>
      <c r="C423" s="4" t="str">
        <f>IF(IFERROR(VLOOKUP($B423,LINCE!$A$5:$D$4000,3,FALSE),"")=0,"",IFERROR(VLOOKUP($B423,LINCE!$A$5:$D$4000,3,FALSE),""))</f>
        <v>PIST. N5 AH BERSA THUNDER PRO AUTOM DEG</v>
      </c>
      <c r="D423" s="4">
        <f>IF(IFERROR(VLOOKUP($B423,LINCE!$A$5:$D$4000,4,FALSE),"")=0,"",IFERROR(VLOOKUP($B423,LINCE!$A$5:$D$4000,4,FALSE),""))</f>
        <v>12990</v>
      </c>
      <c r="E423" s="14">
        <f>IF(IFERROR(VLOOKUP($B423,LINCE!$A$5:$E$4000,5,FALSE),"")=0,"",IFERROR(VLOOKUP($B423,LINCE!$A$5:$E$4000,5,FALSE),""))</f>
        <v>38</v>
      </c>
    </row>
    <row r="424" spans="1:5" ht="129.94999999999999" hidden="1" customHeight="1" x14ac:dyDescent="0.25">
      <c r="A424" s="1"/>
      <c r="B424" s="3">
        <v>8703557</v>
      </c>
      <c r="C424" s="4" t="str">
        <f>IF(IFERROR(VLOOKUP($B424,LINCE!$A$5:$D$4000,3,FALSE),"")=0,"",IFERROR(VLOOKUP($B424,LINCE!$A$5:$D$4000,3,FALSE),""))</f>
        <v/>
      </c>
      <c r="D424" s="4" t="str">
        <f>IF(IFERROR(VLOOKUP($B424,LINCE!$A$5:$D$4000,4,FALSE),"")=0,"",IFERROR(VLOOKUP($B424,LINCE!$A$5:$D$4000,4,FALSE),""))</f>
        <v/>
      </c>
      <c r="E424" s="14" t="str">
        <f>IF(IFERROR(VLOOKUP($B424,LINCE!$A$5:$E$4000,5,FALSE),"")=0,"",IFERROR(VLOOKUP($B424,LINCE!$A$5:$E$4000,5,FALSE),""))</f>
        <v/>
      </c>
    </row>
    <row r="425" spans="1:5" ht="129.94999999999999" hidden="1" customHeight="1" x14ac:dyDescent="0.25">
      <c r="A425" s="1"/>
      <c r="B425" s="3">
        <v>8703250</v>
      </c>
      <c r="C425" s="4" t="str">
        <f>IF(IFERROR(VLOOKUP($B425,LINCE!$A$5:$D$4000,3,FALSE),"")=0,"",IFERROR(VLOOKUP($B425,LINCE!$A$5:$D$4000,3,FALSE),""))</f>
        <v>MUSLERA TACTICA DELTA STM2050 EZ</v>
      </c>
      <c r="D425" s="4">
        <f>IF(IFERROR(VLOOKUP($B425,LINCE!$A$5:$D$4000,4,FALSE),"")=0,"",IFERROR(VLOOKUP($B425,LINCE!$A$5:$D$4000,4,FALSE),""))</f>
        <v>3061.29</v>
      </c>
      <c r="E425" s="14">
        <f>IF(IFERROR(VLOOKUP($B425,LINCE!$A$5:$E$4000,5,FALSE),"")=0,"",IFERROR(VLOOKUP($B425,LINCE!$A$5:$E$4000,5,FALSE),""))</f>
        <v>90</v>
      </c>
    </row>
    <row r="426" spans="1:5" ht="129.94999999999999" hidden="1" customHeight="1" x14ac:dyDescent="0.25">
      <c r="A426" s="1"/>
      <c r="B426" s="3">
        <v>8703197</v>
      </c>
      <c r="C426" s="4" t="str">
        <f>IF(IFERROR(VLOOKUP($B426,LINCE!$A$5:$D$4000,3,FALSE),"")=0,"",IFERROR(VLOOKUP($B426,LINCE!$A$5:$D$4000,3,FALSE),""))</f>
        <v>MUSLERA CON P/CARGADOR STD MUS-197 KAE</v>
      </c>
      <c r="D426" s="4">
        <f>IF(IFERROR(VLOOKUP($B426,LINCE!$A$5:$D$4000,4,FALSE),"")=0,"",IFERROR(VLOOKUP($B426,LINCE!$A$5:$D$4000,4,FALSE),""))</f>
        <v>1682.19</v>
      </c>
      <c r="E426" s="14">
        <f>IF(IFERROR(VLOOKUP($B426,LINCE!$A$5:$E$4000,5,FALSE),"")=0,"",IFERROR(VLOOKUP($B426,LINCE!$A$5:$E$4000,5,FALSE),""))</f>
        <v>114</v>
      </c>
    </row>
    <row r="427" spans="1:5" ht="129.94999999999999" hidden="1" customHeight="1" x14ac:dyDescent="0.25">
      <c r="A427" s="1"/>
      <c r="B427" s="3">
        <v>8708198</v>
      </c>
      <c r="C427" s="4" t="str">
        <f>IF(IFERROR(VLOOKUP($B427,LINCE!$A$5:$D$4000,3,FALSE),"")=0,"",IFERROR(VLOOKUP($B427,LINCE!$A$5:$D$4000,3,FALSE),""))</f>
        <v/>
      </c>
      <c r="D427" s="4" t="str">
        <f>IF(IFERROR(VLOOKUP($B427,LINCE!$A$5:$D$4000,4,FALSE),"")=0,"",IFERROR(VLOOKUP($B427,LINCE!$A$5:$D$4000,4,FALSE),""))</f>
        <v/>
      </c>
      <c r="E427" s="14" t="str">
        <f>IF(IFERROR(VLOOKUP($B427,LINCE!$A$5:$E$4000,5,FALSE),"")=0,"",IFERROR(VLOOKUP($B427,LINCE!$A$5:$E$4000,5,FALSE),""))</f>
        <v/>
      </c>
    </row>
    <row r="428" spans="1:5" ht="129.94999999999999" hidden="1" customHeight="1" x14ac:dyDescent="0.25">
      <c r="A428" s="1"/>
      <c r="B428" s="3">
        <v>8703018</v>
      </c>
      <c r="C428" s="4" t="str">
        <f>IF(IFERROR(VLOOKUP($B428,LINCE!$A$5:$D$4000,3,FALSE),"")=0,"",IFERROR(VLOOKUP($B428,LINCE!$A$5:$D$4000,3,FALSE),""))</f>
        <v>MUSLERA PORTAOBJETO 2 TIRAPIERNA T618 TB</v>
      </c>
      <c r="D428" s="4">
        <f>IF(IFERROR(VLOOKUP($B428,LINCE!$A$5:$D$4000,4,FALSE),"")=0,"",IFERROR(VLOOKUP($B428,LINCE!$A$5:$D$4000,4,FALSE),""))</f>
        <v>1680</v>
      </c>
      <c r="E428" s="14">
        <f>IF(IFERROR(VLOOKUP($B428,LINCE!$A$5:$E$4000,5,FALSE),"")=0,"",IFERROR(VLOOKUP($B428,LINCE!$A$5:$E$4000,5,FALSE),""))</f>
        <v>9</v>
      </c>
    </row>
    <row r="429" spans="1:5" ht="129.94999999999999" hidden="1" customHeight="1" x14ac:dyDescent="0.25">
      <c r="A429" s="1"/>
      <c r="B429" s="3">
        <v>8708049</v>
      </c>
      <c r="C429" s="4" t="str">
        <f>IF(IFERROR(VLOOKUP($B429,LINCE!$A$5:$D$4000,3,FALSE),"")=0,"",IFERROR(VLOOKUP($B429,LINCE!$A$5:$D$4000,3,FALSE),""))</f>
        <v/>
      </c>
      <c r="D429" s="4" t="str">
        <f>IF(IFERROR(VLOOKUP($B429,LINCE!$A$5:$D$4000,4,FALSE),"")=0,"",IFERROR(VLOOKUP($B429,LINCE!$A$5:$D$4000,4,FALSE),""))</f>
        <v/>
      </c>
      <c r="E429" s="14" t="str">
        <f>IF(IFERROR(VLOOKUP($B429,LINCE!$A$5:$E$4000,5,FALSE),"")=0,"",IFERROR(VLOOKUP($B429,LINCE!$A$5:$E$4000,5,FALSE),""))</f>
        <v/>
      </c>
    </row>
    <row r="430" spans="1:5" ht="129.94999999999999" hidden="1" customHeight="1" x14ac:dyDescent="0.25">
      <c r="A430" s="1"/>
      <c r="B430" s="3">
        <v>8703200</v>
      </c>
      <c r="C430" s="4" t="str">
        <f>IF(IFERROR(VLOOKUP($B430,LINCE!$A$5:$D$4000,3,FALSE),"")=0,"",IFERROR(VLOOKUP($B430,LINCE!$A$5:$D$4000,3,FALSE),""))</f>
        <v>MUSLERA TACTICA UNIVERSAL EZ</v>
      </c>
      <c r="D430" s="4">
        <f>IF(IFERROR(VLOOKUP($B430,LINCE!$A$5:$D$4000,4,FALSE),"")=0,"",IFERROR(VLOOKUP($B430,LINCE!$A$5:$D$4000,4,FALSE),""))</f>
        <v>2419.9899999999998</v>
      </c>
      <c r="E430" s="14">
        <f>IF(IFERROR(VLOOKUP($B430,LINCE!$A$5:$E$4000,5,FALSE),"")=0,"",IFERROR(VLOOKUP($B430,LINCE!$A$5:$E$4000,5,FALSE),""))</f>
        <v>150</v>
      </c>
    </row>
    <row r="431" spans="1:5" ht="129.94999999999999" hidden="1" customHeight="1" x14ac:dyDescent="0.25">
      <c r="A431" s="1"/>
      <c r="B431" s="3">
        <v>8703252</v>
      </c>
      <c r="C431" s="4" t="str">
        <f>IF(IFERROR(VLOOKUP($B431,LINCE!$A$5:$D$4000,3,FALSE),"")=0,"",IFERROR(VLOOKUP($B431,LINCE!$A$5:$D$4000,3,FALSE),""))</f>
        <v/>
      </c>
      <c r="D431" s="4" t="str">
        <f>IF(IFERROR(VLOOKUP($B431,LINCE!$A$5:$D$4000,4,FALSE),"")=0,"",IFERROR(VLOOKUP($B431,LINCE!$A$5:$D$4000,4,FALSE),""))</f>
        <v/>
      </c>
      <c r="E431" s="14" t="str">
        <f>IF(IFERROR(VLOOKUP($B431,LINCE!$A$5:$E$4000,5,FALSE),"")=0,"",IFERROR(VLOOKUP($B431,LINCE!$A$5:$E$4000,5,FALSE),""))</f>
        <v/>
      </c>
    </row>
    <row r="432" spans="1:5" ht="129.94999999999999" hidden="1" customHeight="1" x14ac:dyDescent="0.25">
      <c r="A432" s="1"/>
      <c r="B432" s="3">
        <v>8708196</v>
      </c>
      <c r="C432" s="4" t="str">
        <f>IF(IFERROR(VLOOKUP($B432,LINCE!$A$5:$D$4000,3,FALSE),"")=0,"",IFERROR(VLOOKUP($B432,LINCE!$A$5:$D$4000,3,FALSE),""))</f>
        <v>MUSLERA ESCORPION STD MUS-196 KAE</v>
      </c>
      <c r="D432" s="4">
        <f>IF(IFERROR(VLOOKUP($B432,LINCE!$A$5:$D$4000,4,FALSE),"")=0,"",IFERROR(VLOOKUP($B432,LINCE!$A$5:$D$4000,4,FALSE),""))</f>
        <v>1515.35</v>
      </c>
      <c r="E432" s="14">
        <f>IF(IFERROR(VLOOKUP($B432,LINCE!$A$5:$E$4000,5,FALSE),"")=0,"",IFERROR(VLOOKUP($B432,LINCE!$A$5:$E$4000,5,FALSE),""))</f>
        <v>91</v>
      </c>
    </row>
    <row r="433" spans="1:5" ht="129.94999999999999" hidden="1" customHeight="1" x14ac:dyDescent="0.25">
      <c r="A433" s="1"/>
      <c r="B433" s="3">
        <v>8703162</v>
      </c>
      <c r="C433" s="4" t="str">
        <f>IF(IFERROR(VLOOKUP($B433,LINCE!$A$5:$D$4000,3,FALSE),"")=0,"",IFERROR(VLOOKUP($B433,LINCE!$A$5:$D$4000,3,FALSE),""))</f>
        <v>MUSLERA PARA FOBUS ETCH 04 ETC</v>
      </c>
      <c r="D433" s="4">
        <f>IF(IFERROR(VLOOKUP($B433,LINCE!$A$5:$D$4000,4,FALSE),"")=0,"",IFERROR(VLOOKUP($B433,LINCE!$A$5:$D$4000,4,FALSE),""))</f>
        <v>700</v>
      </c>
      <c r="E433" s="14">
        <f>IF(IFERROR(VLOOKUP($B433,LINCE!$A$5:$E$4000,5,FALSE),"")=0,"",IFERROR(VLOOKUP($B433,LINCE!$A$5:$E$4000,5,FALSE),""))</f>
        <v>5</v>
      </c>
    </row>
    <row r="434" spans="1:5" ht="129.94999999999999" hidden="1" customHeight="1" x14ac:dyDescent="0.25">
      <c r="A434" s="1"/>
      <c r="B434" s="3">
        <v>8703376</v>
      </c>
      <c r="C434" s="4" t="str">
        <f>IF(IFERROR(VLOOKUP($B434,LINCE!$A$5:$D$4000,3,FALSE),"")=0,"",IFERROR(VLOOKUP($B434,LINCE!$A$5:$D$4000,3,FALSE),""))</f>
        <v/>
      </c>
      <c r="D434" s="4" t="str">
        <f>IF(IFERROR(VLOOKUP($B434,LINCE!$A$5:$D$4000,4,FALSE),"")=0,"",IFERROR(VLOOKUP($B434,LINCE!$A$5:$D$4000,4,FALSE),""))</f>
        <v/>
      </c>
      <c r="E434" s="14" t="str">
        <f>IF(IFERROR(VLOOKUP($B434,LINCE!$A$5:$E$4000,5,FALSE),"")=0,"",IFERROR(VLOOKUP($B434,LINCE!$A$5:$E$4000,5,FALSE),""))</f>
        <v/>
      </c>
    </row>
    <row r="435" spans="1:5" ht="129.94999999999999" hidden="1" customHeight="1" x14ac:dyDescent="0.25">
      <c r="A435" s="1"/>
      <c r="B435" s="3">
        <v>8703110</v>
      </c>
      <c r="C435" s="4" t="str">
        <f>IF(IFERROR(VLOOKUP($B435,LINCE!$A$5:$D$4000,3,FALSE),"")=0,"",IFERROR(VLOOKUP($B435,LINCE!$A$5:$D$4000,3,FALSE),""))</f>
        <v>MUSLERA GEO D/SEGURO MAZ</v>
      </c>
      <c r="D435" s="4">
        <f>IF(IFERROR(VLOOKUP($B435,LINCE!$A$5:$D$4000,4,FALSE),"")=0,"",IFERROR(VLOOKUP($B435,LINCE!$A$5:$D$4000,4,FALSE),""))</f>
        <v>1716.98</v>
      </c>
      <c r="E435" s="14">
        <f>IF(IFERROR(VLOOKUP($B435,LINCE!$A$5:$E$4000,5,FALSE),"")=0,"",IFERROR(VLOOKUP($B435,LINCE!$A$5:$E$4000,5,FALSE),""))</f>
        <v>10</v>
      </c>
    </row>
    <row r="436" spans="1:5" ht="129.94999999999999" hidden="1" customHeight="1" x14ac:dyDescent="0.25">
      <c r="A436" s="1"/>
      <c r="B436" s="3">
        <v>8708213</v>
      </c>
      <c r="C436" s="4" t="str">
        <f>IF(IFERROR(VLOOKUP($B436,LINCE!$A$5:$D$4000,3,FALSE),"")=0,"",IFERROR(VLOOKUP($B436,LINCE!$A$5:$D$4000,3,FALSE),""))</f>
        <v>MUSLERA DOUCAD MUS-213 KAE</v>
      </c>
      <c r="D436" s="4">
        <f>IF(IFERROR(VLOOKUP($B436,LINCE!$A$5:$D$4000,4,FALSE),"")=0,"",IFERROR(VLOOKUP($B436,LINCE!$A$5:$D$4000,4,FALSE),""))</f>
        <v>2141.38</v>
      </c>
      <c r="E436" s="14">
        <f>IF(IFERROR(VLOOKUP($B436,LINCE!$A$5:$E$4000,5,FALSE),"")=0,"",IFERROR(VLOOKUP($B436,LINCE!$A$5:$E$4000,5,FALSE),""))</f>
        <v>5</v>
      </c>
    </row>
    <row r="437" spans="1:5" ht="129.94999999999999" hidden="1" customHeight="1" x14ac:dyDescent="0.25">
      <c r="A437" s="1"/>
      <c r="B437" s="3">
        <v>8703641</v>
      </c>
      <c r="C437" s="4" t="str">
        <f>IF(IFERROR(VLOOKUP($B437,LINCE!$A$5:$D$4000,3,FALSE),"")=0,"",IFERROR(VLOOKUP($B437,LINCE!$A$5:$D$4000,3,FALSE),""))</f>
        <v>MUSLERA C/PORTACARG.POLIA MAZ</v>
      </c>
      <c r="D437" s="4">
        <f>IF(IFERROR(VLOOKUP($B437,LINCE!$A$5:$D$4000,4,FALSE),"")=0,"",IFERROR(VLOOKUP($B437,LINCE!$A$5:$D$4000,4,FALSE),""))</f>
        <v>1477.4</v>
      </c>
      <c r="E437" s="14">
        <f>IF(IFERROR(VLOOKUP($B437,LINCE!$A$5:$E$4000,5,FALSE),"")=0,"",IFERROR(VLOOKUP($B437,LINCE!$A$5:$E$4000,5,FALSE),""))</f>
        <v>1</v>
      </c>
    </row>
    <row r="438" spans="1:5" ht="129.94999999999999" hidden="1" customHeight="1" x14ac:dyDescent="0.25">
      <c r="A438" s="1"/>
      <c r="B438" s="3">
        <v>8703017</v>
      </c>
      <c r="C438" s="4" t="str">
        <f>IF(IFERROR(VLOOKUP($B438,LINCE!$A$5:$D$4000,3,FALSE),"")=0,"",IFERROR(VLOOKUP($B438,LINCE!$A$5:$D$4000,3,FALSE),""))</f>
        <v>MUSLERA P/CARG DOBLE Y P/ESPOSAS</v>
      </c>
      <c r="D438" s="4">
        <f>IF(IFERROR(VLOOKUP($B438,LINCE!$A$5:$D$4000,4,FALSE),"")=0,"",IFERROR(VLOOKUP($B438,LINCE!$A$5:$D$4000,4,FALSE),""))</f>
        <v>2197.5</v>
      </c>
      <c r="E438" s="14">
        <f>IF(IFERROR(VLOOKUP($B438,LINCE!$A$5:$E$4000,5,FALSE),"")=0,"",IFERROR(VLOOKUP($B438,LINCE!$A$5:$E$4000,5,FALSE),""))</f>
        <v>2</v>
      </c>
    </row>
    <row r="439" spans="1:5" ht="129.94999999999999" hidden="1" customHeight="1" x14ac:dyDescent="0.25">
      <c r="A439" s="1"/>
      <c r="B439" s="3">
        <v>8703699</v>
      </c>
      <c r="C439" s="4" t="str">
        <f>IF(IFERROR(VLOOKUP($B439,LINCE!$A$5:$D$4000,3,FALSE),"")=0,"",IFERROR(VLOOKUP($B439,LINCE!$A$5:$D$4000,3,FALSE),""))</f>
        <v>MUSLERA ANATOMICA C PORTA CARGAD T609 TB</v>
      </c>
      <c r="D439" s="4">
        <f>IF(IFERROR(VLOOKUP($B439,LINCE!$A$5:$D$4000,4,FALSE),"")=0,"",IFERROR(VLOOKUP($B439,LINCE!$A$5:$D$4000,4,FALSE),""))</f>
        <v>2250</v>
      </c>
      <c r="E439" s="14">
        <f>IF(IFERROR(VLOOKUP($B439,LINCE!$A$5:$E$4000,5,FALSE),"")=0,"",IFERROR(VLOOKUP($B439,LINCE!$A$5:$E$4000,5,FALSE),""))</f>
        <v>31</v>
      </c>
    </row>
    <row r="440" spans="1:5" ht="129.94999999999999" hidden="1" customHeight="1" x14ac:dyDescent="0.25">
      <c r="A440" s="1"/>
      <c r="B440" s="3">
        <v>8703601</v>
      </c>
      <c r="C440" s="4" t="str">
        <f>IF(IFERROR(VLOOKUP($B440,LINCE!$A$5:$D$4000,3,FALSE),"")=0,"",IFERROR(VLOOKUP($B440,LINCE!$A$5:$D$4000,3,FALSE),""))</f>
        <v>PIST. POLIA FUNDA INT UNIVERSAL T601 TB</v>
      </c>
      <c r="D440" s="4">
        <f>IF(IFERROR(VLOOKUP($B440,LINCE!$A$5:$D$4000,4,FALSE),"")=0,"",IFERROR(VLOOKUP($B440,LINCE!$A$5:$D$4000,4,FALSE),""))</f>
        <v>850</v>
      </c>
      <c r="E440" s="14">
        <f>IF(IFERROR(VLOOKUP($B440,LINCE!$A$5:$E$4000,5,FALSE),"")=0,"",IFERROR(VLOOKUP($B440,LINCE!$A$5:$E$4000,5,FALSE),""))</f>
        <v>15</v>
      </c>
    </row>
    <row r="441" spans="1:5" ht="129.94999999999999" hidden="1" customHeight="1" x14ac:dyDescent="0.25">
      <c r="A441" s="1"/>
      <c r="B441" s="3">
        <v>8703004</v>
      </c>
      <c r="C441" s="4" t="str">
        <f>IF(IFERROR(VLOOKUP($B441,LINCE!$A$5:$D$4000,3,FALSE),"")=0,"",IFERROR(VLOOKUP($B441,LINCE!$A$5:$D$4000,3,FALSE),""))</f>
        <v>FUNDA GAMUZA CON FLEJE 1044 TB</v>
      </c>
      <c r="D441" s="4">
        <f>IF(IFERROR(VLOOKUP($B441,LINCE!$A$5:$D$4000,4,FALSE),"")=0,"",IFERROR(VLOOKUP($B441,LINCE!$A$5:$D$4000,4,FALSE),""))</f>
        <v>1470</v>
      </c>
      <c r="E441" s="14">
        <f>IF(IFERROR(VLOOKUP($B441,LINCE!$A$5:$E$4000,5,FALSE),"")=0,"",IFERROR(VLOOKUP($B441,LINCE!$A$5:$E$4000,5,FALSE),""))</f>
        <v>14</v>
      </c>
    </row>
    <row r="442" spans="1:5" ht="129.94999999999999" hidden="1" customHeight="1" x14ac:dyDescent="0.25">
      <c r="A442" s="1"/>
      <c r="B442" s="3">
        <v>8703703</v>
      </c>
      <c r="C442" s="4" t="str">
        <f>IF(IFERROR(VLOOKUP($B442,LINCE!$A$5:$D$4000,3,FALSE),"")=0,"",IFERROR(VLOOKUP($B442,LINCE!$A$5:$D$4000,3,FALSE),""))</f>
        <v>FUNDA DE CUERO CON FLEJE 1044 TB</v>
      </c>
      <c r="D442" s="4">
        <f>IF(IFERROR(VLOOKUP($B442,LINCE!$A$5:$D$4000,4,FALSE),"")=0,"",IFERROR(VLOOKUP($B442,LINCE!$A$5:$D$4000,4,FALSE),""))</f>
        <v>1224.52</v>
      </c>
      <c r="E442" s="14">
        <f>IF(IFERROR(VLOOKUP($B442,LINCE!$A$5:$E$4000,5,FALSE),"")=0,"",IFERROR(VLOOKUP($B442,LINCE!$A$5:$E$4000,5,FALSE),""))</f>
        <v>23</v>
      </c>
    </row>
    <row r="443" spans="1:5" ht="129.94999999999999" hidden="1" customHeight="1" x14ac:dyDescent="0.25">
      <c r="A443" s="1"/>
      <c r="B443" s="3">
        <v>8203830</v>
      </c>
      <c r="C443" s="4" t="str">
        <f>IF(IFERROR(VLOOKUP($B443,LINCE!$A$5:$D$4000,3,FALSE),"")=0,"",IFERROR(VLOOKUP($B443,LINCE!$A$5:$D$4000,3,FALSE),""))</f>
        <v>ZAPATO GOMA ELE</v>
      </c>
      <c r="D443" s="4">
        <f>IF(IFERROR(VLOOKUP($B443,LINCE!$A$5:$D$4000,4,FALSE),"")=0,"",IFERROR(VLOOKUP($B443,LINCE!$A$5:$D$4000,4,FALSE),""))</f>
        <v>4499.99</v>
      </c>
      <c r="E443" s="14">
        <f>IF(IFERROR(VLOOKUP($B443,LINCE!$A$5:$E$4000,5,FALSE),"")=0,"",IFERROR(VLOOKUP($B443,LINCE!$A$5:$E$4000,5,FALSE),""))</f>
        <v>189</v>
      </c>
    </row>
    <row r="444" spans="1:5" ht="129.94999999999999" hidden="1" customHeight="1" x14ac:dyDescent="0.25">
      <c r="A444" s="1"/>
      <c r="B444" s="3">
        <v>8203265</v>
      </c>
      <c r="C444" s="4" t="str">
        <f>IF(IFERROR(VLOOKUP($B444,LINCE!$A$5:$D$4000,3,FALSE),"")=0,"",IFERROR(VLOOKUP($B444,LINCE!$A$5:$D$4000,3,FALSE),""))</f>
        <v>ZAPATO DAMA CUERO FLOR ART.265 RER</v>
      </c>
      <c r="D444" s="4">
        <f>IF(IFERROR(VLOOKUP($B444,LINCE!$A$5:$D$4000,4,FALSE),"")=0,"",IFERROR(VLOOKUP($B444,LINCE!$A$5:$D$4000,4,FALSE),""))</f>
        <v>5444.99</v>
      </c>
      <c r="E444" s="14">
        <f>IF(IFERROR(VLOOKUP($B444,LINCE!$A$5:$E$4000,5,FALSE),"")=0,"",IFERROR(VLOOKUP($B444,LINCE!$A$5:$E$4000,5,FALSE),""))</f>
        <v>7</v>
      </c>
    </row>
    <row r="445" spans="1:5" ht="129.94999999999999" hidden="1" customHeight="1" x14ac:dyDescent="0.25">
      <c r="A445" s="1"/>
      <c r="B445" s="3">
        <v>8505688</v>
      </c>
      <c r="C445" s="4" t="str">
        <f>IF(IFERROR(VLOOKUP($B445,LINCE!$A$5:$D$4000,3,FALSE),"")=0,"",IFERROR(VLOOKUP($B445,LINCE!$A$5:$D$4000,3,FALSE),""))</f>
        <v>VISERA BORD ORO SUB COMISARIO/COMIS DG</v>
      </c>
      <c r="D445" s="4">
        <f>IF(IFERROR(VLOOKUP($B445,LINCE!$A$5:$D$4000,4,FALSE),"")=0,"",IFERROR(VLOOKUP($B445,LINCE!$A$5:$D$4000,4,FALSE),""))</f>
        <v>3899.99</v>
      </c>
      <c r="E445" s="14">
        <f>IF(IFERROR(VLOOKUP($B445,LINCE!$A$5:$E$4000,5,FALSE),"")=0,"",IFERROR(VLOOKUP($B445,LINCE!$A$5:$E$4000,5,FALSE),""))</f>
        <v>2</v>
      </c>
    </row>
    <row r="446" spans="1:5" ht="129.94999999999999" hidden="1" customHeight="1" x14ac:dyDescent="0.25">
      <c r="A446" s="1"/>
      <c r="B446" s="3">
        <v>8505689</v>
      </c>
      <c r="C446" s="4" t="str">
        <f>IF(IFERROR(VLOOKUP($B446,LINCE!$A$5:$D$4000,3,FALSE),"")=0,"",IFERROR(VLOOKUP($B446,LINCE!$A$5:$D$4000,3,FALSE),""))</f>
        <v>VISERA BORD ORO CRIO. INSPECTOR DG</v>
      </c>
      <c r="D446" s="4">
        <f>IF(IFERROR(VLOOKUP($B446,LINCE!$A$5:$D$4000,4,FALSE),"")=0,"",IFERROR(VLOOKUP($B446,LINCE!$A$5:$D$4000,4,FALSE),""))</f>
        <v>4999.99</v>
      </c>
      <c r="E446" s="14" t="str">
        <f>IF(IFERROR(VLOOKUP($B446,LINCE!$A$5:$E$4000,5,FALSE),"")=0,"",IFERROR(VLOOKUP($B446,LINCE!$A$5:$E$4000,5,FALSE),""))</f>
        <v/>
      </c>
    </row>
    <row r="447" spans="1:5" ht="129.94999999999999" hidden="1" customHeight="1" x14ac:dyDescent="0.25">
      <c r="A447" s="1"/>
      <c r="B447" s="3">
        <v>2301046</v>
      </c>
      <c r="C447" s="4" t="str">
        <f>IF(IFERROR(VLOOKUP($B447,LINCE!$A$5:$D$4000,3,FALSE),"")=0,"",IFERROR(VLOOKUP($B447,LINCE!$A$5:$D$4000,3,FALSE),""))</f>
        <v>TRICOTA ESCOTE V SIN FORRO NEGRA EM</v>
      </c>
      <c r="D447" s="4">
        <f>IF(IFERROR(VLOOKUP($B447,LINCE!$A$5:$D$4000,4,FALSE),"")=0,"",IFERROR(VLOOKUP($B447,LINCE!$A$5:$D$4000,4,FALSE),""))</f>
        <v>2800</v>
      </c>
      <c r="E447" s="14">
        <f>IF(IFERROR(VLOOKUP($B447,LINCE!$A$5:$E$4000,5,FALSE),"")=0,"",IFERROR(VLOOKUP($B447,LINCE!$A$5:$E$4000,5,FALSE),""))</f>
        <v>219</v>
      </c>
    </row>
    <row r="448" spans="1:5" ht="129.94999999999999" hidden="1" customHeight="1" x14ac:dyDescent="0.25">
      <c r="A448" s="1"/>
      <c r="B448" s="3">
        <v>2301666</v>
      </c>
      <c r="C448" s="4" t="str">
        <f>IF(IFERROR(VLOOKUP($B448,LINCE!$A$5:$D$4000,3,FALSE),"")=0,"",IFERROR(VLOOKUP($B448,LINCE!$A$5:$D$4000,3,FALSE),""))</f>
        <v>TRICOTA ESCOTE V SIN FORRO AZUL EM</v>
      </c>
      <c r="D448" s="4">
        <f>IF(IFERROR(VLOOKUP($B448,LINCE!$A$5:$D$4000,4,FALSE),"")=0,"",IFERROR(VLOOKUP($B448,LINCE!$A$5:$D$4000,4,FALSE),""))</f>
        <v>2800</v>
      </c>
      <c r="E448" s="14">
        <f>IF(IFERROR(VLOOKUP($B448,LINCE!$A$5:$E$4000,5,FALSE),"")=0,"",IFERROR(VLOOKUP($B448,LINCE!$A$5:$E$4000,5,FALSE),""))</f>
        <v>340</v>
      </c>
    </row>
    <row r="449" spans="1:5" ht="129.94999999999999" hidden="1" customHeight="1" x14ac:dyDescent="0.25">
      <c r="A449" s="1"/>
      <c r="B449" s="3">
        <v>2301333</v>
      </c>
      <c r="C449" s="4" t="str">
        <f>IF(IFERROR(VLOOKUP($B449,LINCE!$A$5:$D$4000,3,FALSE),"")=0,"",IFERROR(VLOOKUP($B449,LINCE!$A$5:$D$4000,3,FALSE),""))</f>
        <v>TRICOTA CUELLO REDONDO VERDE EM</v>
      </c>
      <c r="D449" s="4">
        <f>IF(IFERROR(VLOOKUP($B449,LINCE!$A$5:$D$4000,4,FALSE),"")=0,"",IFERROR(VLOOKUP($B449,LINCE!$A$5:$D$4000,4,FALSE),""))</f>
        <v>2800</v>
      </c>
      <c r="E449" s="14">
        <f>IF(IFERROR(VLOOKUP($B449,LINCE!$A$5:$E$4000,5,FALSE),"")=0,"",IFERROR(VLOOKUP($B449,LINCE!$A$5:$E$4000,5,FALSE),""))</f>
        <v>133</v>
      </c>
    </row>
    <row r="450" spans="1:5" ht="129.94999999999999" hidden="1" customHeight="1" x14ac:dyDescent="0.25">
      <c r="A450" s="1"/>
      <c r="B450" s="3">
        <v>2301900</v>
      </c>
      <c r="C450" s="4" t="str">
        <f>IF(IFERROR(VLOOKUP($B450,LINCE!$A$5:$D$4000,3,FALSE),"")=0,"",IFERROR(VLOOKUP($B450,LINCE!$A$5:$D$4000,3,FALSE),""))</f>
        <v>TRICOTA CUELLO REDONDO NEGRA EM</v>
      </c>
      <c r="D450" s="4">
        <f>IF(IFERROR(VLOOKUP($B450,LINCE!$A$5:$D$4000,4,FALSE),"")=0,"",IFERROR(VLOOKUP($B450,LINCE!$A$5:$D$4000,4,FALSE),""))</f>
        <v>2800</v>
      </c>
      <c r="E450" s="14">
        <f>IF(IFERROR(VLOOKUP($B450,LINCE!$A$5:$E$4000,5,FALSE),"")=0,"",IFERROR(VLOOKUP($B450,LINCE!$A$5:$E$4000,5,FALSE),""))</f>
        <v>84</v>
      </c>
    </row>
    <row r="451" spans="1:5" ht="129.94999999999999" hidden="1" customHeight="1" x14ac:dyDescent="0.25">
      <c r="A451" s="1"/>
      <c r="B451" s="3">
        <v>2301777</v>
      </c>
      <c r="C451" s="4" t="str">
        <f>IF(IFERROR(VLOOKUP($B451,LINCE!$A$5:$D$4000,3,FALSE),"")=0,"",IFERROR(VLOOKUP($B451,LINCE!$A$5:$D$4000,3,FALSE),""))</f>
        <v>TRICOTA CUELLO REDONDO FORRADA AZUL EM</v>
      </c>
      <c r="D451" s="4">
        <f>IF(IFERROR(VLOOKUP($B451,LINCE!$A$5:$D$4000,4,FALSE),"")=0,"",IFERROR(VLOOKUP($B451,LINCE!$A$5:$D$4000,4,FALSE),""))</f>
        <v>2800</v>
      </c>
      <c r="E451" s="14">
        <f>IF(IFERROR(VLOOKUP($B451,LINCE!$A$5:$E$4000,5,FALSE),"")=0,"",IFERROR(VLOOKUP($B451,LINCE!$A$5:$E$4000,5,FALSE),""))</f>
        <v>274</v>
      </c>
    </row>
    <row r="452" spans="1:5" ht="129.94999999999999" hidden="1" customHeight="1" x14ac:dyDescent="0.25">
      <c r="A452" s="1"/>
      <c r="B452" s="3">
        <v>2301300</v>
      </c>
      <c r="C452" s="4" t="str">
        <f>IF(IFERROR(VLOOKUP($B452,LINCE!$A$5:$D$4000,3,FALSE),"")=0,"",IFERROR(VLOOKUP($B452,LINCE!$A$5:$D$4000,3,FALSE),""))</f>
        <v>TRICOTA C/POLERA FORRADA VERDE EM</v>
      </c>
      <c r="D452" s="4">
        <f>IF(IFERROR(VLOOKUP($B452,LINCE!$A$5:$D$4000,4,FALSE),"")=0,"",IFERROR(VLOOKUP($B452,LINCE!$A$5:$D$4000,4,FALSE),""))</f>
        <v>2800</v>
      </c>
      <c r="E452" s="14">
        <f>IF(IFERROR(VLOOKUP($B452,LINCE!$A$5:$E$4000,5,FALSE),"")=0,"",IFERROR(VLOOKUP($B452,LINCE!$A$5:$E$4000,5,FALSE),""))</f>
        <v>111</v>
      </c>
    </row>
    <row r="453" spans="1:5" ht="129.94999999999999" hidden="1" customHeight="1" x14ac:dyDescent="0.25">
      <c r="A453" s="1"/>
      <c r="B453" s="3">
        <v>2301048</v>
      </c>
      <c r="C453" s="4" t="str">
        <f>IF(IFERROR(VLOOKUP($B453,LINCE!$A$5:$D$4000,3,FALSE),"")=0,"",IFERROR(VLOOKUP($B453,LINCE!$A$5:$D$4000,3,FALSE),""))</f>
        <v>TRICOTA C/POLERA FORRADA NEGRA EM</v>
      </c>
      <c r="D453" s="4">
        <f>IF(IFERROR(VLOOKUP($B453,LINCE!$A$5:$D$4000,4,FALSE),"")=0,"",IFERROR(VLOOKUP($B453,LINCE!$A$5:$D$4000,4,FALSE),""))</f>
        <v>2800</v>
      </c>
      <c r="E453" s="14">
        <f>IF(IFERROR(VLOOKUP($B453,LINCE!$A$5:$E$4000,5,FALSE),"")=0,"",IFERROR(VLOOKUP($B453,LINCE!$A$5:$E$4000,5,FALSE),""))</f>
        <v>432</v>
      </c>
    </row>
    <row r="454" spans="1:5" ht="129.94999999999999" hidden="1" customHeight="1" x14ac:dyDescent="0.25">
      <c r="A454" s="1"/>
      <c r="B454" s="3">
        <v>2301158</v>
      </c>
      <c r="C454" s="4" t="str">
        <f>IF(IFERROR(VLOOKUP($B454,LINCE!$A$5:$D$4000,3,FALSE),"")=0,"",IFERROR(VLOOKUP($B454,LINCE!$A$5:$D$4000,3,FALSE),""))</f>
        <v>TRICOTA C/POLERA FORRADA GRIS EM</v>
      </c>
      <c r="D454" s="4">
        <f>IF(IFERROR(VLOOKUP($B454,LINCE!$A$5:$D$4000,4,FALSE),"")=0,"",IFERROR(VLOOKUP($B454,LINCE!$A$5:$D$4000,4,FALSE),""))</f>
        <v>2800</v>
      </c>
      <c r="E454" s="14">
        <f>IF(IFERROR(VLOOKUP($B454,LINCE!$A$5:$E$4000,5,FALSE),"")=0,"",IFERROR(VLOOKUP($B454,LINCE!$A$5:$E$4000,5,FALSE),""))</f>
        <v>355</v>
      </c>
    </row>
    <row r="455" spans="1:5" ht="129.94999999999999" hidden="1" customHeight="1" x14ac:dyDescent="0.25">
      <c r="A455" s="1"/>
      <c r="B455" s="3">
        <v>2301888</v>
      </c>
      <c r="C455" s="4" t="str">
        <f>IF(IFERROR(VLOOKUP($B455,LINCE!$A$5:$D$4000,3,FALSE),"")=0,"",IFERROR(VLOOKUP($B455,LINCE!$A$5:$D$4000,3,FALSE),""))</f>
        <v>TRICOTA C/POLERA FORRADA AZUL EM</v>
      </c>
      <c r="D455" s="4">
        <f>IF(IFERROR(VLOOKUP($B455,LINCE!$A$5:$D$4000,4,FALSE),"")=0,"",IFERROR(VLOOKUP($B455,LINCE!$A$5:$D$4000,4,FALSE),""))</f>
        <v>2800</v>
      </c>
      <c r="E455" s="14">
        <f>IF(IFERROR(VLOOKUP($B455,LINCE!$A$5:$E$4000,5,FALSE),"")=0,"",IFERROR(VLOOKUP($B455,LINCE!$A$5:$E$4000,5,FALSE),""))</f>
        <v>488</v>
      </c>
    </row>
    <row r="456" spans="1:5" ht="129.94999999999999" hidden="1" customHeight="1" x14ac:dyDescent="0.25">
      <c r="A456" s="1"/>
      <c r="B456" s="3">
        <v>2601003</v>
      </c>
      <c r="C456" s="4" t="str">
        <f>IF(IFERROR(VLOOKUP($B456,LINCE!$A$5:$D$4000,3,FALSE),"")=0,"",IFERROR(VLOOKUP($B456,LINCE!$A$5:$D$4000,3,FALSE),""))</f>
        <v>TRICOPOLAR NEGRO RER</v>
      </c>
      <c r="D456" s="4">
        <f>IF(IFERROR(VLOOKUP($B456,LINCE!$A$5:$D$4000,4,FALSE),"")=0,"",IFERROR(VLOOKUP($B456,LINCE!$A$5:$D$4000,4,FALSE),""))</f>
        <v>2299.9899999999998</v>
      </c>
      <c r="E456" s="14">
        <f>IF(IFERROR(VLOOKUP($B456,LINCE!$A$5:$E$4000,5,FALSE),"")=0,"",IFERROR(VLOOKUP($B456,LINCE!$A$5:$E$4000,5,FALSE),""))</f>
        <v>107</v>
      </c>
    </row>
    <row r="457" spans="1:5" ht="129.94999999999999" hidden="1" customHeight="1" x14ac:dyDescent="0.25">
      <c r="A457" s="1"/>
      <c r="B457" s="3">
        <v>2601004</v>
      </c>
      <c r="C457" s="4" t="str">
        <f>IF(IFERROR(VLOOKUP($B457,LINCE!$A$5:$D$4000,3,FALSE),"")=0,"",IFERROR(VLOOKUP($B457,LINCE!$A$5:$D$4000,3,FALSE),""))</f>
        <v>TRICOPOLAR AZUL RER</v>
      </c>
      <c r="D457" s="4">
        <f>IF(IFERROR(VLOOKUP($B457,LINCE!$A$5:$D$4000,4,FALSE),"")=0,"",IFERROR(VLOOKUP($B457,LINCE!$A$5:$D$4000,4,FALSE),""))</f>
        <v>2299.9899999999998</v>
      </c>
      <c r="E457" s="14">
        <f>IF(IFERROR(VLOOKUP($B457,LINCE!$A$5:$E$4000,5,FALSE),"")=0,"",IFERROR(VLOOKUP($B457,LINCE!$A$5:$E$4000,5,FALSE),""))</f>
        <v>99</v>
      </c>
    </row>
    <row r="458" spans="1:5" ht="129.94999999999999" hidden="1" customHeight="1" x14ac:dyDescent="0.25">
      <c r="A458" s="1"/>
      <c r="B458" s="3">
        <v>8503202</v>
      </c>
      <c r="C458" s="4" t="str">
        <f>IF(IFERROR(VLOOKUP($B458,LINCE!$A$5:$D$4000,3,FALSE),"")=0,"",IFERROR(VLOOKUP($B458,LINCE!$A$5:$D$4000,3,FALSE),""))</f>
        <v>TONFA POLIPROPILENO RERDA RER202</v>
      </c>
      <c r="D458" s="4">
        <f>IF(IFERROR(VLOOKUP($B458,LINCE!$A$5:$D$4000,4,FALSE),"")=0,"",IFERROR(VLOOKUP($B458,LINCE!$A$5:$D$4000,4,FALSE),""))</f>
        <v>2299</v>
      </c>
      <c r="E458" s="14">
        <f>IF(IFERROR(VLOOKUP($B458,LINCE!$A$5:$E$4000,5,FALSE),"")=0,"",IFERROR(VLOOKUP($B458,LINCE!$A$5:$E$4000,5,FALSE),""))</f>
        <v>4</v>
      </c>
    </row>
    <row r="459" spans="1:5" ht="129.94999999999999" hidden="1" customHeight="1" x14ac:dyDescent="0.25">
      <c r="A459" s="1"/>
      <c r="B459" s="3">
        <v>8503061</v>
      </c>
      <c r="C459" s="4" t="str">
        <f>IF(IFERROR(VLOOKUP($B459,LINCE!$A$5:$D$4000,3,FALSE),"")=0,"",IFERROR(VLOOKUP($B459,LINCE!$A$5:$D$4000,3,FALSE),""))</f>
        <v>TONFA C/ PORTATONFA RERDA RER</v>
      </c>
      <c r="D459" s="4">
        <f>IF(IFERROR(VLOOKUP($B459,LINCE!$A$5:$D$4000,4,FALSE),"")=0,"",IFERROR(VLOOKUP($B459,LINCE!$A$5:$D$4000,4,FALSE),""))</f>
        <v>2418.79</v>
      </c>
      <c r="E459" s="14">
        <f>IF(IFERROR(VLOOKUP($B459,LINCE!$A$5:$E$4000,5,FALSE),"")=0,"",IFERROR(VLOOKUP($B459,LINCE!$A$5:$E$4000,5,FALSE),""))</f>
        <v>569</v>
      </c>
    </row>
    <row r="460" spans="1:5" ht="129.94999999999999" hidden="1" customHeight="1" x14ac:dyDescent="0.25">
      <c r="A460" s="1"/>
      <c r="B460" s="3">
        <v>8401003</v>
      </c>
      <c r="C460" s="4" t="str">
        <f>IF(IFERROR(VLOOKUP($B460,LINCE!$A$5:$D$4000,3,FALSE),"")=0,"",IFERROR(VLOOKUP($B460,LINCE!$A$5:$D$4000,3,FALSE),""))</f>
        <v>SUDADERA RED MILITAR VERDE ORF</v>
      </c>
      <c r="D460" s="4">
        <f>IF(IFERROR(VLOOKUP($B460,LINCE!$A$5:$D$4000,4,FALSE),"")=0,"",IFERROR(VLOOKUP($B460,LINCE!$A$5:$D$4000,4,FALSE),""))</f>
        <v>950</v>
      </c>
      <c r="E460" s="14">
        <f>IF(IFERROR(VLOOKUP($B460,LINCE!$A$5:$E$4000,5,FALSE),"")=0,"",IFERROR(VLOOKUP($B460,LINCE!$A$5:$E$4000,5,FALSE),""))</f>
        <v>3</v>
      </c>
    </row>
    <row r="461" spans="1:5" ht="129.94999999999999" hidden="1" customHeight="1" x14ac:dyDescent="0.25">
      <c r="A461" s="1"/>
      <c r="B461" s="3">
        <v>8401011</v>
      </c>
      <c r="C461" s="4" t="str">
        <f>IF(IFERROR(VLOOKUP($B461,LINCE!$A$5:$D$4000,3,FALSE),"")=0,"",IFERROR(VLOOKUP($B461,LINCE!$A$5:$D$4000,3,FALSE),""))</f>
        <v>SUDADERA RED MILITAR VER 160 X 0.45 RER</v>
      </c>
      <c r="D461" s="4">
        <f>IF(IFERROR(VLOOKUP($B461,LINCE!$A$5:$D$4000,4,FALSE),"")=0,"",IFERROR(VLOOKUP($B461,LINCE!$A$5:$D$4000,4,FALSE),""))</f>
        <v>450</v>
      </c>
      <c r="E461" s="14" t="str">
        <f>IF(IFERROR(VLOOKUP($B461,LINCE!$A$5:$E$4000,5,FALSE),"")=0,"",IFERROR(VLOOKUP($B461,LINCE!$A$5:$E$4000,5,FALSE),""))</f>
        <v/>
      </c>
    </row>
    <row r="462" spans="1:5" ht="129.94999999999999" hidden="1" customHeight="1" x14ac:dyDescent="0.25">
      <c r="A462" s="1"/>
      <c r="B462" s="3">
        <v>8401012</v>
      </c>
      <c r="C462" s="4" t="str">
        <f>IF(IFERROR(VLOOKUP($B462,LINCE!$A$5:$D$4000,3,FALSE),"")=0,"",IFERROR(VLOOKUP($B462,LINCE!$A$5:$D$4000,3,FALSE),""))</f>
        <v>SUDADERA RED MILITAR VER 160 X 0.25 RER</v>
      </c>
      <c r="D462" s="4">
        <f>IF(IFERROR(VLOOKUP($B462,LINCE!$A$5:$D$4000,4,FALSE),"")=0,"",IFERROR(VLOOKUP($B462,LINCE!$A$5:$D$4000,4,FALSE),""))</f>
        <v>380</v>
      </c>
      <c r="E462" s="14" t="str">
        <f>IF(IFERROR(VLOOKUP($B462,LINCE!$A$5:$E$4000,5,FALSE),"")=0,"",IFERROR(VLOOKUP($B462,LINCE!$A$5:$E$4000,5,FALSE),""))</f>
        <v/>
      </c>
    </row>
    <row r="463" spans="1:5" ht="129.94999999999999" hidden="1" customHeight="1" x14ac:dyDescent="0.25">
      <c r="A463" s="1"/>
      <c r="B463" s="3">
        <v>8401001</v>
      </c>
      <c r="C463" s="4" t="str">
        <f>IF(IFERROR(VLOOKUP($B463,LINCE!$A$5:$D$4000,3,FALSE),"")=0,"",IFERROR(VLOOKUP($B463,LINCE!$A$5:$D$4000,3,FALSE),""))</f>
        <v>SUDADERA RED MILITAR NEGRA RER</v>
      </c>
      <c r="D463" s="4">
        <f>IF(IFERROR(VLOOKUP($B463,LINCE!$A$5:$D$4000,4,FALSE),"")=0,"",IFERROR(VLOOKUP($B463,LINCE!$A$5:$D$4000,4,FALSE),""))</f>
        <v>950</v>
      </c>
      <c r="E463" s="14">
        <f>IF(IFERROR(VLOOKUP($B463,LINCE!$A$5:$E$4000,5,FALSE),"")=0,"",IFERROR(VLOOKUP($B463,LINCE!$A$5:$E$4000,5,FALSE),""))</f>
        <v>46</v>
      </c>
    </row>
    <row r="464" spans="1:5" ht="129.94999999999999" hidden="1" customHeight="1" x14ac:dyDescent="0.25">
      <c r="A464" s="1"/>
      <c r="B464" s="3">
        <v>8401009</v>
      </c>
      <c r="C464" s="4" t="str">
        <f>IF(IFERROR(VLOOKUP($B464,LINCE!$A$5:$D$4000,3,FALSE),"")=0,"",IFERROR(VLOOKUP($B464,LINCE!$A$5:$D$4000,3,FALSE),""))</f>
        <v>SUDADERA RED MILITAR NEG 160 X 0.45 RER</v>
      </c>
      <c r="D464" s="4">
        <f>IF(IFERROR(VLOOKUP($B464,LINCE!$A$5:$D$4000,4,FALSE),"")=0,"",IFERROR(VLOOKUP($B464,LINCE!$A$5:$D$4000,4,FALSE),""))</f>
        <v>450</v>
      </c>
      <c r="E464" s="14">
        <f>IF(IFERROR(VLOOKUP($B464,LINCE!$A$5:$E$4000,5,FALSE),"")=0,"",IFERROR(VLOOKUP($B464,LINCE!$A$5:$E$4000,5,FALSE),""))</f>
        <v>33</v>
      </c>
    </row>
    <row r="465" spans="1:5" ht="129.94999999999999" hidden="1" customHeight="1" x14ac:dyDescent="0.25">
      <c r="A465" s="1"/>
      <c r="B465" s="3">
        <v>8401010</v>
      </c>
      <c r="C465" s="4" t="str">
        <f>IF(IFERROR(VLOOKUP($B465,LINCE!$A$5:$D$4000,3,FALSE),"")=0,"",IFERROR(VLOOKUP($B465,LINCE!$A$5:$D$4000,3,FALSE),""))</f>
        <v>SUDADERA RED MILITAR NEG 160 X 0.25 RER</v>
      </c>
      <c r="D465" s="4">
        <f>IF(IFERROR(VLOOKUP($B465,LINCE!$A$5:$D$4000,4,FALSE),"")=0,"",IFERROR(VLOOKUP($B465,LINCE!$A$5:$D$4000,4,FALSE),""))</f>
        <v>380</v>
      </c>
      <c r="E465" s="14">
        <f>IF(IFERROR(VLOOKUP($B465,LINCE!$A$5:$E$4000,5,FALSE),"")=0,"",IFERROR(VLOOKUP($B465,LINCE!$A$5:$E$4000,5,FALSE),""))</f>
        <v>38</v>
      </c>
    </row>
    <row r="466" spans="1:5" ht="129.94999999999999" hidden="1" customHeight="1" x14ac:dyDescent="0.25">
      <c r="A466" s="1"/>
      <c r="B466" s="3">
        <v>8401005</v>
      </c>
      <c r="C466" s="4" t="str">
        <f>IF(IFERROR(VLOOKUP($B466,LINCE!$A$5:$D$4000,3,FALSE),"")=0,"",IFERROR(VLOOKUP($B466,LINCE!$A$5:$D$4000,3,FALSE),""))</f>
        <v>SUDADERA RED MILITAR MARRON ORF</v>
      </c>
      <c r="D466" s="4">
        <f>IF(IFERROR(VLOOKUP($B466,LINCE!$A$5:$D$4000,4,FALSE),"")=0,"",IFERROR(VLOOKUP($B466,LINCE!$A$5:$D$4000,4,FALSE),""))</f>
        <v>950</v>
      </c>
      <c r="E466" s="14">
        <f>IF(IFERROR(VLOOKUP($B466,LINCE!$A$5:$E$4000,5,FALSE),"")=0,"",IFERROR(VLOOKUP($B466,LINCE!$A$5:$E$4000,5,FALSE),""))</f>
        <v>11</v>
      </c>
    </row>
    <row r="467" spans="1:5" ht="129.94999999999999" hidden="1" customHeight="1" x14ac:dyDescent="0.25">
      <c r="A467" s="1"/>
      <c r="B467" s="3">
        <v>8401006</v>
      </c>
      <c r="C467" s="4" t="str">
        <f>IF(IFERROR(VLOOKUP($B467,LINCE!$A$5:$D$4000,3,FALSE),"")=0,"",IFERROR(VLOOKUP($B467,LINCE!$A$5:$D$4000,3,FALSE),""))</f>
        <v>SUDADERA RED MILITAR BLANCA ORF</v>
      </c>
      <c r="D467" s="4" t="str">
        <f>IF(IFERROR(VLOOKUP($B467,LINCE!$A$5:$D$4000,4,FALSE),"")=0,"",IFERROR(VLOOKUP($B467,LINCE!$A$5:$D$4000,4,FALSE),""))</f>
        <v/>
      </c>
      <c r="E467" s="14" t="str">
        <f>IF(IFERROR(VLOOKUP($B467,LINCE!$A$5:$E$4000,5,FALSE),"")=0,"",IFERROR(VLOOKUP($B467,LINCE!$A$5:$E$4000,5,FALSE),""))</f>
        <v/>
      </c>
    </row>
    <row r="468" spans="1:5" ht="129.94999999999999" hidden="1" customHeight="1" x14ac:dyDescent="0.25">
      <c r="A468" s="1"/>
      <c r="B468" s="3">
        <v>8401004</v>
      </c>
      <c r="C468" s="4" t="str">
        <f>IF(IFERROR(VLOOKUP($B468,LINCE!$A$5:$D$4000,3,FALSE),"")=0,"",IFERROR(VLOOKUP($B468,LINCE!$A$5:$D$4000,3,FALSE),""))</f>
        <v>SUDADERA RED MILITAR BEIGE ORF</v>
      </c>
      <c r="D468" s="4">
        <f>IF(IFERROR(VLOOKUP($B468,LINCE!$A$5:$D$4000,4,FALSE),"")=0,"",IFERROR(VLOOKUP($B468,LINCE!$A$5:$D$4000,4,FALSE),""))</f>
        <v>950</v>
      </c>
      <c r="E468" s="14">
        <f>IF(IFERROR(VLOOKUP($B468,LINCE!$A$5:$E$4000,5,FALSE),"")=0,"",IFERROR(VLOOKUP($B468,LINCE!$A$5:$E$4000,5,FALSE),""))</f>
        <v>1</v>
      </c>
    </row>
    <row r="469" spans="1:5" ht="129.94999999999999" hidden="1" customHeight="1" x14ac:dyDescent="0.25">
      <c r="A469" s="1"/>
      <c r="B469" s="3">
        <v>8701652</v>
      </c>
      <c r="C469" s="4" t="str">
        <f>IF(IFERROR(VLOOKUP($B469,LINCE!$A$5:$D$4000,3,FALSE),"")=0,"",IFERROR(VLOOKUP($B469,LINCE!$A$5:$D$4000,3,FALSE),""))</f>
        <v>SEPARADOR SIMPLE POLIA  T652 TB</v>
      </c>
      <c r="D469" s="4">
        <f>IF(IFERROR(VLOOKUP($B469,LINCE!$A$5:$D$4000,4,FALSE),"")=0,"",IFERROR(VLOOKUP($B469,LINCE!$A$5:$D$4000,4,FALSE),""))</f>
        <v>555</v>
      </c>
      <c r="E469" s="14">
        <f>IF(IFERROR(VLOOKUP($B469,LINCE!$A$5:$E$4000,5,FALSE),"")=0,"",IFERROR(VLOOKUP($B469,LINCE!$A$5:$E$4000,5,FALSE),""))</f>
        <v>48</v>
      </c>
    </row>
    <row r="470" spans="1:5" ht="129.94999999999999" hidden="1" customHeight="1" x14ac:dyDescent="0.25">
      <c r="A470" s="1"/>
      <c r="B470" s="3">
        <v>8701653</v>
      </c>
      <c r="C470" s="4" t="str">
        <f>IF(IFERROR(VLOOKUP($B470,LINCE!$A$5:$D$4000,3,FALSE),"")=0,"",IFERROR(VLOOKUP($B470,LINCE!$A$5:$D$4000,3,FALSE),""))</f>
        <v>SEPARADOR SIMPLE CUERO 1002 TB</v>
      </c>
      <c r="D470" s="4">
        <f>IF(IFERROR(VLOOKUP($B470,LINCE!$A$5:$D$4000,4,FALSE),"")=0,"",IFERROR(VLOOKUP($B470,LINCE!$A$5:$D$4000,4,FALSE),""))</f>
        <v>484</v>
      </c>
      <c r="E470" s="14">
        <f>IF(IFERROR(VLOOKUP($B470,LINCE!$A$5:$E$4000,5,FALSE),"")=0,"",IFERROR(VLOOKUP($B470,LINCE!$A$5:$E$4000,5,FALSE),""))</f>
        <v>1</v>
      </c>
    </row>
    <row r="471" spans="1:5" ht="129.94999999999999" hidden="1" customHeight="1" x14ac:dyDescent="0.25">
      <c r="A471" s="1"/>
      <c r="B471" s="3">
        <v>8703152</v>
      </c>
      <c r="C471" s="4" t="str">
        <f>IF(IFERROR(VLOOKUP($B471,LINCE!$A$5:$D$4000,3,FALSE),"")=0,"",IFERROR(VLOOKUP($B471,LINCE!$A$5:$D$4000,3,FALSE),""))</f>
        <v>RINIONERA WOODPACK VERDE BLK</v>
      </c>
      <c r="D471" s="4">
        <f>IF(IFERROR(VLOOKUP($B471,LINCE!$A$5:$D$4000,4,FALSE),"")=0,"",IFERROR(VLOOKUP($B471,LINCE!$A$5:$D$4000,4,FALSE),""))</f>
        <v>2700</v>
      </c>
      <c r="E471" s="14">
        <f>IF(IFERROR(VLOOKUP($B471,LINCE!$A$5:$E$4000,5,FALSE),"")=0,"",IFERROR(VLOOKUP($B471,LINCE!$A$5:$E$4000,5,FALSE),""))</f>
        <v>6</v>
      </c>
    </row>
    <row r="472" spans="1:5" ht="129.94999999999999" hidden="1" customHeight="1" x14ac:dyDescent="0.25">
      <c r="A472" s="1"/>
      <c r="B472" s="3">
        <v>8703150</v>
      </c>
      <c r="C472" s="4" t="str">
        <f>IF(IFERROR(VLOOKUP($B472,LINCE!$A$5:$D$4000,3,FALSE),"")=0,"",IFERROR(VLOOKUP($B472,LINCE!$A$5:$D$4000,3,FALSE),""))</f>
        <v>RINIONERA WOODPACK NEGRA BLK</v>
      </c>
      <c r="D472" s="4">
        <f>IF(IFERROR(VLOOKUP($B472,LINCE!$A$5:$D$4000,4,FALSE),"")=0,"",IFERROR(VLOOKUP($B472,LINCE!$A$5:$D$4000,4,FALSE),""))</f>
        <v>2700</v>
      </c>
      <c r="E472" s="14">
        <f>IF(IFERROR(VLOOKUP($B472,LINCE!$A$5:$E$4000,5,FALSE),"")=0,"",IFERROR(VLOOKUP($B472,LINCE!$A$5:$E$4000,5,FALSE),""))</f>
        <v>17</v>
      </c>
    </row>
    <row r="473" spans="1:5" ht="129.94999999999999" hidden="1" customHeight="1" x14ac:dyDescent="0.25">
      <c r="A473" s="1"/>
      <c r="B473" s="3">
        <v>8703151</v>
      </c>
      <c r="C473" s="4" t="str">
        <f>IF(IFERROR(VLOOKUP($B473,LINCE!$A$5:$D$4000,3,FALSE),"")=0,"",IFERROR(VLOOKUP($B473,LINCE!$A$5:$D$4000,3,FALSE),""))</f>
        <v>RINIONERA WOODPACK CAMUFLADA BLK</v>
      </c>
      <c r="D473" s="4">
        <f>IF(IFERROR(VLOOKUP($B473,LINCE!$A$5:$D$4000,4,FALSE),"")=0,"",IFERROR(VLOOKUP($B473,LINCE!$A$5:$D$4000,4,FALSE),""))</f>
        <v>2700</v>
      </c>
      <c r="E473" s="14">
        <f>IF(IFERROR(VLOOKUP($B473,LINCE!$A$5:$E$4000,5,FALSE),"")=0,"",IFERROR(VLOOKUP($B473,LINCE!$A$5:$E$4000,5,FALSE),""))</f>
        <v>8</v>
      </c>
    </row>
    <row r="474" spans="1:5" ht="129.94999999999999" hidden="1" customHeight="1" x14ac:dyDescent="0.25">
      <c r="A474" s="1"/>
      <c r="B474" s="3">
        <v>8703047</v>
      </c>
      <c r="C474" s="4" t="str">
        <f>IF(IFERROR(VLOOKUP($B474,LINCE!$A$5:$D$4000,3,FALSE),"")=0,"",IFERROR(VLOOKUP($B474,LINCE!$A$5:$D$4000,3,FALSE),""))</f>
        <v>RINIONERA DELTA STR 2047</v>
      </c>
      <c r="D474" s="4">
        <f>IF(IFERROR(VLOOKUP($B474,LINCE!$A$5:$D$4000,4,FALSE),"")=0,"",IFERROR(VLOOKUP($B474,LINCE!$A$5:$D$4000,4,FALSE),""))</f>
        <v>2457.21</v>
      </c>
      <c r="E474" s="14">
        <f>IF(IFERROR(VLOOKUP($B474,LINCE!$A$5:$E$4000,5,FALSE),"")=0,"",IFERROR(VLOOKUP($B474,LINCE!$A$5:$E$4000,5,FALSE),""))</f>
        <v>31</v>
      </c>
    </row>
    <row r="475" spans="1:5" ht="129.94999999999999" hidden="1" customHeight="1" x14ac:dyDescent="0.25">
      <c r="A475" s="1"/>
      <c r="B475" s="3">
        <v>8703102</v>
      </c>
      <c r="C475" s="4" t="str">
        <f>IF(IFERROR(VLOOKUP($B475,LINCE!$A$5:$D$4000,3,FALSE),"")=0,"",IFERROR(VLOOKUP($B475,LINCE!$A$5:$D$4000,3,FALSE),""))</f>
        <v>RI¥ONERAS SAQUE RAPIDO RRD39 BLK</v>
      </c>
      <c r="D475" s="4">
        <f>IF(IFERROR(VLOOKUP($B475,LINCE!$A$5:$D$4000,4,FALSE),"")=0,"",IFERROR(VLOOKUP($B475,LINCE!$A$5:$D$4000,4,FALSE),""))</f>
        <v>1700</v>
      </c>
      <c r="E475" s="14">
        <f>IF(IFERROR(VLOOKUP($B475,LINCE!$A$5:$E$4000,5,FALSE),"")=0,"",IFERROR(VLOOKUP($B475,LINCE!$A$5:$E$4000,5,FALSE),""))</f>
        <v>16</v>
      </c>
    </row>
    <row r="476" spans="1:5" ht="129.94999999999999" hidden="1" customHeight="1" x14ac:dyDescent="0.25">
      <c r="A476" s="1"/>
      <c r="B476" s="3">
        <v>2103217</v>
      </c>
      <c r="C476" s="4" t="str">
        <f>IF(IFERROR(VLOOKUP($B476,LINCE!$A$5:$D$4000,3,FALSE),"")=0,"",IFERROR(VLOOKUP($B476,LINCE!$A$5:$D$4000,3,FALSE),""))</f>
        <v>REMERA ML COMBAT NEGRA RER</v>
      </c>
      <c r="D476" s="4">
        <f>IF(IFERROR(VLOOKUP($B476,LINCE!$A$5:$D$4000,4,FALSE),"")=0,"",IFERROR(VLOOKUP($B476,LINCE!$A$5:$D$4000,4,FALSE),""))</f>
        <v>2490</v>
      </c>
      <c r="E476" s="14">
        <f>IF(IFERROR(VLOOKUP($B476,LINCE!$A$5:$E$4000,5,FALSE),"")=0,"",IFERROR(VLOOKUP($B476,LINCE!$A$5:$E$4000,5,FALSE),""))</f>
        <v>141</v>
      </c>
    </row>
    <row r="477" spans="1:5" ht="129.94999999999999" hidden="1" customHeight="1" x14ac:dyDescent="0.25">
      <c r="A477" s="1"/>
      <c r="B477" s="3">
        <v>2220100</v>
      </c>
      <c r="C477" s="4" t="str">
        <f>IF(IFERROR(VLOOKUP($B477,LINCE!$A$5:$D$4000,3,FALSE),"")=0,"",IFERROR(VLOOKUP($B477,LINCE!$A$5:$D$4000,3,FALSE),""))</f>
        <v/>
      </c>
      <c r="D477" s="4" t="str">
        <f>IF(IFERROR(VLOOKUP($B477,LINCE!$A$5:$D$4000,4,FALSE),"")=0,"",IFERROR(VLOOKUP($B477,LINCE!$A$5:$D$4000,4,FALSE),""))</f>
        <v/>
      </c>
      <c r="E477" s="14" t="str">
        <f>IF(IFERROR(VLOOKUP($B477,LINCE!$A$5:$E$4000,5,FALSE),"")=0,"",IFERROR(VLOOKUP($B477,LINCE!$A$5:$E$4000,5,FALSE),""))</f>
        <v/>
      </c>
    </row>
    <row r="478" spans="1:5" ht="129.94999999999999" hidden="1" customHeight="1" x14ac:dyDescent="0.25">
      <c r="A478" s="1"/>
      <c r="B478" s="3">
        <v>2101555</v>
      </c>
      <c r="C478" s="4" t="str">
        <f>IF(IFERROR(VLOOKUP($B478,LINCE!$A$5:$D$4000,3,FALSE),"")=0,"",IFERROR(VLOOKUP($B478,LINCE!$A$5:$D$4000,3,FALSE),""))</f>
        <v>REMERA MC SIN CIERRE NEGRO 3XS/2XL RER</v>
      </c>
      <c r="D478" s="4">
        <f>IF(IFERROR(VLOOKUP($B478,LINCE!$A$5:$D$4000,4,FALSE),"")=0,"",IFERROR(VLOOKUP($B478,LINCE!$A$5:$D$4000,4,FALSE),""))</f>
        <v>1391.5</v>
      </c>
      <c r="E478" s="14">
        <f>IF(IFERROR(VLOOKUP($B478,LINCE!$A$5:$E$4000,5,FALSE),"")=0,"",IFERROR(VLOOKUP($B478,LINCE!$A$5:$E$4000,5,FALSE),""))</f>
        <v>458</v>
      </c>
    </row>
    <row r="479" spans="1:5" ht="129.94999999999999" hidden="1" customHeight="1" x14ac:dyDescent="0.25">
      <c r="A479" s="1"/>
      <c r="B479" s="3">
        <v>2101350</v>
      </c>
      <c r="C479" s="4" t="str">
        <f>IF(IFERROR(VLOOKUP($B479,LINCE!$A$5:$D$4000,3,FALSE),"")=0,"",IFERROR(VLOOKUP($B479,LINCE!$A$5:$D$4000,3,FALSE),""))</f>
        <v>REMERA MC SIN CIERRE GRIS 3XS/2XL RER</v>
      </c>
      <c r="D479" s="4">
        <f>IF(IFERROR(VLOOKUP($B479,LINCE!$A$5:$D$4000,4,FALSE),"")=0,"",IFERROR(VLOOKUP($B479,LINCE!$A$5:$D$4000,4,FALSE),""))</f>
        <v>1391.5</v>
      </c>
      <c r="E479" s="14">
        <f>IF(IFERROR(VLOOKUP($B479,LINCE!$A$5:$E$4000,5,FALSE),"")=0,"",IFERROR(VLOOKUP($B479,LINCE!$A$5:$E$4000,5,FALSE),""))</f>
        <v>104</v>
      </c>
    </row>
    <row r="480" spans="1:5" ht="129.94999999999999" hidden="1" customHeight="1" x14ac:dyDescent="0.25">
      <c r="A480" s="1"/>
      <c r="B480" s="3">
        <v>2101004</v>
      </c>
      <c r="C480" s="4" t="str">
        <f>IF(IFERROR(VLOOKUP($B480,LINCE!$A$5:$D$4000,3,FALSE),"")=0,"",IFERROR(VLOOKUP($B480,LINCE!$A$5:$D$4000,3,FALSE),""))</f>
        <v/>
      </c>
      <c r="D480" s="4" t="str">
        <f>IF(IFERROR(VLOOKUP($B480,LINCE!$A$5:$D$4000,4,FALSE),"")=0,"",IFERROR(VLOOKUP($B480,LINCE!$A$5:$D$4000,4,FALSE),""))</f>
        <v/>
      </c>
      <c r="E480" s="14" t="str">
        <f>IF(IFERROR(VLOOKUP($B480,LINCE!$A$5:$E$4000,5,FALSE),"")=0,"",IFERROR(VLOOKUP($B480,LINCE!$A$5:$E$4000,5,FALSE),""))</f>
        <v/>
      </c>
    </row>
    <row r="481" spans="1:5" ht="129.94999999999999" hidden="1" customHeight="1" x14ac:dyDescent="0.25">
      <c r="A481" s="1"/>
      <c r="B481" s="3">
        <v>2101550</v>
      </c>
      <c r="C481" s="4" t="str">
        <f>IF(IFERROR(VLOOKUP($B481,LINCE!$A$5:$D$4000,3,FALSE),"")=0,"",IFERROR(VLOOKUP($B481,LINCE!$A$5:$D$4000,3,FALSE),""))</f>
        <v>REMERA MC SIN CIERRE AZUL 3XS/2XL RER</v>
      </c>
      <c r="D481" s="4">
        <f>IF(IFERROR(VLOOKUP($B481,LINCE!$A$5:$D$4000,4,FALSE),"")=0,"",IFERROR(VLOOKUP($B481,LINCE!$A$5:$D$4000,4,FALSE),""))</f>
        <v>1391.5</v>
      </c>
      <c r="E481" s="14">
        <f>IF(IFERROR(VLOOKUP($B481,LINCE!$A$5:$E$4000,5,FALSE),"")=0,"",IFERROR(VLOOKUP($B481,LINCE!$A$5:$E$4000,5,FALSE),""))</f>
        <v>458</v>
      </c>
    </row>
    <row r="482" spans="1:5" ht="129.94999999999999" hidden="1" customHeight="1" x14ac:dyDescent="0.25">
      <c r="A482" s="1"/>
      <c r="B482" s="3">
        <v>2220444</v>
      </c>
      <c r="C482" s="4" t="str">
        <f>IF(IFERROR(VLOOKUP($B482,LINCE!$A$5:$D$4000,3,FALSE),"")=0,"",IFERROR(VLOOKUP($B482,LINCE!$A$5:$D$4000,3,FALSE),""))</f>
        <v>REMERA MC NEGRA LISA GEI</v>
      </c>
      <c r="D482" s="4">
        <f>IF(IFERROR(VLOOKUP($B482,LINCE!$A$5:$D$4000,4,FALSE),"")=0,"",IFERROR(VLOOKUP($B482,LINCE!$A$5:$D$4000,4,FALSE),""))</f>
        <v>1299.99</v>
      </c>
      <c r="E482" s="14">
        <f>IF(IFERROR(VLOOKUP($B482,LINCE!$A$5:$E$4000,5,FALSE),"")=0,"",IFERROR(VLOOKUP($B482,LINCE!$A$5:$E$4000,5,FALSE),""))</f>
        <v>203</v>
      </c>
    </row>
    <row r="483" spans="1:5" ht="129.94999999999999" hidden="1" customHeight="1" x14ac:dyDescent="0.25">
      <c r="A483" s="1"/>
      <c r="B483" s="3">
        <v>2220456</v>
      </c>
      <c r="C483" s="4" t="str">
        <f>IF(IFERROR(VLOOKUP($B483,LINCE!$A$5:$D$4000,3,FALSE),"")=0,"",IFERROR(VLOOKUP($B483,LINCE!$A$5:$D$4000,3,FALSE),""))</f>
        <v>REMERA MC NEGRA CON ESTAMPA POLICIA GEI</v>
      </c>
      <c r="D483" s="4">
        <f>IF(IFERROR(VLOOKUP($B483,LINCE!$A$5:$D$4000,4,FALSE),"")=0,"",IFERROR(VLOOKUP($B483,LINCE!$A$5:$D$4000,4,FALSE),""))</f>
        <v>1452</v>
      </c>
      <c r="E483" s="14">
        <f>IF(IFERROR(VLOOKUP($B483,LINCE!$A$5:$E$4000,5,FALSE),"")=0,"",IFERROR(VLOOKUP($B483,LINCE!$A$5:$E$4000,5,FALSE),""))</f>
        <v>119</v>
      </c>
    </row>
    <row r="484" spans="1:5" ht="129.94999999999999" hidden="1" customHeight="1" x14ac:dyDescent="0.25">
      <c r="A484" s="1"/>
      <c r="B484" s="3">
        <v>2220750</v>
      </c>
      <c r="C484" s="4" t="str">
        <f>IF(IFERROR(VLOOKUP($B484,LINCE!$A$5:$D$4000,3,FALSE),"")=0,"",IFERROR(VLOOKUP($B484,LINCE!$A$5:$D$4000,3,FALSE),""))</f>
        <v>REMERA MC GRIS TOPO LISA 2XS/2XL GEI</v>
      </c>
      <c r="D484" s="4">
        <f>IF(IFERROR(VLOOKUP($B484,LINCE!$A$5:$D$4000,4,FALSE),"")=0,"",IFERROR(VLOOKUP($B484,LINCE!$A$5:$D$4000,4,FALSE),""))</f>
        <v>1299.99</v>
      </c>
      <c r="E484" s="14">
        <f>IF(IFERROR(VLOOKUP($B484,LINCE!$A$5:$E$4000,5,FALSE),"")=0,"",IFERROR(VLOOKUP($B484,LINCE!$A$5:$E$4000,5,FALSE),""))</f>
        <v>44</v>
      </c>
    </row>
    <row r="485" spans="1:5" ht="129.94999999999999" hidden="1" customHeight="1" x14ac:dyDescent="0.25">
      <c r="A485" s="1"/>
      <c r="B485" s="3">
        <v>2220520</v>
      </c>
      <c r="C485" s="4" t="str">
        <f>IF(IFERROR(VLOOKUP($B485,LINCE!$A$5:$D$4000,3,FALSE),"")=0,"",IFERROR(VLOOKUP($B485,LINCE!$A$5:$D$4000,3,FALSE),""))</f>
        <v>REMERA MC GRIS MELANGE SPF RER</v>
      </c>
      <c r="D485" s="4">
        <f>IF(IFERROR(VLOOKUP($B485,LINCE!$A$5:$D$4000,4,FALSE),"")=0,"",IFERROR(VLOOKUP($B485,LINCE!$A$5:$D$4000,4,FALSE),""))</f>
        <v>1599.99</v>
      </c>
      <c r="E485" s="14">
        <f>IF(IFERROR(VLOOKUP($B485,LINCE!$A$5:$E$4000,5,FALSE),"")=0,"",IFERROR(VLOOKUP($B485,LINCE!$A$5:$E$4000,5,FALSE),""))</f>
        <v>13</v>
      </c>
    </row>
    <row r="486" spans="1:5" ht="129.94999999999999" hidden="1" customHeight="1" x14ac:dyDescent="0.25">
      <c r="A486" s="1"/>
      <c r="B486" s="3">
        <v>2220601</v>
      </c>
      <c r="C486" s="4" t="str">
        <f>IF(IFERROR(VLOOKUP($B486,LINCE!$A$5:$D$4000,3,FALSE),"")=0,"",IFERROR(VLOOKUP($B486,LINCE!$A$5:$D$4000,3,FALSE),""))</f>
        <v>REMERA MC GRIS MELANGE SIN BORDAR GEI</v>
      </c>
      <c r="D486" s="4">
        <f>IF(IFERROR(VLOOKUP($B486,LINCE!$A$5:$D$4000,4,FALSE),"")=0,"",IFERROR(VLOOKUP($B486,LINCE!$A$5:$D$4000,4,FALSE),""))</f>
        <v>1299.99</v>
      </c>
      <c r="E486" s="14">
        <f>IF(IFERROR(VLOOKUP($B486,LINCE!$A$5:$E$4000,5,FALSE),"")=0,"",IFERROR(VLOOKUP($B486,LINCE!$A$5:$E$4000,5,FALSE),""))</f>
        <v>163</v>
      </c>
    </row>
    <row r="487" spans="1:5" ht="129.94999999999999" hidden="1" customHeight="1" x14ac:dyDescent="0.25">
      <c r="A487" s="1"/>
      <c r="B487" s="3">
        <v>2220004</v>
      </c>
      <c r="C487" s="4" t="str">
        <f>IF(IFERROR(VLOOKUP($B487,LINCE!$A$5:$D$4000,3,FALSE),"")=0,"",IFERROR(VLOOKUP($B487,LINCE!$A$5:$D$4000,3,FALSE),""))</f>
        <v>REMERA MC BLANCA LISA GEI</v>
      </c>
      <c r="D487" s="4">
        <f>IF(IFERROR(VLOOKUP($B487,LINCE!$A$5:$D$4000,4,FALSE),"")=0,"",IFERROR(VLOOKUP($B487,LINCE!$A$5:$D$4000,4,FALSE),""))</f>
        <v>1299.99</v>
      </c>
      <c r="E487" s="14">
        <f>IF(IFERROR(VLOOKUP($B487,LINCE!$A$5:$E$4000,5,FALSE),"")=0,"",IFERROR(VLOOKUP($B487,LINCE!$A$5:$E$4000,5,FALSE),""))</f>
        <v>256</v>
      </c>
    </row>
    <row r="488" spans="1:5" ht="129.94999999999999" hidden="1" customHeight="1" x14ac:dyDescent="0.25">
      <c r="A488" s="1"/>
      <c r="B488" s="3">
        <v>2220856</v>
      </c>
      <c r="C488" s="4" t="str">
        <f>IF(IFERROR(VLOOKUP($B488,LINCE!$A$5:$D$4000,3,FALSE),"")=0,"",IFERROR(VLOOKUP($B488,LINCE!$A$5:$D$4000,3,FALSE),""))</f>
        <v/>
      </c>
      <c r="D488" s="4" t="str">
        <f>IF(IFERROR(VLOOKUP($B488,LINCE!$A$5:$D$4000,4,FALSE),"")=0,"",IFERROR(VLOOKUP($B488,LINCE!$A$5:$D$4000,4,FALSE),""))</f>
        <v/>
      </c>
      <c r="E488" s="14" t="str">
        <f>IF(IFERROR(VLOOKUP($B488,LINCE!$A$5:$E$4000,5,FALSE),"")=0,"",IFERROR(VLOOKUP($B488,LINCE!$A$5:$E$4000,5,FALSE),""))</f>
        <v/>
      </c>
    </row>
    <row r="489" spans="1:5" ht="129.94999999999999" hidden="1" customHeight="1" x14ac:dyDescent="0.25">
      <c r="A489" s="1"/>
      <c r="B489" s="3">
        <v>2220333</v>
      </c>
      <c r="C489" s="4" t="str">
        <f>IF(IFERROR(VLOOKUP($B489,LINCE!$A$5:$D$4000,3,FALSE),"")=0,"",IFERROR(VLOOKUP($B489,LINCE!$A$5:$D$4000,3,FALSE),""))</f>
        <v>REMERA MC AZUL LISA GEI</v>
      </c>
      <c r="D489" s="4">
        <f>IF(IFERROR(VLOOKUP($B489,LINCE!$A$5:$D$4000,4,FALSE),"")=0,"",IFERROR(VLOOKUP($B489,LINCE!$A$5:$D$4000,4,FALSE),""))</f>
        <v>1299.99</v>
      </c>
      <c r="E489" s="14">
        <f>IF(IFERROR(VLOOKUP($B489,LINCE!$A$5:$E$4000,5,FALSE),"")=0,"",IFERROR(VLOOKUP($B489,LINCE!$A$5:$E$4000,5,FALSE),""))</f>
        <v>237</v>
      </c>
    </row>
    <row r="490" spans="1:5" ht="129.94999999999999" hidden="1" customHeight="1" x14ac:dyDescent="0.25">
      <c r="A490" s="1"/>
      <c r="B490" s="3">
        <v>2220292</v>
      </c>
      <c r="C490" s="4" t="str">
        <f>IF(IFERROR(VLOOKUP($B490,LINCE!$A$5:$D$4000,3,FALSE),"")=0,"",IFERROR(VLOOKUP($B490,LINCE!$A$5:$D$4000,3,FALSE),""))</f>
        <v>REMERA MC AZUL CON ESTAMPA POLICIA GEI</v>
      </c>
      <c r="D490" s="4">
        <f>IF(IFERROR(VLOOKUP($B490,LINCE!$A$5:$D$4000,4,FALSE),"")=0,"",IFERROR(VLOOKUP($B490,LINCE!$A$5:$D$4000,4,FALSE),""))</f>
        <v>1452</v>
      </c>
      <c r="E490" s="14">
        <f>IF(IFERROR(VLOOKUP($B490,LINCE!$A$5:$E$4000,5,FALSE),"")=0,"",IFERROR(VLOOKUP($B490,LINCE!$A$5:$E$4000,5,FALSE),""))</f>
        <v>186</v>
      </c>
    </row>
    <row r="491" spans="1:5" ht="129.94999999999999" hidden="1" customHeight="1" x14ac:dyDescent="0.25">
      <c r="A491" s="1"/>
      <c r="B491" s="3">
        <v>8708107</v>
      </c>
      <c r="C491" s="4" t="str">
        <f>IF(IFERROR(VLOOKUP($B491,LINCE!$A$5:$D$4000,3,FALSE),"")=0,"",IFERROR(VLOOKUP($B491,LINCE!$A$5:$D$4000,3,FALSE),""))</f>
        <v/>
      </c>
      <c r="D491" s="4" t="str">
        <f>IF(IFERROR(VLOOKUP($B491,LINCE!$A$5:$D$4000,4,FALSE),"")=0,"",IFERROR(VLOOKUP($B491,LINCE!$A$5:$D$4000,4,FALSE),""))</f>
        <v/>
      </c>
      <c r="E491" s="14" t="str">
        <f>IF(IFERROR(VLOOKUP($B491,LINCE!$A$5:$E$4000,5,FALSE),"")=0,"",IFERROR(VLOOKUP($B491,LINCE!$A$5:$E$4000,5,FALSE),""))</f>
        <v/>
      </c>
    </row>
    <row r="492" spans="1:5" ht="129.94999999999999" hidden="1" customHeight="1" x14ac:dyDescent="0.25">
      <c r="A492" s="1"/>
      <c r="B492" s="3">
        <v>8705553</v>
      </c>
      <c r="C492" s="4" t="str">
        <f>IF(IFERROR(VLOOKUP($B492,LINCE!$A$5:$D$4000,3,FALSE),"")=0,"",IFERROR(VLOOKUP($B492,LINCE!$A$5:$D$4000,3,FALSE),""))</f>
        <v/>
      </c>
      <c r="D492" s="4" t="str">
        <f>IF(IFERROR(VLOOKUP($B492,LINCE!$A$5:$D$4000,4,FALSE),"")=0,"",IFERROR(VLOOKUP($B492,LINCE!$A$5:$D$4000,4,FALSE),""))</f>
        <v/>
      </c>
      <c r="E492" s="14" t="str">
        <f>IF(IFERROR(VLOOKUP($B492,LINCE!$A$5:$E$4000,5,FALSE),"")=0,"",IFERROR(VLOOKUP($B492,LINCE!$A$5:$E$4000,5,FALSE),""))</f>
        <v/>
      </c>
    </row>
    <row r="493" spans="1:5" ht="129.94999999999999" hidden="1" customHeight="1" x14ac:dyDescent="0.25">
      <c r="A493" s="1"/>
      <c r="B493" s="3">
        <v>8705749</v>
      </c>
      <c r="C493" s="4" t="str">
        <f>IF(IFERROR(VLOOKUP($B493,LINCE!$A$5:$D$4000,3,FALSE),"")=0,"",IFERROR(VLOOKUP($B493,LINCE!$A$5:$D$4000,3,FALSE),""))</f>
        <v/>
      </c>
      <c r="D493" s="4" t="str">
        <f>IF(IFERROR(VLOOKUP($B493,LINCE!$A$5:$D$4000,4,FALSE),"")=0,"",IFERROR(VLOOKUP($B493,LINCE!$A$5:$D$4000,4,FALSE),""))</f>
        <v/>
      </c>
      <c r="E493" s="14" t="str">
        <f>IF(IFERROR(VLOOKUP($B493,LINCE!$A$5:$E$4000,5,FALSE),"")=0,"",IFERROR(VLOOKUP($B493,LINCE!$A$5:$E$4000,5,FALSE),""))</f>
        <v/>
      </c>
    </row>
    <row r="494" spans="1:5" ht="129.94999999999999" hidden="1" customHeight="1" x14ac:dyDescent="0.25">
      <c r="A494" s="1"/>
      <c r="B494" s="3">
        <v>8705861</v>
      </c>
      <c r="C494" s="4" t="str">
        <f>IF(IFERROR(VLOOKUP($B494,LINCE!$A$5:$D$4000,3,FALSE),"")=0,"",IFERROR(VLOOKUP($B494,LINCE!$A$5:$D$4000,3,FALSE),""))</f>
        <v>PORTA TONFA FIJO METAL 213</v>
      </c>
      <c r="D494" s="4">
        <f>IF(IFERROR(VLOOKUP($B494,LINCE!$A$5:$D$4000,4,FALSE),"")=0,"",IFERROR(VLOOKUP($B494,LINCE!$A$5:$D$4000,4,FALSE),""))</f>
        <v>1452</v>
      </c>
      <c r="E494" s="14">
        <f>IF(IFERROR(VLOOKUP($B494,LINCE!$A$5:$E$4000,5,FALSE),"")=0,"",IFERROR(VLOOKUP($B494,LINCE!$A$5:$E$4000,5,FALSE),""))</f>
        <v>1</v>
      </c>
    </row>
    <row r="495" spans="1:5" ht="129.94999999999999" hidden="1" customHeight="1" x14ac:dyDescent="0.25">
      <c r="A495" s="1"/>
      <c r="B495" s="3">
        <v>8708109</v>
      </c>
      <c r="C495" s="4" t="str">
        <f>IF(IFERROR(VLOOKUP($B495,LINCE!$A$5:$D$4000,3,FALSE),"")=0,"",IFERROR(VLOOKUP($B495,LINCE!$A$5:$D$4000,3,FALSE),""))</f>
        <v/>
      </c>
      <c r="D495" s="4" t="str">
        <f>IF(IFERROR(VLOOKUP($B495,LINCE!$A$5:$D$4000,4,FALSE),"")=0,"",IFERROR(VLOOKUP($B495,LINCE!$A$5:$D$4000,4,FALSE),""))</f>
        <v/>
      </c>
      <c r="E495" s="14" t="str">
        <f>IF(IFERROR(VLOOKUP($B495,LINCE!$A$5:$E$4000,5,FALSE),"")=0,"",IFERROR(VLOOKUP($B495,LINCE!$A$5:$E$4000,5,FALSE),""))</f>
        <v/>
      </c>
    </row>
    <row r="496" spans="1:5" ht="129.94999999999999" hidden="1" customHeight="1" x14ac:dyDescent="0.25">
      <c r="A496" s="1"/>
      <c r="B496" s="3">
        <v>8705003</v>
      </c>
      <c r="C496" s="4" t="str">
        <f>IF(IFERROR(VLOOKUP($B496,LINCE!$A$5:$D$4000,3,FALSE),"")=0,"",IFERROR(VLOOKUP($B496,LINCE!$A$5:$D$4000,3,FALSE),""))</f>
        <v>PORTA HANDY  T554 TB</v>
      </c>
      <c r="D496" s="4">
        <f>IF(IFERROR(VLOOKUP($B496,LINCE!$A$5:$D$4000,4,FALSE),"")=0,"",IFERROR(VLOOKUP($B496,LINCE!$A$5:$D$4000,4,FALSE),""))</f>
        <v>1140</v>
      </c>
      <c r="E496" s="14">
        <f>IF(IFERROR(VLOOKUP($B496,LINCE!$A$5:$E$4000,5,FALSE),"")=0,"",IFERROR(VLOOKUP($B496,LINCE!$A$5:$E$4000,5,FALSE),""))</f>
        <v>122</v>
      </c>
    </row>
    <row r="497" spans="1:5" ht="129.94999999999999" hidden="1" customHeight="1" x14ac:dyDescent="0.25">
      <c r="A497" s="1"/>
      <c r="B497" s="3">
        <v>8501027</v>
      </c>
      <c r="C497" s="4" t="str">
        <f>IF(IFERROR(VLOOKUP($B497,LINCE!$A$5:$D$4000,3,FALSE),"")=0,"",IFERROR(VLOOKUP($B497,LINCE!$A$5:$D$4000,3,FALSE),""))</f>
        <v>PORTA CRED CUERO COLGANTE 1027 TB</v>
      </c>
      <c r="D497" s="4">
        <f>IF(IFERROR(VLOOKUP($B497,LINCE!$A$5:$D$4000,4,FALSE),"")=0,"",IFERROR(VLOOKUP($B497,LINCE!$A$5:$D$4000,4,FALSE),""))</f>
        <v>1080</v>
      </c>
      <c r="E497" s="14">
        <f>IF(IFERROR(VLOOKUP($B497,LINCE!$A$5:$E$4000,5,FALSE),"")=0,"",IFERROR(VLOOKUP($B497,LINCE!$A$5:$E$4000,5,FALSE),""))</f>
        <v>4</v>
      </c>
    </row>
    <row r="498" spans="1:5" ht="129.94999999999999" hidden="1" customHeight="1" x14ac:dyDescent="0.25">
      <c r="A498" s="1"/>
      <c r="B498" s="3">
        <v>8501025</v>
      </c>
      <c r="C498" s="4" t="str">
        <f>IF(IFERROR(VLOOKUP($B498,LINCE!$A$5:$D$4000,3,FALSE),"")=0,"",IFERROR(VLOOKUP($B498,LINCE!$A$5:$D$4000,3,FALSE),""))</f>
        <v>PORTA CRED CUERO  BILLETERA 1025 TB</v>
      </c>
      <c r="D498" s="4">
        <f>IF(IFERROR(VLOOKUP($B498,LINCE!$A$5:$D$4000,4,FALSE),"")=0,"",IFERROR(VLOOKUP($B498,LINCE!$A$5:$D$4000,4,FALSE),""))</f>
        <v>1650</v>
      </c>
      <c r="E498" s="14">
        <f>IF(IFERROR(VLOOKUP($B498,LINCE!$A$5:$E$4000,5,FALSE),"")=0,"",IFERROR(VLOOKUP($B498,LINCE!$A$5:$E$4000,5,FALSE),""))</f>
        <v>5</v>
      </c>
    </row>
    <row r="499" spans="1:5" ht="129.94999999999999" hidden="1" customHeight="1" x14ac:dyDescent="0.25">
      <c r="A499" s="1"/>
      <c r="B499" s="3">
        <v>8705233</v>
      </c>
      <c r="C499" s="4" t="str">
        <f>IF(IFERROR(VLOOKUP($B499,LINCE!$A$5:$D$4000,3,FALSE),"")=0,"",IFERROR(VLOOKUP($B499,LINCE!$A$5:$D$4000,3,FALSE),""))</f>
        <v>PORTA CELULAR GRANDE RRD69</v>
      </c>
      <c r="D499" s="4">
        <f>IF(IFERROR(VLOOKUP($B499,LINCE!$A$5:$D$4000,4,FALSE),"")=0,"",IFERROR(VLOOKUP($B499,LINCE!$A$5:$D$4000,4,FALSE),""))</f>
        <v>650</v>
      </c>
      <c r="E499" s="14">
        <f>IF(IFERROR(VLOOKUP($B499,LINCE!$A$5:$E$4000,5,FALSE),"")=0,"",IFERROR(VLOOKUP($B499,LINCE!$A$5:$E$4000,5,FALSE),""))</f>
        <v>5</v>
      </c>
    </row>
    <row r="500" spans="1:5" ht="129.94999999999999" hidden="1" customHeight="1" x14ac:dyDescent="0.25">
      <c r="A500" s="1"/>
      <c r="B500" s="3">
        <v>8705072</v>
      </c>
      <c r="C500" s="4" t="str">
        <f>IF(IFERROR(VLOOKUP($B500,LINCE!$A$5:$D$4000,3,FALSE),"")=0,"",IFERROR(VLOOKUP($B500,LINCE!$A$5:$D$4000,3,FALSE),""))</f>
        <v>PORTA CARGADOR SIMPLE AJUST RRD72 BLK</v>
      </c>
      <c r="D500" s="4">
        <f>IF(IFERROR(VLOOKUP($B500,LINCE!$A$5:$D$4000,4,FALSE),"")=0,"",IFERROR(VLOOKUP($B500,LINCE!$A$5:$D$4000,4,FALSE),""))</f>
        <v>399.3</v>
      </c>
      <c r="E500" s="14">
        <f>IF(IFERROR(VLOOKUP($B500,LINCE!$A$5:$E$4000,5,FALSE),"")=0,"",IFERROR(VLOOKUP($B500,LINCE!$A$5:$E$4000,5,FALSE),""))</f>
        <v>76</v>
      </c>
    </row>
    <row r="501" spans="1:5" ht="129.94999999999999" hidden="1" customHeight="1" x14ac:dyDescent="0.25">
      <c r="A501" s="1"/>
      <c r="B501" s="3">
        <v>8705100</v>
      </c>
      <c r="C501" s="4" t="str">
        <f>IF(IFERROR(VLOOKUP($B501,LINCE!$A$5:$D$4000,3,FALSE),"")=0,"",IFERROR(VLOOKUP($B501,LINCE!$A$5:$D$4000,3,FALSE),""))</f>
        <v/>
      </c>
      <c r="D501" s="4" t="str">
        <f>IF(IFERROR(VLOOKUP($B501,LINCE!$A$5:$D$4000,4,FALSE),"")=0,"",IFERROR(VLOOKUP($B501,LINCE!$A$5:$D$4000,4,FALSE),""))</f>
        <v/>
      </c>
      <c r="E501" s="14" t="str">
        <f>IF(IFERROR(VLOOKUP($B501,LINCE!$A$5:$E$4000,5,FALSE),"")=0,"",IFERROR(VLOOKUP($B501,LINCE!$A$5:$E$4000,5,FALSE),""))</f>
        <v/>
      </c>
    </row>
    <row r="502" spans="1:5" ht="129.94999999999999" hidden="1" customHeight="1" x14ac:dyDescent="0.25">
      <c r="A502" s="1"/>
      <c r="B502" s="3">
        <v>8705459</v>
      </c>
      <c r="C502" s="4" t="str">
        <f>IF(IFERROR(VLOOKUP($B502,LINCE!$A$5:$D$4000,3,FALSE),"")=0,"",IFERROR(VLOOKUP($B502,LINCE!$A$5:$D$4000,3,FALSE),""))</f>
        <v>PORTA CARG TERMOFOR SIMPLE VERT T550 TB</v>
      </c>
      <c r="D502" s="4">
        <f>IF(IFERROR(VLOOKUP($B502,LINCE!$A$5:$D$4000,4,FALSE),"")=0,"",IFERROR(VLOOKUP($B502,LINCE!$A$5:$D$4000,4,FALSE),""))</f>
        <v>726</v>
      </c>
      <c r="E502" s="14">
        <f>IF(IFERROR(VLOOKUP($B502,LINCE!$A$5:$E$4000,5,FALSE),"")=0,"",IFERROR(VLOOKUP($B502,LINCE!$A$5:$E$4000,5,FALSE),""))</f>
        <v>1</v>
      </c>
    </row>
    <row r="503" spans="1:5" ht="129.94999999999999" hidden="1" customHeight="1" x14ac:dyDescent="0.25">
      <c r="A503" s="1"/>
      <c r="B503" s="3">
        <v>8705551</v>
      </c>
      <c r="C503" s="4" t="str">
        <f>IF(IFERROR(VLOOKUP($B503,LINCE!$A$5:$D$4000,3,FALSE),"")=0,"",IFERROR(VLOOKUP($B503,LINCE!$A$5:$D$4000,3,FALSE),""))</f>
        <v>PORTA CARG TERMO DOBLE T551 TB</v>
      </c>
      <c r="D503" s="4">
        <f>IF(IFERROR(VLOOKUP($B503,LINCE!$A$5:$D$4000,4,FALSE),"")=0,"",IFERROR(VLOOKUP($B503,LINCE!$A$5:$D$4000,4,FALSE),""))</f>
        <v>990</v>
      </c>
      <c r="E503" s="14">
        <f>IF(IFERROR(VLOOKUP($B503,LINCE!$A$5:$E$4000,5,FALSE),"")=0,"",IFERROR(VLOOKUP($B503,LINCE!$A$5:$E$4000,5,FALSE),""))</f>
        <v>846</v>
      </c>
    </row>
    <row r="504" spans="1:5" ht="129.94999999999999" hidden="1" customHeight="1" x14ac:dyDescent="0.25">
      <c r="A504" s="1"/>
      <c r="B504" s="3">
        <v>8705001</v>
      </c>
      <c r="C504" s="4" t="str">
        <f>IF(IFERROR(VLOOKUP($B504,LINCE!$A$5:$D$4000,3,FALSE),"")=0,"",IFERROR(VLOOKUP($B504,LINCE!$A$5:$D$4000,3,FALSE),""))</f>
        <v/>
      </c>
      <c r="D504" s="4" t="str">
        <f>IF(IFERROR(VLOOKUP($B504,LINCE!$A$5:$D$4000,4,FALSE),"")=0,"",IFERROR(VLOOKUP($B504,LINCE!$A$5:$D$4000,4,FALSE),""))</f>
        <v/>
      </c>
      <c r="E504" s="14" t="str">
        <f>IF(IFERROR(VLOOKUP($B504,LINCE!$A$5:$E$4000,5,FALSE),"")=0,"",IFERROR(VLOOKUP($B504,LINCE!$A$5:$E$4000,5,FALSE),""))</f>
        <v/>
      </c>
    </row>
    <row r="505" spans="1:5" ht="129.94999999999999" hidden="1" customHeight="1" x14ac:dyDescent="0.25">
      <c r="A505" s="1"/>
      <c r="B505" s="3">
        <v>8705552</v>
      </c>
      <c r="C505" s="4" t="str">
        <f>IF(IFERROR(VLOOKUP($B505,LINCE!$A$5:$D$4000,3,FALSE),"")=0,"",IFERROR(VLOOKUP($B505,LINCE!$A$5:$D$4000,3,FALSE),""))</f>
        <v>PORTA CARG POLIA GRIS VERDE CON GANCHO</v>
      </c>
      <c r="D505" s="4">
        <f>IF(IFERROR(VLOOKUP($B505,LINCE!$A$5:$D$4000,4,FALSE),"")=0,"",IFERROR(VLOOKUP($B505,LINCE!$A$5:$D$4000,4,FALSE),""))</f>
        <v>304.60000000000002</v>
      </c>
      <c r="E505" s="14">
        <f>IF(IFERROR(VLOOKUP($B505,LINCE!$A$5:$E$4000,5,FALSE),"")=0,"",IFERROR(VLOOKUP($B505,LINCE!$A$5:$E$4000,5,FALSE),""))</f>
        <v>3</v>
      </c>
    </row>
    <row r="506" spans="1:5" ht="129.94999999999999" hidden="1" customHeight="1" x14ac:dyDescent="0.25">
      <c r="A506" s="1"/>
      <c r="B506" s="3">
        <v>8705556</v>
      </c>
      <c r="C506" s="4" t="str">
        <f>IF(IFERROR(VLOOKUP($B506,LINCE!$A$5:$D$4000,3,FALSE),"")=0,"",IFERROR(VLOOKUP($B506,LINCE!$A$5:$D$4000,3,FALSE),""))</f>
        <v/>
      </c>
      <c r="D506" s="4" t="str">
        <f>IF(IFERROR(VLOOKUP($B506,LINCE!$A$5:$D$4000,4,FALSE),"")=0,"",IFERROR(VLOOKUP($B506,LINCE!$A$5:$D$4000,4,FALSE),""))</f>
        <v/>
      </c>
      <c r="E506" s="14" t="str">
        <f>IF(IFERROR(VLOOKUP($B506,LINCE!$A$5:$E$4000,5,FALSE),"")=0,"",IFERROR(VLOOKUP($B506,LINCE!$A$5:$E$4000,5,FALSE),""))</f>
        <v/>
      </c>
    </row>
    <row r="507" spans="1:5" ht="129.94999999999999" hidden="1" customHeight="1" x14ac:dyDescent="0.25">
      <c r="A507" s="1"/>
      <c r="B507" s="3">
        <v>8705370</v>
      </c>
      <c r="C507" s="4" t="str">
        <f>IF(IFERROR(VLOOKUP($B507,LINCE!$A$5:$D$4000,3,FALSE),"")=0,"",IFERROR(VLOOKUP($B507,LINCE!$A$5:$D$4000,3,FALSE),""))</f>
        <v/>
      </c>
      <c r="D507" s="4" t="str">
        <f>IF(IFERROR(VLOOKUP($B507,LINCE!$A$5:$D$4000,4,FALSE),"")=0,"",IFERROR(VLOOKUP($B507,LINCE!$A$5:$D$4000,4,FALSE),""))</f>
        <v/>
      </c>
      <c r="E507" s="14" t="str">
        <f>IF(IFERROR(VLOOKUP($B507,LINCE!$A$5:$E$4000,5,FALSE),"")=0,"",IFERROR(VLOOKUP($B507,LINCE!$A$5:$E$4000,5,FALSE),""))</f>
        <v/>
      </c>
    </row>
    <row r="508" spans="1:5" ht="129.94999999999999" hidden="1" customHeight="1" x14ac:dyDescent="0.25">
      <c r="A508" s="1"/>
      <c r="B508" s="3">
        <v>8705750</v>
      </c>
      <c r="C508" s="4" t="str">
        <f>IF(IFERROR(VLOOKUP($B508,LINCE!$A$5:$D$4000,3,FALSE),"")=0,"",IFERROR(VLOOKUP($B508,LINCE!$A$5:$D$4000,3,FALSE),""))</f>
        <v>PORTA CARG POLIA GEMELO GRIS RER</v>
      </c>
      <c r="D508" s="4">
        <f>IF(IFERROR(VLOOKUP($B508,LINCE!$A$5:$D$4000,4,FALSE),"")=0,"",IFERROR(VLOOKUP($B508,LINCE!$A$5:$D$4000,4,FALSE),""))</f>
        <v>763.8</v>
      </c>
      <c r="E508" s="14">
        <f>IF(IFERROR(VLOOKUP($B508,LINCE!$A$5:$E$4000,5,FALSE),"")=0,"",IFERROR(VLOOKUP($B508,LINCE!$A$5:$E$4000,5,FALSE),""))</f>
        <v>9</v>
      </c>
    </row>
    <row r="509" spans="1:5" ht="129.94999999999999" hidden="1" customHeight="1" x14ac:dyDescent="0.25">
      <c r="A509" s="1"/>
      <c r="B509" s="3">
        <v>8705019</v>
      </c>
      <c r="C509" s="4" t="str">
        <f>IF(IFERROR(VLOOKUP($B509,LINCE!$A$5:$D$4000,3,FALSE),"")=0,"",IFERROR(VLOOKUP($B509,LINCE!$A$5:$D$4000,3,FALSE),""))</f>
        <v>PORTA CARG CUERO SIMPLE 1019 TB</v>
      </c>
      <c r="D509" s="4">
        <f>IF(IFERROR(VLOOKUP($B509,LINCE!$A$5:$D$4000,4,FALSE),"")=0,"",IFERROR(VLOOKUP($B509,LINCE!$A$5:$D$4000,4,FALSE),""))</f>
        <v>1830</v>
      </c>
      <c r="E509" s="14">
        <f>IF(IFERROR(VLOOKUP($B509,LINCE!$A$5:$E$4000,5,FALSE),"")=0,"",IFERROR(VLOOKUP($B509,LINCE!$A$5:$E$4000,5,FALSE),""))</f>
        <v>17</v>
      </c>
    </row>
    <row r="510" spans="1:5" ht="129.94999999999999" hidden="1" customHeight="1" x14ac:dyDescent="0.25">
      <c r="A510" s="1"/>
      <c r="B510" s="3">
        <v>8705018</v>
      </c>
      <c r="C510" s="4" t="str">
        <f>IF(IFERROR(VLOOKUP($B510,LINCE!$A$5:$D$4000,3,FALSE),"")=0,"",IFERROR(VLOOKUP($B510,LINCE!$A$5:$D$4000,3,FALSE),""))</f>
        <v>PORTA CARG CUERO DOBLE 1018 TB</v>
      </c>
      <c r="D510" s="4">
        <f>IF(IFERROR(VLOOKUP($B510,LINCE!$A$5:$D$4000,4,FALSE),"")=0,"",IFERROR(VLOOKUP($B510,LINCE!$A$5:$D$4000,4,FALSE),""))</f>
        <v>2070</v>
      </c>
      <c r="E510" s="14">
        <f>IF(IFERROR(VLOOKUP($B510,LINCE!$A$5:$E$4000,5,FALSE),"")=0,"",IFERROR(VLOOKUP($B510,LINCE!$A$5:$E$4000,5,FALSE),""))</f>
        <v>14</v>
      </c>
    </row>
    <row r="511" spans="1:5" ht="129.94999999999999" hidden="1" customHeight="1" x14ac:dyDescent="0.25">
      <c r="A511" s="1"/>
      <c r="B511" s="3">
        <v>1407093</v>
      </c>
      <c r="C511" s="4" t="str">
        <f>IF(IFERROR(VLOOKUP($B511,LINCE!$A$5:$D$4000,3,FALSE),"")=0,"",IFERROR(VLOOKUP($B511,LINCE!$A$5:$D$4000,3,FALSE),""))</f>
        <v>POLLERA POLICIA SIN FORRAR RER</v>
      </c>
      <c r="D511" s="4">
        <f>IF(IFERROR(VLOOKUP($B511,LINCE!$A$5:$D$4000,4,FALSE),"")=0,"",IFERROR(VLOOKUP($B511,LINCE!$A$5:$D$4000,4,FALSE),""))</f>
        <v>2662</v>
      </c>
      <c r="E511" s="14">
        <f>IF(IFERROR(VLOOKUP($B511,LINCE!$A$5:$E$4000,5,FALSE),"")=0,"",IFERROR(VLOOKUP($B511,LINCE!$A$5:$E$4000,5,FALSE),""))</f>
        <v>2</v>
      </c>
    </row>
    <row r="512" spans="1:5" ht="129.94999999999999" hidden="1" customHeight="1" x14ac:dyDescent="0.25">
      <c r="A512" s="1"/>
      <c r="B512" s="3">
        <v>1120280</v>
      </c>
      <c r="C512" s="4" t="str">
        <f>IF(IFERROR(VLOOKUP($B512,LINCE!$A$5:$D$4000,3,FALSE),"")=0,"",IFERROR(VLOOKUP($B512,LINCE!$A$5:$D$4000,3,FALSE),""))</f>
        <v>PANT NEGRO GABARDINA 34/48 RER</v>
      </c>
      <c r="D512" s="4">
        <f>IF(IFERROR(VLOOKUP($B512,LINCE!$A$5:$D$4000,4,FALSE),"")=0,"",IFERROR(VLOOKUP($B512,LINCE!$A$5:$D$4000,4,FALSE),""))</f>
        <v>3200</v>
      </c>
      <c r="E512" s="14">
        <f>IF(IFERROR(VLOOKUP($B512,LINCE!$A$5:$E$4000,5,FALSE),"")=0,"",IFERROR(VLOOKUP($B512,LINCE!$A$5:$E$4000,5,FALSE),""))</f>
        <v>81</v>
      </c>
    </row>
    <row r="513" spans="1:5" ht="129.94999999999999" hidden="1" customHeight="1" x14ac:dyDescent="0.25">
      <c r="A513" s="1"/>
      <c r="B513" s="3">
        <v>1120840</v>
      </c>
      <c r="C513" s="4" t="str">
        <f>IF(IFERROR(VLOOKUP($B513,LINCE!$A$5:$D$4000,3,FALSE),"")=0,"",IFERROR(VLOOKUP($B513,LINCE!$A$5:$D$4000,3,FALSE),""))</f>
        <v>PANT GRIS GABARDINA 36/48 RER</v>
      </c>
      <c r="D513" s="4">
        <f>IF(IFERROR(VLOOKUP($B513,LINCE!$A$5:$D$4000,4,FALSE),"")=0,"",IFERROR(VLOOKUP($B513,LINCE!$A$5:$D$4000,4,FALSE),""))</f>
        <v>2600.58</v>
      </c>
      <c r="E513" s="14">
        <f>IF(IFERROR(VLOOKUP($B513,LINCE!$A$5:$E$4000,5,FALSE),"")=0,"",IFERROR(VLOOKUP($B513,LINCE!$A$5:$E$4000,5,FALSE),""))</f>
        <v>74</v>
      </c>
    </row>
    <row r="514" spans="1:5" ht="129.94999999999999" hidden="1" customHeight="1" x14ac:dyDescent="0.25">
      <c r="A514" s="1"/>
      <c r="B514" s="3">
        <v>1130226</v>
      </c>
      <c r="C514" s="4" t="str">
        <f>IF(IFERROR(VLOOKUP($B514,LINCE!$A$5:$D$4000,3,FALSE),"")=0,"",IFERROR(VLOOKUP($B514,LINCE!$A$5:$D$4000,3,FALSE),""))</f>
        <v>PANT BEIGE OFICIAL LMGE 34/48 RER</v>
      </c>
      <c r="D514" s="4">
        <f>IF(IFERROR(VLOOKUP($B514,LINCE!$A$5:$D$4000,4,FALSE),"")=0,"",IFERROR(VLOOKUP($B514,LINCE!$A$5:$D$4000,4,FALSE),""))</f>
        <v>3200</v>
      </c>
      <c r="E514" s="14">
        <f>IF(IFERROR(VLOOKUP($B514,LINCE!$A$5:$E$4000,5,FALSE),"")=0,"",IFERROR(VLOOKUP($B514,LINCE!$A$5:$E$4000,5,FALSE),""))</f>
        <v>87</v>
      </c>
    </row>
    <row r="515" spans="1:5" ht="129.94999999999999" hidden="1" customHeight="1" x14ac:dyDescent="0.25">
      <c r="A515" s="1"/>
      <c r="B515" s="3">
        <v>1120764</v>
      </c>
      <c r="C515" s="4" t="str">
        <f>IF(IFERROR(VLOOKUP($B515,LINCE!$A$5:$D$4000,3,FALSE),"")=0,"",IFERROR(VLOOKUP($B515,LINCE!$A$5:$D$4000,3,FALSE),""))</f>
        <v>PANT AZUL DE POLICIA 36/48 RER</v>
      </c>
      <c r="D515" s="4">
        <f>IF(IFERROR(VLOOKUP($B515,LINCE!$A$5:$D$4000,4,FALSE),"")=0,"",IFERROR(VLOOKUP($B515,LINCE!$A$5:$D$4000,4,FALSE),""))</f>
        <v>3200</v>
      </c>
      <c r="E515" s="14">
        <f>IF(IFERROR(VLOOKUP($B515,LINCE!$A$5:$E$4000,5,FALSE),"")=0,"",IFERROR(VLOOKUP($B515,LINCE!$A$5:$E$4000,5,FALSE),""))</f>
        <v>178</v>
      </c>
    </row>
    <row r="516" spans="1:5" ht="129.94999999999999" hidden="1" customHeight="1" x14ac:dyDescent="0.25">
      <c r="A516" s="1"/>
      <c r="B516" s="3">
        <v>1130495</v>
      </c>
      <c r="C516" s="4" t="str">
        <f>IF(IFERROR(VLOOKUP($B516,LINCE!$A$5:$D$4000,3,FALSE),"")=0,"",IFERROR(VLOOKUP($B516,LINCE!$A$5:$D$4000,3,FALSE),""))</f>
        <v>OVERALL MULTIBOL RIP AZUL RER</v>
      </c>
      <c r="D516" s="4">
        <f>IF(IFERROR(VLOOKUP($B516,LINCE!$A$5:$D$4000,4,FALSE),"")=0,"",IFERROR(VLOOKUP($B516,LINCE!$A$5:$D$4000,4,FALSE),""))</f>
        <v>5508.81</v>
      </c>
      <c r="E516" s="14">
        <f>IF(IFERROR(VLOOKUP($B516,LINCE!$A$5:$E$4000,5,FALSE),"")=0,"",IFERROR(VLOOKUP($B516,LINCE!$A$5:$E$4000,5,FALSE),""))</f>
        <v>24</v>
      </c>
    </row>
    <row r="517" spans="1:5" ht="129.94999999999999" hidden="1" customHeight="1" x14ac:dyDescent="0.25">
      <c r="A517" s="1"/>
      <c r="B517" s="3">
        <v>1130009</v>
      </c>
      <c r="C517" s="4" t="str">
        <f>IF(IFERROR(VLOOKUP($B517,LINCE!$A$5:$D$4000,3,FALSE),"")=0,"",IFERROR(VLOOKUP($B517,LINCE!$A$5:$D$4000,3,FALSE),""))</f>
        <v>OVERALL MULTIBOL GAB NEGRO RER</v>
      </c>
      <c r="D517" s="4">
        <f>IF(IFERROR(VLOOKUP($B517,LINCE!$A$5:$D$4000,4,FALSE),"")=0,"",IFERROR(VLOOKUP($B517,LINCE!$A$5:$D$4000,4,FALSE),""))</f>
        <v>5969.52</v>
      </c>
      <c r="E517" s="14">
        <f>IF(IFERROR(VLOOKUP($B517,LINCE!$A$5:$E$4000,5,FALSE),"")=0,"",IFERROR(VLOOKUP($B517,LINCE!$A$5:$E$4000,5,FALSE),""))</f>
        <v>7</v>
      </c>
    </row>
    <row r="518" spans="1:5" ht="129.94999999999999" hidden="1" customHeight="1" x14ac:dyDescent="0.25">
      <c r="A518" s="1"/>
      <c r="B518" s="3">
        <v>1130008</v>
      </c>
      <c r="C518" s="4" t="str">
        <f>IF(IFERROR(VLOOKUP($B518,LINCE!$A$5:$D$4000,3,FALSE),"")=0,"",IFERROR(VLOOKUP($B518,LINCE!$A$5:$D$4000,3,FALSE),""))</f>
        <v>OVERALL MULTIBOL GAB AZUL RER</v>
      </c>
      <c r="D518" s="4">
        <f>IF(IFERROR(VLOOKUP($B518,LINCE!$A$5:$D$4000,4,FALSE),"")=0,"",IFERROR(VLOOKUP($B518,LINCE!$A$5:$D$4000,4,FALSE),""))</f>
        <v>5969.52</v>
      </c>
      <c r="E518" s="14">
        <f>IF(IFERROR(VLOOKUP($B518,LINCE!$A$5:$E$4000,5,FALSE),"")=0,"",IFERROR(VLOOKUP($B518,LINCE!$A$5:$E$4000,5,FALSE),""))</f>
        <v>183</v>
      </c>
    </row>
    <row r="519" spans="1:5" ht="129.94999999999999" hidden="1" customHeight="1" x14ac:dyDescent="0.25">
      <c r="A519" s="1"/>
      <c r="B519" s="3">
        <v>8708105</v>
      </c>
      <c r="C519" s="4" t="str">
        <f>IF(IFERROR(VLOOKUP($B519,LINCE!$A$5:$D$4000,3,FALSE),"")=0,"",IFERROR(VLOOKUP($B519,LINCE!$A$5:$D$4000,3,FALSE),""))</f>
        <v>MORRAL TACTICO RRD38 BLK</v>
      </c>
      <c r="D519" s="4">
        <f>IF(IFERROR(VLOOKUP($B519,LINCE!$A$5:$D$4000,4,FALSE),"")=0,"",IFERROR(VLOOKUP($B519,LINCE!$A$5:$D$4000,4,FALSE),""))</f>
        <v>3100</v>
      </c>
      <c r="E519" s="14">
        <f>IF(IFERROR(VLOOKUP($B519,LINCE!$A$5:$E$4000,5,FALSE),"")=0,"",IFERROR(VLOOKUP($B519,LINCE!$A$5:$E$4000,5,FALSE),""))</f>
        <v>3</v>
      </c>
    </row>
    <row r="520" spans="1:5" ht="129.94999999999999" hidden="1" customHeight="1" x14ac:dyDescent="0.25">
      <c r="A520" s="1"/>
      <c r="B520" s="3">
        <v>8708053</v>
      </c>
      <c r="C520" s="4" t="str">
        <f>IF(IFERROR(VLOOKUP($B520,LINCE!$A$5:$D$4000,3,FALSE),"")=0,"",IFERROR(VLOOKUP($B520,LINCE!$A$5:$D$4000,3,FALSE),""))</f>
        <v/>
      </c>
      <c r="D520" s="4" t="str">
        <f>IF(IFERROR(VLOOKUP($B520,LINCE!$A$5:$D$4000,4,FALSE),"")=0,"",IFERROR(VLOOKUP($B520,LINCE!$A$5:$D$4000,4,FALSE),""))</f>
        <v/>
      </c>
      <c r="E520" s="14" t="str">
        <f>IF(IFERROR(VLOOKUP($B520,LINCE!$A$5:$E$4000,5,FALSE),"")=0,"",IFERROR(VLOOKUP($B520,LINCE!$A$5:$E$4000,5,FALSE),""))</f>
        <v/>
      </c>
    </row>
    <row r="521" spans="1:5" ht="129.94999999999999" hidden="1" customHeight="1" x14ac:dyDescent="0.25">
      <c r="A521" s="1"/>
      <c r="B521" s="3">
        <v>8708054</v>
      </c>
      <c r="C521" s="4" t="str">
        <f>IF(IFERROR(VLOOKUP($B521,LINCE!$A$5:$D$4000,3,FALSE),"")=0,"",IFERROR(VLOOKUP($B521,LINCE!$A$5:$D$4000,3,FALSE),""))</f>
        <v>MORRAL TACTICO MULTIBOLS. NEGRO ETCH 03</v>
      </c>
      <c r="D521" s="4">
        <f>IF(IFERROR(VLOOKUP($B521,LINCE!$A$5:$D$4000,4,FALSE),"")=0,"",IFERROR(VLOOKUP($B521,LINCE!$A$5:$D$4000,4,FALSE),""))</f>
        <v>2900</v>
      </c>
      <c r="E521" s="14">
        <f>IF(IFERROR(VLOOKUP($B521,LINCE!$A$5:$E$4000,5,FALSE),"")=0,"",IFERROR(VLOOKUP($B521,LINCE!$A$5:$E$4000,5,FALSE),""))</f>
        <v>3</v>
      </c>
    </row>
    <row r="522" spans="1:5" ht="129.94999999999999" hidden="1" customHeight="1" x14ac:dyDescent="0.25">
      <c r="A522" s="1"/>
      <c r="B522" s="3">
        <v>8706002</v>
      </c>
      <c r="C522" s="4" t="str">
        <f>IF(IFERROR(VLOOKUP($B522,LINCE!$A$5:$D$4000,3,FALSE),"")=0,"",IFERROR(VLOOKUP($B522,LINCE!$A$5:$D$4000,3,FALSE),""))</f>
        <v>MORRAL MOLLE C/POUCH NEGRO ETCH 07</v>
      </c>
      <c r="D522" s="4">
        <f>IF(IFERROR(VLOOKUP($B522,LINCE!$A$5:$D$4000,4,FALSE),"")=0,"",IFERROR(VLOOKUP($B522,LINCE!$A$5:$D$4000,4,FALSE),""))</f>
        <v>3146</v>
      </c>
      <c r="E522" s="14">
        <f>IF(IFERROR(VLOOKUP($B522,LINCE!$A$5:$E$4000,5,FALSE),"")=0,"",IFERROR(VLOOKUP($B522,LINCE!$A$5:$E$4000,5,FALSE),""))</f>
        <v>116</v>
      </c>
    </row>
    <row r="523" spans="1:5" ht="129.94999999999999" hidden="1" customHeight="1" x14ac:dyDescent="0.25">
      <c r="A523" s="1"/>
      <c r="B523" s="3">
        <v>8708121</v>
      </c>
      <c r="C523" s="4" t="str">
        <f>IF(IFERROR(VLOOKUP($B523,LINCE!$A$5:$D$4000,3,FALSE),"")=0,"",IFERROR(VLOOKUP($B523,LINCE!$A$5:$D$4000,3,FALSE),""))</f>
        <v>MOCHILA TACT MINI MOLLE NEGRA ETCH 03</v>
      </c>
      <c r="D523" s="4">
        <f>IF(IFERROR(VLOOKUP($B523,LINCE!$A$5:$D$4000,4,FALSE),"")=0,"",IFERROR(VLOOKUP($B523,LINCE!$A$5:$D$4000,4,FALSE),""))</f>
        <v>4500</v>
      </c>
      <c r="E523" s="14">
        <f>IF(IFERROR(VLOOKUP($B523,LINCE!$A$5:$E$4000,5,FALSE),"")=0,"",IFERROR(VLOOKUP($B523,LINCE!$A$5:$E$4000,5,FALSE),""))</f>
        <v>38</v>
      </c>
    </row>
    <row r="524" spans="1:5" ht="129.94999999999999" hidden="1" customHeight="1" x14ac:dyDescent="0.25">
      <c r="A524" s="1"/>
      <c r="B524" s="3">
        <v>8708227</v>
      </c>
      <c r="C524" s="4" t="str">
        <f>IF(IFERROR(VLOOKUP($B524,LINCE!$A$5:$D$4000,3,FALSE),"")=0,"",IFERROR(VLOOKUP($B524,LINCE!$A$5:$D$4000,3,FALSE),""))</f>
        <v>MOCHILA SUPER ETCH 09</v>
      </c>
      <c r="D524" s="4">
        <f>IF(IFERROR(VLOOKUP($B524,LINCE!$A$5:$D$4000,4,FALSE),"")=0,"",IFERROR(VLOOKUP($B524,LINCE!$A$5:$D$4000,4,FALSE),""))</f>
        <v>5990</v>
      </c>
      <c r="E524" s="14">
        <f>IF(IFERROR(VLOOKUP($B524,LINCE!$A$5:$E$4000,5,FALSE),"")=0,"",IFERROR(VLOOKUP($B524,LINCE!$A$5:$E$4000,5,FALSE),""))</f>
        <v>36</v>
      </c>
    </row>
    <row r="525" spans="1:5" ht="129.94999999999999" hidden="1" customHeight="1" x14ac:dyDescent="0.25">
      <c r="A525" s="1"/>
      <c r="B525" s="3">
        <v>8708117</v>
      </c>
      <c r="C525" s="4" t="str">
        <f>IF(IFERROR(VLOOKUP($B525,LINCE!$A$5:$D$4000,3,FALSE),"")=0,"",IFERROR(VLOOKUP($B525,LINCE!$A$5:$D$4000,3,FALSE),""))</f>
        <v>MOCHILA RM99898/269 NEGRA ETCH01</v>
      </c>
      <c r="D525" s="4">
        <f>IF(IFERROR(VLOOKUP($B525,LINCE!$A$5:$D$4000,4,FALSE),"")=0,"",IFERROR(VLOOKUP($B525,LINCE!$A$5:$D$4000,4,FALSE),""))</f>
        <v>3990</v>
      </c>
      <c r="E525" s="14">
        <f>IF(IFERROR(VLOOKUP($B525,LINCE!$A$5:$E$4000,5,FALSE),"")=0,"",IFERROR(VLOOKUP($B525,LINCE!$A$5:$E$4000,5,FALSE),""))</f>
        <v>2</v>
      </c>
    </row>
    <row r="526" spans="1:5" ht="129.94999999999999" hidden="1" customHeight="1" x14ac:dyDescent="0.25">
      <c r="A526" s="1"/>
      <c r="B526" s="3">
        <v>8708226</v>
      </c>
      <c r="C526" s="4" t="str">
        <f>IF(IFERROR(VLOOKUP($B526,LINCE!$A$5:$D$4000,3,FALSE),"")=0,"",IFERROR(VLOOKUP($B526,LINCE!$A$5:$D$4000,3,FALSE),""))</f>
        <v>MOCHILA PORTA ACCESORIOS ETCH 08</v>
      </c>
      <c r="D526" s="4">
        <f>IF(IFERROR(VLOOKUP($B526,LINCE!$A$5:$D$4000,4,FALSE),"")=0,"",IFERROR(VLOOKUP($B526,LINCE!$A$5:$D$4000,4,FALSE),""))</f>
        <v>5900</v>
      </c>
      <c r="E526" s="14">
        <f>IF(IFERROR(VLOOKUP($B526,LINCE!$A$5:$E$4000,5,FALSE),"")=0,"",IFERROR(VLOOKUP($B526,LINCE!$A$5:$E$4000,5,FALSE),""))</f>
        <v>8</v>
      </c>
    </row>
    <row r="527" spans="1:5" ht="129.94999999999999" hidden="1" customHeight="1" x14ac:dyDescent="0.25">
      <c r="A527" s="1"/>
      <c r="B527" s="3">
        <v>8708100</v>
      </c>
      <c r="C527" s="4" t="str">
        <f>IF(IFERROR(VLOOKUP($B527,LINCE!$A$5:$D$4000,3,FALSE),"")=0,"",IFERROR(VLOOKUP($B527,LINCE!$A$5:$D$4000,3,FALSE),""))</f>
        <v>MOCHILA PATRULLA RRD29 NEGRA BLK</v>
      </c>
      <c r="D527" s="4">
        <f>IF(IFERROR(VLOOKUP($B527,LINCE!$A$5:$D$4000,4,FALSE),"")=0,"",IFERROR(VLOOKUP($B527,LINCE!$A$5:$D$4000,4,FALSE),""))</f>
        <v>6100</v>
      </c>
      <c r="E527" s="14">
        <f>IF(IFERROR(VLOOKUP($B527,LINCE!$A$5:$E$4000,5,FALSE),"")=0,"",IFERROR(VLOOKUP($B527,LINCE!$A$5:$E$4000,5,FALSE),""))</f>
        <v>27</v>
      </c>
    </row>
    <row r="528" spans="1:5" ht="129.94999999999999" hidden="1" customHeight="1" x14ac:dyDescent="0.25">
      <c r="A528" s="1"/>
      <c r="B528" s="3">
        <v>8708114</v>
      </c>
      <c r="C528" s="4" t="str">
        <f>IF(IFERROR(VLOOKUP($B528,LINCE!$A$5:$D$4000,3,FALSE),"")=0,"",IFERROR(VLOOKUP($B528,LINCE!$A$5:$D$4000,3,FALSE),""))</f>
        <v>MOCHILA PATRULLA RRD29 CAMUFLADA BLK</v>
      </c>
      <c r="D528" s="4">
        <f>IF(IFERROR(VLOOKUP($B528,LINCE!$A$5:$D$4000,4,FALSE),"")=0,"",IFERROR(VLOOKUP($B528,LINCE!$A$5:$D$4000,4,FALSE),""))</f>
        <v>6100</v>
      </c>
      <c r="E528" s="14">
        <f>IF(IFERROR(VLOOKUP($B528,LINCE!$A$5:$E$4000,5,FALSE),"")=0,"",IFERROR(VLOOKUP($B528,LINCE!$A$5:$E$4000,5,FALSE),""))</f>
        <v>26</v>
      </c>
    </row>
    <row r="529" spans="1:5" ht="129.94999999999999" hidden="1" customHeight="1" x14ac:dyDescent="0.25">
      <c r="A529" s="1"/>
      <c r="B529" s="3">
        <v>8708311</v>
      </c>
      <c r="C529" s="4" t="str">
        <f>IF(IFERROR(VLOOKUP($B529,LINCE!$A$5:$D$4000,3,FALSE),"")=0,"",IFERROR(VLOOKUP($B529,LINCE!$A$5:$D$4000,3,FALSE),""))</f>
        <v/>
      </c>
      <c r="D529" s="4" t="str">
        <f>IF(IFERROR(VLOOKUP($B529,LINCE!$A$5:$D$4000,4,FALSE),"")=0,"",IFERROR(VLOOKUP($B529,LINCE!$A$5:$D$4000,4,FALSE),""))</f>
        <v/>
      </c>
      <c r="E529" s="14" t="str">
        <f>IF(IFERROR(VLOOKUP($B529,LINCE!$A$5:$E$4000,5,FALSE),"")=0,"",IFERROR(VLOOKUP($B529,LINCE!$A$5:$E$4000,5,FALSE),""))</f>
        <v/>
      </c>
    </row>
    <row r="530" spans="1:5" ht="129.94999999999999" hidden="1" customHeight="1" x14ac:dyDescent="0.25">
      <c r="A530" s="1"/>
      <c r="B530" s="3">
        <v>8708101</v>
      </c>
      <c r="C530" s="4" t="str">
        <f>IF(IFERROR(VLOOKUP($B530,LINCE!$A$5:$D$4000,3,FALSE),"")=0,"",IFERROR(VLOOKUP($B530,LINCE!$A$5:$D$4000,3,FALSE),""))</f>
        <v>MOCHILA GENDARME RRD28 NEGRA BLK</v>
      </c>
      <c r="D530" s="4">
        <f>IF(IFERROR(VLOOKUP($B530,LINCE!$A$5:$D$4000,4,FALSE),"")=0,"",IFERROR(VLOOKUP($B530,LINCE!$A$5:$D$4000,4,FALSE),""))</f>
        <v>5700</v>
      </c>
      <c r="E530" s="14">
        <f>IF(IFERROR(VLOOKUP($B530,LINCE!$A$5:$E$4000,5,FALSE),"")=0,"",IFERROR(VLOOKUP($B530,LINCE!$A$5:$E$4000,5,FALSE),""))</f>
        <v>7</v>
      </c>
    </row>
    <row r="531" spans="1:5" ht="129.94999999999999" hidden="1" customHeight="1" x14ac:dyDescent="0.25">
      <c r="A531" s="1"/>
      <c r="B531" s="3">
        <v>8703099</v>
      </c>
      <c r="C531" s="4" t="str">
        <f>IF(IFERROR(VLOOKUP($B531,LINCE!$A$5:$D$4000,3,FALSE),"")=0,"",IFERROR(VLOOKUP($B531,LINCE!$A$5:$D$4000,3,FALSE),""))</f>
        <v>MOCHILA COMANDO RRD40 NEGRA BLK</v>
      </c>
      <c r="D531" s="4">
        <f>IF(IFERROR(VLOOKUP($B531,LINCE!$A$5:$D$4000,4,FALSE),"")=0,"",IFERROR(VLOOKUP($B531,LINCE!$A$5:$D$4000,4,FALSE),""))</f>
        <v>4300</v>
      </c>
      <c r="E531" s="14">
        <f>IF(IFERROR(VLOOKUP($B531,LINCE!$A$5:$E$4000,5,FALSE),"")=0,"",IFERROR(VLOOKUP($B531,LINCE!$A$5:$E$4000,5,FALSE),""))</f>
        <v>1</v>
      </c>
    </row>
    <row r="532" spans="1:5" ht="129.94999999999999" hidden="1" customHeight="1" x14ac:dyDescent="0.25">
      <c r="A532" s="1"/>
      <c r="B532" s="3">
        <v>8708102</v>
      </c>
      <c r="C532" s="4" t="str">
        <f>IF(IFERROR(VLOOKUP($B532,LINCE!$A$5:$D$4000,3,FALSE),"")=0,"",IFERROR(VLOOKUP($B532,LINCE!$A$5:$D$4000,3,FALSE),""))</f>
        <v>MOCHILA CAMPAMENTO RRD36 BLK</v>
      </c>
      <c r="D532" s="4">
        <f>IF(IFERROR(VLOOKUP($B532,LINCE!$A$5:$D$4000,4,FALSE),"")=0,"",IFERROR(VLOOKUP($B532,LINCE!$A$5:$D$4000,4,FALSE),""))</f>
        <v>9500</v>
      </c>
      <c r="E532" s="14">
        <f>IF(IFERROR(VLOOKUP($B532,LINCE!$A$5:$E$4000,5,FALSE),"")=0,"",IFERROR(VLOOKUP($B532,LINCE!$A$5:$E$4000,5,FALSE),""))</f>
        <v>7</v>
      </c>
    </row>
    <row r="533" spans="1:5" ht="129.94999999999999" hidden="1" customHeight="1" x14ac:dyDescent="0.25">
      <c r="A533" s="1"/>
      <c r="B533" s="3">
        <v>8707117</v>
      </c>
      <c r="C533" s="4" t="str">
        <f>IF(IFERROR(VLOOKUP($B533,LINCE!$A$5:$D$4000,3,FALSE),"")=0,"",IFERROR(VLOOKUP($B533,LINCE!$A$5:$D$4000,3,FALSE),""))</f>
        <v/>
      </c>
      <c r="D533" s="4" t="str">
        <f>IF(IFERROR(VLOOKUP($B533,LINCE!$A$5:$D$4000,4,FALSE),"")=0,"",IFERROR(VLOOKUP($B533,LINCE!$A$5:$D$4000,4,FALSE),""))</f>
        <v/>
      </c>
      <c r="E533" s="14" t="str">
        <f>IF(IFERROR(VLOOKUP($B533,LINCE!$A$5:$E$4000,5,FALSE),"")=0,"",IFERROR(VLOOKUP($B533,LINCE!$A$5:$E$4000,5,FALSE),""))</f>
        <v/>
      </c>
    </row>
    <row r="534" spans="1:5" ht="129.94999999999999" hidden="1" customHeight="1" x14ac:dyDescent="0.25">
      <c r="A534" s="1"/>
      <c r="B534" s="3">
        <v>8708637</v>
      </c>
      <c r="C534" s="4" t="str">
        <f>IF(IFERROR(VLOOKUP($B534,LINCE!$A$5:$D$4000,3,FALSE),"")=0,"",IFERROR(VLOOKUP($B534,LINCE!$A$5:$D$4000,3,FALSE),""))</f>
        <v>MOCHILA 3D GRANDE MZ-RJ-ZE-002 37.5L FRO</v>
      </c>
      <c r="D534" s="4">
        <f>IF(IFERROR(VLOOKUP($B534,LINCE!$A$5:$D$4000,4,FALSE),"")=0,"",IFERROR(VLOOKUP($B534,LINCE!$A$5:$D$4000,4,FALSE),""))</f>
        <v>5600</v>
      </c>
      <c r="E534" s="14">
        <f>IF(IFERROR(VLOOKUP($B534,LINCE!$A$5:$E$4000,5,FALSE),"")=0,"",IFERROR(VLOOKUP($B534,LINCE!$A$5:$E$4000,5,FALSE),""))</f>
        <v>85</v>
      </c>
    </row>
    <row r="535" spans="1:5" ht="129.94999999999999" hidden="1" customHeight="1" x14ac:dyDescent="0.25">
      <c r="A535" s="1"/>
      <c r="B535" s="3">
        <v>8518011</v>
      </c>
      <c r="C535" s="4" t="str">
        <f>IF(IFERROR(VLOOKUP($B535,LINCE!$A$5:$D$4000,3,FALSE),"")=0,"",IFERROR(VLOOKUP($B535,LINCE!$A$5:$D$4000,3,FALSE),""))</f>
        <v>MASCARA NEOPRENE RERDA RER</v>
      </c>
      <c r="D535" s="4">
        <f>IF(IFERROR(VLOOKUP($B535,LINCE!$A$5:$D$4000,4,FALSE),"")=0,"",IFERROR(VLOOKUP($B535,LINCE!$A$5:$D$4000,4,FALSE),""))</f>
        <v>845.79</v>
      </c>
      <c r="E535" s="14">
        <f>IF(IFERROR(VLOOKUP($B535,LINCE!$A$5:$E$4000,5,FALSE),"")=0,"",IFERROR(VLOOKUP($B535,LINCE!$A$5:$E$4000,5,FALSE),""))</f>
        <v>30</v>
      </c>
    </row>
    <row r="536" spans="1:5" ht="129.94999999999999" hidden="1" customHeight="1" x14ac:dyDescent="0.25">
      <c r="A536" s="1"/>
      <c r="B536" s="3">
        <v>1130254</v>
      </c>
      <c r="C536" s="4" t="str">
        <f>IF(IFERROR(VLOOKUP($B536,LINCE!$A$5:$D$4000,3,FALSE),"")=0,"",IFERROR(VLOOKUP($B536,LINCE!$A$5:$D$4000,3,FALSE),""))</f>
        <v>MAMELUCO TERMICO NEGRO XS/XL RER</v>
      </c>
      <c r="D536" s="4">
        <f>IF(IFERROR(VLOOKUP($B536,LINCE!$A$5:$D$4000,4,FALSE),"")=0,"",IFERROR(VLOOKUP($B536,LINCE!$A$5:$D$4000,4,FALSE),""))</f>
        <v>9199.99</v>
      </c>
      <c r="E536" s="14">
        <f>IF(IFERROR(VLOOKUP($B536,LINCE!$A$5:$E$4000,5,FALSE),"")=0,"",IFERROR(VLOOKUP($B536,LINCE!$A$5:$E$4000,5,FALSE),""))</f>
        <v>21</v>
      </c>
    </row>
    <row r="537" spans="1:5" ht="129.94999999999999" hidden="1" customHeight="1" x14ac:dyDescent="0.25">
      <c r="A537" s="1"/>
      <c r="B537" s="3">
        <v>1130750</v>
      </c>
      <c r="C537" s="4" t="str">
        <f>IF(IFERROR(VLOOKUP($B537,LINCE!$A$5:$D$4000,3,FALSE),"")=0,"",IFERROR(VLOOKUP($B537,LINCE!$A$5:$D$4000,3,FALSE),""))</f>
        <v/>
      </c>
      <c r="D537" s="4" t="str">
        <f>IF(IFERROR(VLOOKUP($B537,LINCE!$A$5:$D$4000,4,FALSE),"")=0,"",IFERROR(VLOOKUP($B537,LINCE!$A$5:$D$4000,4,FALSE),""))</f>
        <v/>
      </c>
      <c r="E537" s="14" t="str">
        <f>IF(IFERROR(VLOOKUP($B537,LINCE!$A$5:$E$4000,5,FALSE),"")=0,"",IFERROR(VLOOKUP($B537,LINCE!$A$5:$E$4000,5,FALSE),""))</f>
        <v/>
      </c>
    </row>
    <row r="538" spans="1:5" ht="129.94999999999999" hidden="1" customHeight="1" x14ac:dyDescent="0.25">
      <c r="A538" s="1"/>
      <c r="B538" s="3">
        <v>1130284</v>
      </c>
      <c r="C538" s="4" t="str">
        <f>IF(IFERROR(VLOOKUP($B538,LINCE!$A$5:$D$4000,3,FALSE),"")=0,"",IFERROR(VLOOKUP($B538,LINCE!$A$5:$D$4000,3,FALSE),""))</f>
        <v/>
      </c>
      <c r="D538" s="4" t="str">
        <f>IF(IFERROR(VLOOKUP($B538,LINCE!$A$5:$D$4000,4,FALSE),"")=0,"",IFERROR(VLOOKUP($B538,LINCE!$A$5:$D$4000,4,FALSE),""))</f>
        <v/>
      </c>
      <c r="E538" s="14" t="str">
        <f>IF(IFERROR(VLOOKUP($B538,LINCE!$A$5:$E$4000,5,FALSE),"")=0,"",IFERROR(VLOOKUP($B538,LINCE!$A$5:$E$4000,5,FALSE),""))</f>
        <v/>
      </c>
    </row>
    <row r="539" spans="1:5" ht="129.94999999999999" hidden="1" customHeight="1" x14ac:dyDescent="0.25">
      <c r="A539" s="1"/>
      <c r="B539" s="3">
        <v>8517000</v>
      </c>
      <c r="C539" s="4" t="str">
        <f>IF(IFERROR(VLOOKUP($B539,LINCE!$A$5:$D$4000,3,FALSE),"")=0,"",IFERROR(VLOOKUP($B539,LINCE!$A$5:$D$4000,3,FALSE),""))</f>
        <v>GUANTES TERMICOS NEGRO RER</v>
      </c>
      <c r="D539" s="4">
        <f>IF(IFERROR(VLOOKUP($B539,LINCE!$A$5:$D$4000,4,FALSE),"")=0,"",IFERROR(VLOOKUP($B539,LINCE!$A$5:$D$4000,4,FALSE),""))</f>
        <v>1100</v>
      </c>
      <c r="E539" s="14">
        <f>IF(IFERROR(VLOOKUP($B539,LINCE!$A$5:$E$4000,5,FALSE),"")=0,"",IFERROR(VLOOKUP($B539,LINCE!$A$5:$E$4000,5,FALSE),""))</f>
        <v>72</v>
      </c>
    </row>
    <row r="540" spans="1:5" ht="129.94999999999999" hidden="1" customHeight="1" x14ac:dyDescent="0.25">
      <c r="A540" s="1"/>
      <c r="B540" s="3">
        <v>8517902</v>
      </c>
      <c r="C540" s="4" t="str">
        <f>IF(IFERROR(VLOOKUP($B540,LINCE!$A$5:$D$4000,3,FALSE),"")=0,"",IFERROR(VLOOKUP($B540,LINCE!$A$5:$D$4000,3,FALSE),""))</f>
        <v>GUANTES TACTICO MITON VERDE LUG</v>
      </c>
      <c r="D540" s="4" t="str">
        <f>IF(IFERROR(VLOOKUP($B540,LINCE!$A$5:$D$4000,4,FALSE),"")=0,"",IFERROR(VLOOKUP($B540,LINCE!$A$5:$D$4000,4,FALSE),""))</f>
        <v/>
      </c>
      <c r="E540" s="14" t="str">
        <f>IF(IFERROR(VLOOKUP($B540,LINCE!$A$5:$E$4000,5,FALSE),"")=0,"",IFERROR(VLOOKUP($B540,LINCE!$A$5:$E$4000,5,FALSE),""))</f>
        <v/>
      </c>
    </row>
    <row r="541" spans="1:5" ht="129.94999999999999" hidden="1" customHeight="1" x14ac:dyDescent="0.25">
      <c r="A541" s="1"/>
      <c r="B541" s="3">
        <v>8517900</v>
      </c>
      <c r="C541" s="4" t="str">
        <f>IF(IFERROR(VLOOKUP($B541,LINCE!$A$5:$D$4000,3,FALSE),"")=0,"",IFERROR(VLOOKUP($B541,LINCE!$A$5:$D$4000,3,FALSE),""))</f>
        <v>GUANTES TACTICO MITON NEGRO RER</v>
      </c>
      <c r="D541" s="4" t="str">
        <f>IF(IFERROR(VLOOKUP($B541,LINCE!$A$5:$D$4000,4,FALSE),"")=0,"",IFERROR(VLOOKUP($B541,LINCE!$A$5:$D$4000,4,FALSE),""))</f>
        <v/>
      </c>
      <c r="E541" s="14" t="str">
        <f>IF(IFERROR(VLOOKUP($B541,LINCE!$A$5:$E$4000,5,FALSE),"")=0,"",IFERROR(VLOOKUP($B541,LINCE!$A$5:$E$4000,5,FALSE),""))</f>
        <v/>
      </c>
    </row>
    <row r="542" spans="1:5" ht="129.94999999999999" hidden="1" customHeight="1" x14ac:dyDescent="0.25">
      <c r="A542" s="1"/>
      <c r="B542" s="3">
        <v>8517901</v>
      </c>
      <c r="C542" s="4" t="str">
        <f>IF(IFERROR(VLOOKUP($B542,LINCE!$A$5:$D$4000,3,FALSE),"")=0,"",IFERROR(VLOOKUP($B542,LINCE!$A$5:$D$4000,3,FALSE),""))</f>
        <v>GUANTES TACTICO MITON BEIGE LUG</v>
      </c>
      <c r="D542" s="4">
        <f>IF(IFERROR(VLOOKUP($B542,LINCE!$A$5:$D$4000,4,FALSE),"")=0,"",IFERROR(VLOOKUP($B542,LINCE!$A$5:$D$4000,4,FALSE),""))</f>
        <v>1176.92</v>
      </c>
      <c r="E542" s="14" t="str">
        <f>IF(IFERROR(VLOOKUP($B542,LINCE!$A$5:$E$4000,5,FALSE),"")=0,"",IFERROR(VLOOKUP($B542,LINCE!$A$5:$E$4000,5,FALSE),""))</f>
        <v/>
      </c>
    </row>
    <row r="543" spans="1:5" ht="129.94999999999999" hidden="1" customHeight="1" x14ac:dyDescent="0.25">
      <c r="A543" s="1"/>
      <c r="B543" s="3">
        <v>8517050</v>
      </c>
      <c r="C543" s="4" t="str">
        <f>IF(IFERROR(VLOOKUP($B543,LINCE!$A$5:$D$4000,3,FALSE),"")=0,"",IFERROR(VLOOKUP($B543,LINCE!$A$5:$D$4000,3,FALSE),""))</f>
        <v>GUANTES POLAR NEGRO RER</v>
      </c>
      <c r="D543" s="4">
        <f>IF(IFERROR(VLOOKUP($B543,LINCE!$A$5:$D$4000,4,FALSE),"")=0,"",IFERROR(VLOOKUP($B543,LINCE!$A$5:$D$4000,4,FALSE),""))</f>
        <v>196.75</v>
      </c>
      <c r="E543" s="14" t="str">
        <f>IF(IFERROR(VLOOKUP($B543,LINCE!$A$5:$E$4000,5,FALSE),"")=0,"",IFERROR(VLOOKUP($B543,LINCE!$A$5:$E$4000,5,FALSE),""))</f>
        <v/>
      </c>
    </row>
    <row r="544" spans="1:5" ht="129.94999999999999" hidden="1" customHeight="1" x14ac:dyDescent="0.25">
      <c r="A544" s="1"/>
      <c r="B544" s="3">
        <v>8717033</v>
      </c>
      <c r="C544" s="4" t="str">
        <f>IF(IFERROR(VLOOKUP($B544,LINCE!$A$5:$D$4000,3,FALSE),"")=0,"",IFERROR(VLOOKUP($B544,LINCE!$A$5:$D$4000,3,FALSE),""))</f>
        <v>GUANTES NEOPRENE S/DEDO T S/XXL RER</v>
      </c>
      <c r="D544" s="4">
        <f>IF(IFERROR(VLOOKUP($B544,LINCE!$A$5:$D$4000,4,FALSE),"")=0,"",IFERROR(VLOOKUP($B544,LINCE!$A$5:$D$4000,4,FALSE),""))</f>
        <v>648.45000000000005</v>
      </c>
      <c r="E544" s="14">
        <f>IF(IFERROR(VLOOKUP($B544,LINCE!$A$5:$E$4000,5,FALSE),"")=0,"",IFERROR(VLOOKUP($B544,LINCE!$A$5:$E$4000,5,FALSE),""))</f>
        <v>220</v>
      </c>
    </row>
    <row r="545" spans="1:5" ht="129.94999999999999" hidden="1" customHeight="1" x14ac:dyDescent="0.25">
      <c r="A545" s="1"/>
      <c r="B545" s="3">
        <v>8517103</v>
      </c>
      <c r="C545" s="4" t="str">
        <f>IF(IFERROR(VLOOKUP($B545,LINCE!$A$5:$D$4000,3,FALSE),"")=0,"",IFERROR(VLOOKUP($B545,LINCE!$A$5:$D$4000,3,FALSE),""))</f>
        <v>GUANTES CABRITILLA 6/14 RER</v>
      </c>
      <c r="D545" s="4">
        <f>IF(IFERROR(VLOOKUP($B545,LINCE!$A$5:$D$4000,4,FALSE),"")=0,"",IFERROR(VLOOKUP($B545,LINCE!$A$5:$D$4000,4,FALSE),""))</f>
        <v>2700</v>
      </c>
      <c r="E545" s="14">
        <f>IF(IFERROR(VLOOKUP($B545,LINCE!$A$5:$E$4000,5,FALSE),"")=0,"",IFERROR(VLOOKUP($B545,LINCE!$A$5:$E$4000,5,FALSE),""))</f>
        <v>1</v>
      </c>
    </row>
    <row r="546" spans="1:5" ht="129.94999999999999" hidden="1" customHeight="1" x14ac:dyDescent="0.25">
      <c r="A546" s="1"/>
      <c r="B546" s="3">
        <v>8517235</v>
      </c>
      <c r="C546" s="4" t="str">
        <f>IF(IFERROR(VLOOKUP($B546,LINCE!$A$5:$D$4000,3,FALSE),"")=0,"",IFERROR(VLOOKUP($B546,LINCE!$A$5:$D$4000,3,FALSE),""))</f>
        <v>GUANTES BLANCOS LMGE RER</v>
      </c>
      <c r="D546" s="4">
        <f>IF(IFERROR(VLOOKUP($B546,LINCE!$A$5:$D$4000,4,FALSE),"")=0,"",IFERROR(VLOOKUP($B546,LINCE!$A$5:$D$4000,4,FALSE),""))</f>
        <v>642.87</v>
      </c>
      <c r="E546" s="14" t="str">
        <f>IF(IFERROR(VLOOKUP($B546,LINCE!$A$5:$E$4000,5,FALSE),"")=0,"",IFERROR(VLOOKUP($B546,LINCE!$A$5:$E$4000,5,FALSE),""))</f>
        <v/>
      </c>
    </row>
    <row r="547" spans="1:5" ht="129.94999999999999" hidden="1" customHeight="1" x14ac:dyDescent="0.25">
      <c r="A547" s="1"/>
      <c r="B547" s="3">
        <v>8306200</v>
      </c>
      <c r="C547" s="4" t="str">
        <f>IF(IFERROR(VLOOKUP($B547,LINCE!$A$5:$D$4000,3,FALSE),"")=0,"",IFERROR(VLOOKUP($B547,LINCE!$A$5:$D$4000,3,FALSE),""))</f>
        <v>GORRO POLAR IMP 1163</v>
      </c>
      <c r="D547" s="4">
        <f>IF(IFERROR(VLOOKUP($B547,LINCE!$A$5:$D$4000,4,FALSE),"")=0,"",IFERROR(VLOOKUP($B547,LINCE!$A$5:$D$4000,4,FALSE),""))</f>
        <v>550</v>
      </c>
      <c r="E547" s="14">
        <f>IF(IFERROR(VLOOKUP($B547,LINCE!$A$5:$E$4000,5,FALSE),"")=0,"",IFERROR(VLOOKUP($B547,LINCE!$A$5:$E$4000,5,FALSE),""))</f>
        <v>86</v>
      </c>
    </row>
    <row r="548" spans="1:5" ht="129.94999999999999" hidden="1" customHeight="1" x14ac:dyDescent="0.25">
      <c r="A548" s="1"/>
      <c r="B548" s="3">
        <v>8306101</v>
      </c>
      <c r="C548" s="4" t="str">
        <f>IF(IFERROR(VLOOKUP($B548,LINCE!$A$5:$D$4000,3,FALSE),"")=0,"",IFERROR(VLOOKUP($B548,LINCE!$A$5:$D$4000,3,FALSE),""))</f>
        <v>GORRO PIEL CON REFLECTIVO IMP 1120</v>
      </c>
      <c r="D548" s="4">
        <f>IF(IFERROR(VLOOKUP($B548,LINCE!$A$5:$D$4000,4,FALSE),"")=0,"",IFERROR(VLOOKUP($B548,LINCE!$A$5:$D$4000,4,FALSE),""))</f>
        <v>999.99</v>
      </c>
      <c r="E548" s="14">
        <f>IF(IFERROR(VLOOKUP($B548,LINCE!$A$5:$E$4000,5,FALSE),"")=0,"",IFERROR(VLOOKUP($B548,LINCE!$A$5:$E$4000,5,FALSE),""))</f>
        <v>75</v>
      </c>
    </row>
    <row r="549" spans="1:5" ht="129.94999999999999" hidden="1" customHeight="1" x14ac:dyDescent="0.25">
      <c r="A549" s="1"/>
      <c r="B549" s="3">
        <v>8400240</v>
      </c>
      <c r="C549" s="4" t="str">
        <f>IF(IFERROR(VLOOKUP($B549,LINCE!$A$5:$D$4000,3,FALSE),"")=0,"",IFERROR(VLOOKUP($B549,LINCE!$A$5:$D$4000,3,FALSE),""))</f>
        <v>GORRO LANA ROCKY 53240 SIN FORRAR RER</v>
      </c>
      <c r="D549" s="4">
        <f>IF(IFERROR(VLOOKUP($B549,LINCE!$A$5:$D$4000,4,FALSE),"")=0,"",IFERROR(VLOOKUP($B549,LINCE!$A$5:$D$4000,4,FALSE),""))</f>
        <v>304.60000000000002</v>
      </c>
      <c r="E549" s="14">
        <f>IF(IFERROR(VLOOKUP($B549,LINCE!$A$5:$E$4000,5,FALSE),"")=0,"",IFERROR(VLOOKUP($B549,LINCE!$A$5:$E$4000,5,FALSE),""))</f>
        <v>149</v>
      </c>
    </row>
    <row r="550" spans="1:5" ht="129.94999999999999" hidden="1" customHeight="1" x14ac:dyDescent="0.25">
      <c r="A550" s="1"/>
      <c r="B550" s="3">
        <v>8306100</v>
      </c>
      <c r="C550" s="4" t="str">
        <f>IF(IFERROR(VLOOKUP($B550,LINCE!$A$5:$D$4000,3,FALSE),"")=0,"",IFERROR(VLOOKUP($B550,LINCE!$A$5:$D$4000,3,FALSE),""))</f>
        <v>GORRO CON PIEL IMP</v>
      </c>
      <c r="D550" s="4">
        <f>IF(IFERROR(VLOOKUP($B550,LINCE!$A$5:$D$4000,4,FALSE),"")=0,"",IFERROR(VLOOKUP($B550,LINCE!$A$5:$D$4000,4,FALSE),""))</f>
        <v>800</v>
      </c>
      <c r="E550" s="14">
        <f>IF(IFERROR(VLOOKUP($B550,LINCE!$A$5:$E$4000,5,FALSE),"")=0,"",IFERROR(VLOOKUP($B550,LINCE!$A$5:$E$4000,5,FALSE),""))</f>
        <v>21</v>
      </c>
    </row>
    <row r="551" spans="1:5" ht="129.94999999999999" hidden="1" customHeight="1" x14ac:dyDescent="0.25">
      <c r="A551" s="1"/>
      <c r="B551" s="3">
        <v>8400119</v>
      </c>
      <c r="C551" s="4" t="str">
        <f>IF(IFERROR(VLOOKUP($B551,LINCE!$A$5:$D$4000,3,FALSE),"")=0,"",IFERROR(VLOOKUP($B551,LINCE!$A$5:$D$4000,3,FALSE),""))</f>
        <v>GORRITA SEGURIDAD NEGRA BORD AMARILLO BI</v>
      </c>
      <c r="D551" s="4">
        <f>IF(IFERROR(VLOOKUP($B551,LINCE!$A$5:$D$4000,4,FALSE),"")=0,"",IFERROR(VLOOKUP($B551,LINCE!$A$5:$D$4000,4,FALSE),""))</f>
        <v>535.71</v>
      </c>
      <c r="E551" s="14" t="str">
        <f>IF(IFERROR(VLOOKUP($B551,LINCE!$A$5:$E$4000,5,FALSE),"")=0,"",IFERROR(VLOOKUP($B551,LINCE!$A$5:$E$4000,5,FALSE),""))</f>
        <v/>
      </c>
    </row>
    <row r="552" spans="1:5" ht="129.94999999999999" hidden="1" customHeight="1" x14ac:dyDescent="0.25">
      <c r="A552" s="1"/>
      <c r="B552" s="3">
        <v>8400024</v>
      </c>
      <c r="C552" s="4" t="str">
        <f>IF(IFERROR(VLOOKUP($B552,LINCE!$A$5:$D$4000,3,FALSE),"")=0,"",IFERROR(VLOOKUP($B552,LINCE!$A$5:$D$4000,3,FALSE),""))</f>
        <v>GORRITA MZA IUSP AZUL 2.23 RER</v>
      </c>
      <c r="D552" s="4">
        <f>IF(IFERROR(VLOOKUP($B552,LINCE!$A$5:$D$4000,4,FALSE),"")=0,"",IFERROR(VLOOKUP($B552,LINCE!$A$5:$D$4000,4,FALSE),""))</f>
        <v>535.71</v>
      </c>
      <c r="E552" s="14">
        <f>IF(IFERROR(VLOOKUP($B552,LINCE!$A$5:$E$4000,5,FALSE),"")=0,"",IFERROR(VLOOKUP($B552,LINCE!$A$5:$E$4000,5,FALSE),""))</f>
        <v>33</v>
      </c>
    </row>
    <row r="553" spans="1:5" ht="129.94999999999999" hidden="1" customHeight="1" x14ac:dyDescent="0.25">
      <c r="A553" s="1"/>
      <c r="B553" s="3">
        <v>8400001</v>
      </c>
      <c r="C553" s="4" t="str">
        <f>IF(IFERROR(VLOOKUP($B553,LINCE!$A$5:$D$4000,3,FALSE),"")=0,"",IFERROR(VLOOKUP($B553,LINCE!$A$5:$D$4000,3,FALSE),""))</f>
        <v>GORRITA MZA  AZUL LMGE</v>
      </c>
      <c r="D553" s="4">
        <f>IF(IFERROR(VLOOKUP($B553,LINCE!$A$5:$D$4000,4,FALSE),"")=0,"",IFERROR(VLOOKUP($B553,LINCE!$A$5:$D$4000,4,FALSE),""))</f>
        <v>199.19</v>
      </c>
      <c r="E553" s="14" t="str">
        <f>IF(IFERROR(VLOOKUP($B553,LINCE!$A$5:$E$4000,5,FALSE),"")=0,"",IFERROR(VLOOKUP($B553,LINCE!$A$5:$E$4000,5,FALSE),""))</f>
        <v/>
      </c>
    </row>
    <row r="554" spans="1:5" ht="129.94999999999999" hidden="1" customHeight="1" x14ac:dyDescent="0.25">
      <c r="A554" s="1"/>
      <c r="B554" s="3">
        <v>8400129</v>
      </c>
      <c r="C554" s="4" t="str">
        <f>IF(IFERROR(VLOOKUP($B554,LINCE!$A$5:$D$4000,3,FALSE),"")=0,"",IFERROR(VLOOKUP($B554,LINCE!$A$5:$D$4000,3,FALSE),""))</f>
        <v>GORRITA F54 NEGRA 6 GAJOS 5469 AJUSTABLE</v>
      </c>
      <c r="D554" s="4">
        <f>IF(IFERROR(VLOOKUP($B554,LINCE!$A$5:$D$4000,4,FALSE),"")=0,"",IFERROR(VLOOKUP($B554,LINCE!$A$5:$D$4000,4,FALSE),""))</f>
        <v>301.29000000000002</v>
      </c>
      <c r="E554" s="14">
        <f>IF(IFERROR(VLOOKUP($B554,LINCE!$A$5:$E$4000,5,FALSE),"")=0,"",IFERROR(VLOOKUP($B554,LINCE!$A$5:$E$4000,5,FALSE),""))</f>
        <v>420</v>
      </c>
    </row>
    <row r="555" spans="1:5" ht="129.94999999999999" hidden="1" customHeight="1" x14ac:dyDescent="0.25">
      <c r="A555" s="1"/>
      <c r="B555" s="3">
        <v>8400128</v>
      </c>
      <c r="C555" s="4" t="str">
        <f>IF(IFERROR(VLOOKUP($B555,LINCE!$A$5:$D$4000,3,FALSE),"")=0,"",IFERROR(VLOOKUP($B555,LINCE!$A$5:$D$4000,3,FALSE),""))</f>
        <v>GORRITA F54 AZUL 6 GAJOS 5469 AJUSTABLE-</v>
      </c>
      <c r="D555" s="4">
        <f>IF(IFERROR(VLOOKUP($B555,LINCE!$A$5:$D$4000,4,FALSE),"")=0,"",IFERROR(VLOOKUP($B555,LINCE!$A$5:$D$4000,4,FALSE),""))</f>
        <v>301.29000000000002</v>
      </c>
      <c r="E555" s="14">
        <f>IF(IFERROR(VLOOKUP($B555,LINCE!$A$5:$E$4000,5,FALSE),"")=0,"",IFERROR(VLOOKUP($B555,LINCE!$A$5:$E$4000,5,FALSE),""))</f>
        <v>319</v>
      </c>
    </row>
    <row r="556" spans="1:5" ht="129.94999999999999" hidden="1" customHeight="1" x14ac:dyDescent="0.25">
      <c r="A556" s="1"/>
      <c r="B556" s="3">
        <v>8400689</v>
      </c>
      <c r="C556" s="4" t="str">
        <f>IF(IFERROR(VLOOKUP($B556,LINCE!$A$5:$D$4000,3,FALSE),"")=0,"",IFERROR(VLOOKUP($B556,LINCE!$A$5:$D$4000,3,FALSE),""))</f>
        <v>GORRITA F1 NEGRA AJUSTABLE 4689</v>
      </c>
      <c r="D556" s="4">
        <f>IF(IFERROR(VLOOKUP($B556,LINCE!$A$5:$D$4000,4,FALSE),"")=0,"",IFERROR(VLOOKUP($B556,LINCE!$A$5:$D$4000,4,FALSE),""))</f>
        <v>400</v>
      </c>
      <c r="E556" s="14">
        <f>IF(IFERROR(VLOOKUP($B556,LINCE!$A$5:$E$4000,5,FALSE),"")=0,"",IFERROR(VLOOKUP($B556,LINCE!$A$5:$E$4000,5,FALSE),""))</f>
        <v>603</v>
      </c>
    </row>
    <row r="557" spans="1:5" ht="129.94999999999999" hidden="1" customHeight="1" x14ac:dyDescent="0.25">
      <c r="A557" s="1"/>
      <c r="B557" s="3">
        <v>8400908</v>
      </c>
      <c r="C557" s="4" t="str">
        <f>IF(IFERROR(VLOOKUP($B557,LINCE!$A$5:$D$4000,3,FALSE),"")=0,"",IFERROR(VLOOKUP($B557,LINCE!$A$5:$D$4000,3,FALSE),""))</f>
        <v>GORRITA F1 CON 5 LED INCORPORADOS 4414</v>
      </c>
      <c r="D557" s="4">
        <f>IF(IFERROR(VLOOKUP($B557,LINCE!$A$5:$D$4000,4,FALSE),"")=0,"",IFERROR(VLOOKUP($B557,LINCE!$A$5:$D$4000,4,FALSE),""))</f>
        <v>700</v>
      </c>
      <c r="E557" s="14">
        <f>IF(IFERROR(VLOOKUP($B557,LINCE!$A$5:$E$4000,5,FALSE),"")=0,"",IFERROR(VLOOKUP($B557,LINCE!$A$5:$E$4000,5,FALSE),""))</f>
        <v>17</v>
      </c>
    </row>
    <row r="558" spans="1:5" ht="129.94999999999999" hidden="1" customHeight="1" x14ac:dyDescent="0.25">
      <c r="A558" s="1"/>
      <c r="B558" s="3">
        <v>8400691</v>
      </c>
      <c r="C558" s="4" t="str">
        <f>IF(IFERROR(VLOOKUP($B558,LINCE!$A$5:$D$4000,3,FALSE),"")=0,"",IFERROR(VLOOKUP($B558,LINCE!$A$5:$D$4000,3,FALSE),""))</f>
        <v>GORRITA F1 AZUL AJUSTABLE 4689</v>
      </c>
      <c r="D558" s="4">
        <f>IF(IFERROR(VLOOKUP($B558,LINCE!$A$5:$D$4000,4,FALSE),"")=0,"",IFERROR(VLOOKUP($B558,LINCE!$A$5:$D$4000,4,FALSE),""))</f>
        <v>400</v>
      </c>
      <c r="E558" s="14">
        <f>IF(IFERROR(VLOOKUP($B558,LINCE!$A$5:$E$4000,5,FALSE),"")=0,"",IFERROR(VLOOKUP($B558,LINCE!$A$5:$E$4000,5,FALSE),""))</f>
        <v>595</v>
      </c>
    </row>
    <row r="559" spans="1:5" ht="129.94999999999999" hidden="1" customHeight="1" x14ac:dyDescent="0.25">
      <c r="A559" s="1"/>
      <c r="B559" s="3">
        <v>8400010</v>
      </c>
      <c r="C559" s="4" t="str">
        <f>IF(IFERROR(VLOOKUP($B559,LINCE!$A$5:$D$4000,3,FALSE),"")=0,"",IFERROR(VLOOKUP($B559,LINCE!$A$5:$D$4000,3,FALSE),""))</f>
        <v>GORRITA BEISBOL LISA GRIS GEI</v>
      </c>
      <c r="D559" s="4">
        <f>IF(IFERROR(VLOOKUP($B559,LINCE!$A$5:$D$4000,4,FALSE),"")=0,"",IFERROR(VLOOKUP($B559,LINCE!$A$5:$D$4000,4,FALSE),""))</f>
        <v>301.29000000000002</v>
      </c>
      <c r="E559" s="14">
        <f>IF(IFERROR(VLOOKUP($B559,LINCE!$A$5:$E$4000,5,FALSE),"")=0,"",IFERROR(VLOOKUP($B559,LINCE!$A$5:$E$4000,5,FALSE),""))</f>
        <v>12</v>
      </c>
    </row>
    <row r="560" spans="1:5" ht="129.94999999999999" hidden="1" customHeight="1" x14ac:dyDescent="0.25">
      <c r="A560" s="1"/>
      <c r="B560" s="3">
        <v>8305002</v>
      </c>
      <c r="C560" s="4" t="str">
        <f>IF(IFERROR(VLOOKUP($B560,LINCE!$A$5:$D$4000,3,FALSE),"")=0,"",IFERROR(VLOOKUP($B560,LINCE!$A$5:$D$4000,3,FALSE),""))</f>
        <v>GORRA NEGRA SIN ATRIBUTOS RER</v>
      </c>
      <c r="D560" s="4">
        <f>IF(IFERROR(VLOOKUP($B560,LINCE!$A$5:$D$4000,4,FALSE),"")=0,"",IFERROR(VLOOKUP($B560,LINCE!$A$5:$D$4000,4,FALSE),""))</f>
        <v>3298.9</v>
      </c>
      <c r="E560" s="14">
        <f>IF(IFERROR(VLOOKUP($B560,LINCE!$A$5:$E$4000,5,FALSE),"")=0,"",IFERROR(VLOOKUP($B560,LINCE!$A$5:$E$4000,5,FALSE),""))</f>
        <v>18</v>
      </c>
    </row>
    <row r="561" spans="1:5" ht="129.94999999999999" hidden="1" customHeight="1" x14ac:dyDescent="0.25">
      <c r="A561" s="1"/>
      <c r="B561" s="3">
        <v>8305006</v>
      </c>
      <c r="C561" s="4" t="str">
        <f>IF(IFERROR(VLOOKUP($B561,LINCE!$A$5:$D$4000,3,FALSE),"")=0,"",IFERROR(VLOOKUP($B561,LINCE!$A$5:$D$4000,3,FALSE),""))</f>
        <v>GORRA AZUL VISERA SUB COMISA/COMISA RER</v>
      </c>
      <c r="D561" s="4" t="str">
        <f>IF(IFERROR(VLOOKUP($B561,LINCE!$A$5:$D$4000,4,FALSE),"")=0,"",IFERROR(VLOOKUP($B561,LINCE!$A$5:$D$4000,4,FALSE),""))</f>
        <v/>
      </c>
      <c r="E561" s="14">
        <f>IF(IFERROR(VLOOKUP($B561,LINCE!$A$5:$E$4000,5,FALSE),"")=0,"",IFERROR(VLOOKUP($B561,LINCE!$A$5:$E$4000,5,FALSE),""))</f>
        <v>2</v>
      </c>
    </row>
    <row r="562" spans="1:5" ht="129.94999999999999" hidden="1" customHeight="1" x14ac:dyDescent="0.25">
      <c r="A562" s="1"/>
      <c r="B562" s="3">
        <v>8305000</v>
      </c>
      <c r="C562" s="4" t="str">
        <f>IF(IFERROR(VLOOKUP($B562,LINCE!$A$5:$D$4000,3,FALSE),"")=0,"",IFERROR(VLOOKUP($B562,LINCE!$A$5:$D$4000,3,FALSE),""))</f>
        <v>GORRA AZUL SIN ATRIBUTOS RER</v>
      </c>
      <c r="D562" s="4">
        <f>IF(IFERROR(VLOOKUP($B562,LINCE!$A$5:$D$4000,4,FALSE),"")=0,"",IFERROR(VLOOKUP($B562,LINCE!$A$5:$D$4000,4,FALSE),""))</f>
        <v>3298.9</v>
      </c>
      <c r="E562" s="14">
        <f>IF(IFERROR(VLOOKUP($B562,LINCE!$A$5:$E$4000,5,FALSE),"")=0,"",IFERROR(VLOOKUP($B562,LINCE!$A$5:$E$4000,5,FALSE),""))</f>
        <v>65</v>
      </c>
    </row>
    <row r="563" spans="1:5" ht="129.94999999999999" hidden="1" customHeight="1" x14ac:dyDescent="0.25">
      <c r="A563" s="1"/>
      <c r="B563" s="3">
        <v>5101002</v>
      </c>
      <c r="C563" s="4" t="str">
        <f>IF(IFERROR(VLOOKUP($B563,LINCE!$A$5:$D$4000,3,FALSE),"")=0,"",IFERROR(VLOOKUP($B563,LINCE!$A$5:$D$4000,3,FALSE),""))</f>
        <v>GARIBALDINA MAO RIP TIGR CEL 2XS/2XL RER</v>
      </c>
      <c r="D563" s="4">
        <f>IF(IFERROR(VLOOKUP($B563,LINCE!$A$5:$D$4000,4,FALSE),"")=0,"",IFERROR(VLOOKUP($B563,LINCE!$A$5:$D$4000,4,FALSE),""))</f>
        <v>4259.1899999999996</v>
      </c>
      <c r="E563" s="14">
        <f>IF(IFERROR(VLOOKUP($B563,LINCE!$A$5:$E$4000,5,FALSE),"")=0,"",IFERROR(VLOOKUP($B563,LINCE!$A$5:$E$4000,5,FALSE),""))</f>
        <v>10</v>
      </c>
    </row>
    <row r="564" spans="1:5" ht="129.94999999999999" hidden="1" customHeight="1" x14ac:dyDescent="0.25">
      <c r="A564" s="1"/>
      <c r="B564" s="3">
        <v>5101654</v>
      </c>
      <c r="C564" s="4" t="str">
        <f>IF(IFERROR(VLOOKUP($B564,LINCE!$A$5:$D$4000,3,FALSE),"")=0,"",IFERROR(VLOOKUP($B564,LINCE!$A$5:$D$4000,3,FALSE),""))</f>
        <v>GARIBALDINA MAO RIP REQUISA 2XS/2XL RER</v>
      </c>
      <c r="D564" s="4">
        <f>IF(IFERROR(VLOOKUP($B564,LINCE!$A$5:$D$4000,4,FALSE),"")=0,"",IFERROR(VLOOKUP($B564,LINCE!$A$5:$D$4000,4,FALSE),""))</f>
        <v>4259.1899999999996</v>
      </c>
      <c r="E564" s="14">
        <f>IF(IFERROR(VLOOKUP($B564,LINCE!$A$5:$E$4000,5,FALSE),"")=0,"",IFERROR(VLOOKUP($B564,LINCE!$A$5:$E$4000,5,FALSE),""))</f>
        <v>42</v>
      </c>
    </row>
    <row r="565" spans="1:5" ht="129.94999999999999" hidden="1" customHeight="1" x14ac:dyDescent="0.25">
      <c r="A565" s="1"/>
      <c r="B565" s="3">
        <v>5101863</v>
      </c>
      <c r="C565" s="4" t="str">
        <f>IF(IFERROR(VLOOKUP($B565,LINCE!$A$5:$D$4000,3,FALSE),"")=0,"",IFERROR(VLOOKUP($B565,LINCE!$A$5:$D$4000,3,FALSE),""))</f>
        <v>GARIBALDINA MAO RIP NEGRA 2XS/2XL RER</v>
      </c>
      <c r="D565" s="4">
        <f>IF(IFERROR(VLOOKUP($B565,LINCE!$A$5:$D$4000,4,FALSE),"")=0,"",IFERROR(VLOOKUP($B565,LINCE!$A$5:$D$4000,4,FALSE),""))</f>
        <v>3617.9</v>
      </c>
      <c r="E565" s="14">
        <f>IF(IFERROR(VLOOKUP($B565,LINCE!$A$5:$E$4000,5,FALSE),"")=0,"",IFERROR(VLOOKUP($B565,LINCE!$A$5:$E$4000,5,FALSE),""))</f>
        <v>172</v>
      </c>
    </row>
    <row r="566" spans="1:5" ht="129.94999999999999" hidden="1" customHeight="1" x14ac:dyDescent="0.25">
      <c r="A566" s="1"/>
      <c r="B566" s="3">
        <v>5101204</v>
      </c>
      <c r="C566" s="4" t="str">
        <f>IF(IFERROR(VLOOKUP($B566,LINCE!$A$5:$D$4000,3,FALSE),"")=0,"",IFERROR(VLOOKUP($B566,LINCE!$A$5:$D$4000,3,FALSE),""))</f>
        <v>GARIBALDINA MAO RIP MULTICA 2XS/2XL RER</v>
      </c>
      <c r="D566" s="4">
        <f>IF(IFERROR(VLOOKUP($B566,LINCE!$A$5:$D$4000,4,FALSE),"")=0,"",IFERROR(VLOOKUP($B566,LINCE!$A$5:$D$4000,4,FALSE),""))</f>
        <v>4259.1899999999996</v>
      </c>
      <c r="E566" s="14">
        <f>IF(IFERROR(VLOOKUP($B566,LINCE!$A$5:$E$4000,5,FALSE),"")=0,"",IFERROR(VLOOKUP($B566,LINCE!$A$5:$E$4000,5,FALSE),""))</f>
        <v>28</v>
      </c>
    </row>
    <row r="567" spans="1:5" ht="129.94999999999999" hidden="1" customHeight="1" x14ac:dyDescent="0.25">
      <c r="A567" s="1"/>
      <c r="B567" s="3">
        <v>5101883</v>
      </c>
      <c r="C567" s="4" t="str">
        <f>IF(IFERROR(VLOOKUP($B567,LINCE!$A$5:$D$4000,3,FALSE),"")=0,"",IFERROR(VLOOKUP($B567,LINCE!$A$5:$D$4000,3,FALSE),""))</f>
        <v>GARIBALDINA MAO RIP MIM RURA 3XL/5XL RER</v>
      </c>
      <c r="D567" s="4">
        <f>IF(IFERROR(VLOOKUP($B567,LINCE!$A$5:$D$4000,4,FALSE),"")=0,"",IFERROR(VLOOKUP($B567,LINCE!$A$5:$D$4000,4,FALSE),""))</f>
        <v>4325.74</v>
      </c>
      <c r="E567" s="14">
        <f>IF(IFERROR(VLOOKUP($B567,LINCE!$A$5:$E$4000,5,FALSE),"")=0,"",IFERROR(VLOOKUP($B567,LINCE!$A$5:$E$4000,5,FALSE),""))</f>
        <v>3</v>
      </c>
    </row>
    <row r="568" spans="1:5" ht="129.94999999999999" hidden="1" customHeight="1" x14ac:dyDescent="0.25">
      <c r="A568" s="1"/>
      <c r="B568" s="3">
        <v>5101029</v>
      </c>
      <c r="C568" s="4" t="str">
        <f>IF(IFERROR(VLOOKUP($B568,LINCE!$A$5:$D$4000,3,FALSE),"")=0,"",IFERROR(VLOOKUP($B568,LINCE!$A$5:$D$4000,3,FALSE),""))</f>
        <v>GARIBALDINA MAO RIP INFANT 2XS/2XL RER</v>
      </c>
      <c r="D568" s="4">
        <f>IF(IFERROR(VLOOKUP($B568,LINCE!$A$5:$D$4000,4,FALSE),"")=0,"",IFERROR(VLOOKUP($B568,LINCE!$A$5:$D$4000,4,FALSE),""))</f>
        <v>4230</v>
      </c>
      <c r="E568" s="14">
        <f>IF(IFERROR(VLOOKUP($B568,LINCE!$A$5:$E$4000,5,FALSE),"")=0,"",IFERROR(VLOOKUP($B568,LINCE!$A$5:$E$4000,5,FALSE),""))</f>
        <v>40</v>
      </c>
    </row>
    <row r="569" spans="1:5" ht="129.94999999999999" hidden="1" customHeight="1" x14ac:dyDescent="0.25">
      <c r="A569" s="1"/>
      <c r="B569" s="3">
        <v>5101855</v>
      </c>
      <c r="C569" s="4" t="str">
        <f>IF(IFERROR(VLOOKUP($B569,LINCE!$A$5:$D$4000,3,FALSE),"")=0,"",IFERROR(VLOOKUP($B569,LINCE!$A$5:$D$4000,3,FALSE),""))</f>
        <v>GARIBALDINA MAO RIP GRIS 2XS/2XL RER</v>
      </c>
      <c r="D569" s="4">
        <f>IF(IFERROR(VLOOKUP($B569,LINCE!$A$5:$D$4000,4,FALSE),"")=0,"",IFERROR(VLOOKUP($B569,LINCE!$A$5:$D$4000,4,FALSE),""))</f>
        <v>3617.9</v>
      </c>
      <c r="E569" s="14">
        <f>IF(IFERROR(VLOOKUP($B569,LINCE!$A$5:$E$4000,5,FALSE),"")=0,"",IFERROR(VLOOKUP($B569,LINCE!$A$5:$E$4000,5,FALSE),""))</f>
        <v>39</v>
      </c>
    </row>
    <row r="570" spans="1:5" ht="129.94999999999999" hidden="1" customHeight="1" x14ac:dyDescent="0.25">
      <c r="A570" s="1"/>
      <c r="B570" s="3">
        <v>5101845</v>
      </c>
      <c r="C570" s="4" t="str">
        <f>IF(IFERROR(VLOOKUP($B570,LINCE!$A$5:$D$4000,3,FALSE),"")=0,"",IFERROR(VLOOKUP($B570,LINCE!$A$5:$D$4000,3,FALSE),""))</f>
        <v>GARIBALDINA MAO RIP EJERCITO 2XS/2XL RER</v>
      </c>
      <c r="D570" s="4">
        <f>IF(IFERROR(VLOOKUP($B570,LINCE!$A$5:$D$4000,4,FALSE),"")=0,"",IFERROR(VLOOKUP($B570,LINCE!$A$5:$D$4000,4,FALSE),""))</f>
        <v>4259.1899999999996</v>
      </c>
      <c r="E570" s="14">
        <f>IF(IFERROR(VLOOKUP($B570,LINCE!$A$5:$E$4000,5,FALSE),"")=0,"",IFERROR(VLOOKUP($B570,LINCE!$A$5:$E$4000,5,FALSE),""))</f>
        <v>6</v>
      </c>
    </row>
    <row r="571" spans="1:5" ht="129.94999999999999" hidden="1" customHeight="1" x14ac:dyDescent="0.25">
      <c r="A571" s="1"/>
      <c r="B571" s="3">
        <v>5101873</v>
      </c>
      <c r="C571" s="4" t="str">
        <f>IF(IFERROR(VLOOKUP($B571,LINCE!$A$5:$D$4000,3,FALSE),"")=0,"",IFERROR(VLOOKUP($B571,LINCE!$A$5:$D$4000,3,FALSE),""))</f>
        <v>GARIBALDINA MAO RIP DIG GR 2XS/2XL RER</v>
      </c>
      <c r="D571" s="4">
        <f>IF(IFERROR(VLOOKUP($B571,LINCE!$A$5:$D$4000,4,FALSE),"")=0,"",IFERROR(VLOOKUP($B571,LINCE!$A$5:$D$4000,4,FALSE),""))</f>
        <v>4259.1899999999996</v>
      </c>
      <c r="E571" s="14">
        <f>IF(IFERROR(VLOOKUP($B571,LINCE!$A$5:$E$4000,5,FALSE),"")=0,"",IFERROR(VLOOKUP($B571,LINCE!$A$5:$E$4000,5,FALSE),""))</f>
        <v>82</v>
      </c>
    </row>
    <row r="572" spans="1:5" ht="129.94999999999999" hidden="1" customHeight="1" x14ac:dyDescent="0.25">
      <c r="A572" s="1"/>
      <c r="B572" s="3">
        <v>5101886</v>
      </c>
      <c r="C572" s="4" t="str">
        <f>IF(IFERROR(VLOOKUP($B572,LINCE!$A$5:$D$4000,3,FALSE),"")=0,"",IFERROR(VLOOKUP($B572,LINCE!$A$5:$D$4000,3,FALSE),""))</f>
        <v>GARIBALDINA MAO RIP DIG BEIG 2XS/2XL RER</v>
      </c>
      <c r="D572" s="4">
        <f>IF(IFERROR(VLOOKUP($B572,LINCE!$A$5:$D$4000,4,FALSE),"")=0,"",IFERROR(VLOOKUP($B572,LINCE!$A$5:$D$4000,4,FALSE),""))</f>
        <v>4259.1899999999996</v>
      </c>
      <c r="E572" s="14">
        <f>IF(IFERROR(VLOOKUP($B572,LINCE!$A$5:$E$4000,5,FALSE),"")=0,"",IFERROR(VLOOKUP($B572,LINCE!$A$5:$E$4000,5,FALSE),""))</f>
        <v>3</v>
      </c>
    </row>
    <row r="573" spans="1:5" ht="129.94999999999999" hidden="1" customHeight="1" x14ac:dyDescent="0.25">
      <c r="A573" s="1"/>
      <c r="B573" s="3">
        <v>5101165</v>
      </c>
      <c r="C573" s="4" t="str">
        <f>IF(IFERROR(VLOOKUP($B573,LINCE!$A$5:$D$4000,3,FALSE),"")=0,"",IFERROR(VLOOKUP($B573,LINCE!$A$5:$D$4000,3,FALSE),""))</f>
        <v>GARIBALDINA MAO RIP DIG ACU 2XS/2XL RER</v>
      </c>
      <c r="D573" s="4">
        <f>IF(IFERROR(VLOOKUP($B573,LINCE!$A$5:$D$4000,4,FALSE),"")=0,"",IFERROR(VLOOKUP($B573,LINCE!$A$5:$D$4000,4,FALSE),""))</f>
        <v>4259.1899999999996</v>
      </c>
      <c r="E573" s="14">
        <f>IF(IFERROR(VLOOKUP($B573,LINCE!$A$5:$E$4000,5,FALSE),"")=0,"",IFERROR(VLOOKUP($B573,LINCE!$A$5:$E$4000,5,FALSE),""))</f>
        <v>9</v>
      </c>
    </row>
    <row r="574" spans="1:5" ht="129.94999999999999" hidden="1" customHeight="1" x14ac:dyDescent="0.25">
      <c r="A574" s="1"/>
      <c r="B574" s="3">
        <v>5101006</v>
      </c>
      <c r="C574" s="4" t="str">
        <f>IF(IFERROR(VLOOKUP($B574,LINCE!$A$5:$D$4000,3,FALSE),"")=0,"",IFERROR(VLOOKUP($B574,LINCE!$A$5:$D$4000,3,FALSE),""))</f>
        <v/>
      </c>
      <c r="D574" s="4" t="str">
        <f>IF(IFERROR(VLOOKUP($B574,LINCE!$A$5:$D$4000,4,FALSE),"")=0,"",IFERROR(VLOOKUP($B574,LINCE!$A$5:$D$4000,4,FALSE),""))</f>
        <v/>
      </c>
      <c r="E574" s="14" t="str">
        <f>IF(IFERROR(VLOOKUP($B574,LINCE!$A$5:$E$4000,5,FALSE),"")=0,"",IFERROR(VLOOKUP($B574,LINCE!$A$5:$E$4000,5,FALSE),""))</f>
        <v/>
      </c>
    </row>
    <row r="575" spans="1:5" ht="129.94999999999999" hidden="1" customHeight="1" x14ac:dyDescent="0.25">
      <c r="A575" s="1"/>
      <c r="B575" s="3">
        <v>5101140</v>
      </c>
      <c r="C575" s="4" t="str">
        <f>IF(IFERROR(VLOOKUP($B575,LINCE!$A$5:$D$4000,3,FALSE),"")=0,"",IFERROR(VLOOKUP($B575,LINCE!$A$5:$D$4000,3,FALSE),""))</f>
        <v>GARIBALDINA MAO RIP BEIGE 2XS/2XL RER</v>
      </c>
      <c r="D575" s="4">
        <f>IF(IFERROR(VLOOKUP($B575,LINCE!$A$5:$D$4000,4,FALSE),"")=0,"",IFERROR(VLOOKUP($B575,LINCE!$A$5:$D$4000,4,FALSE),""))</f>
        <v>3617.9</v>
      </c>
      <c r="E575" s="14">
        <f>IF(IFERROR(VLOOKUP($B575,LINCE!$A$5:$E$4000,5,FALSE),"")=0,"",IFERROR(VLOOKUP($B575,LINCE!$A$5:$E$4000,5,FALSE),""))</f>
        <v>1</v>
      </c>
    </row>
    <row r="576" spans="1:5" ht="129.94999999999999" hidden="1" customHeight="1" x14ac:dyDescent="0.25">
      <c r="A576" s="1"/>
      <c r="B576" s="3">
        <v>5101852</v>
      </c>
      <c r="C576" s="4" t="str">
        <f>IF(IFERROR(VLOOKUP($B576,LINCE!$A$5:$D$4000,3,FALSE),"")=0,"",IFERROR(VLOOKUP($B576,LINCE!$A$5:$D$4000,3,FALSE),""))</f>
        <v>GARIBALDINA MAO RIP AZUL 2XS/2XL EM</v>
      </c>
      <c r="D576" s="4">
        <f>IF(IFERROR(VLOOKUP($B576,LINCE!$A$5:$D$4000,4,FALSE),"")=0,"",IFERROR(VLOOKUP($B576,LINCE!$A$5:$D$4000,4,FALSE),""))</f>
        <v>3617.9</v>
      </c>
      <c r="E576" s="14">
        <f>IF(IFERROR(VLOOKUP($B576,LINCE!$A$5:$E$4000,5,FALSE),"")=0,"",IFERROR(VLOOKUP($B576,LINCE!$A$5:$E$4000,5,FALSE),""))</f>
        <v>193</v>
      </c>
    </row>
    <row r="577" spans="1:5" ht="129.94999999999999" hidden="1" customHeight="1" x14ac:dyDescent="0.25">
      <c r="A577" s="1"/>
      <c r="B577" s="3">
        <v>5101052</v>
      </c>
      <c r="C577" s="4" t="str">
        <f>IF(IFERROR(VLOOKUP($B577,LINCE!$A$5:$D$4000,3,FALSE),"")=0,"",IFERROR(VLOOKUP($B577,LINCE!$A$5:$D$4000,3,FALSE),""))</f>
        <v>GARIBALDINA MAO GAB NEGRA 2XS/2XL</v>
      </c>
      <c r="D577" s="4">
        <f>IF(IFERROR(VLOOKUP($B577,LINCE!$A$5:$D$4000,4,FALSE),"")=0,"",IFERROR(VLOOKUP($B577,LINCE!$A$5:$D$4000,4,FALSE),""))</f>
        <v>3617.9</v>
      </c>
      <c r="E577" s="14">
        <f>IF(IFERROR(VLOOKUP($B577,LINCE!$A$5:$E$4000,5,FALSE),"")=0,"",IFERROR(VLOOKUP($B577,LINCE!$A$5:$E$4000,5,FALSE),""))</f>
        <v>17</v>
      </c>
    </row>
    <row r="578" spans="1:5" ht="129.94999999999999" hidden="1" customHeight="1" x14ac:dyDescent="0.25">
      <c r="A578" s="1"/>
      <c r="B578" s="3">
        <v>5101047</v>
      </c>
      <c r="C578" s="4" t="str">
        <f>IF(IFERROR(VLOOKUP($B578,LINCE!$A$5:$D$4000,3,FALSE),"")=0,"",IFERROR(VLOOKUP($B578,LINCE!$A$5:$D$4000,3,FALSE),""))</f>
        <v>GARIBALDINA MAO GAB GRIS FED 3XL/6XL RER</v>
      </c>
      <c r="D578" s="4">
        <f>IF(IFERROR(VLOOKUP($B578,LINCE!$A$5:$D$4000,4,FALSE),"")=0,"",IFERROR(VLOOKUP($B578,LINCE!$A$5:$D$4000,4,FALSE),""))</f>
        <v>3859.9</v>
      </c>
      <c r="E578" s="14">
        <f>IF(IFERROR(VLOOKUP($B578,LINCE!$A$5:$E$4000,5,FALSE),"")=0,"",IFERROR(VLOOKUP($B578,LINCE!$A$5:$E$4000,5,FALSE),""))</f>
        <v>7</v>
      </c>
    </row>
    <row r="579" spans="1:5" ht="129.94999999999999" hidden="1" customHeight="1" x14ac:dyDescent="0.25">
      <c r="A579" s="1"/>
      <c r="B579" s="3">
        <v>5101048</v>
      </c>
      <c r="C579" s="4" t="str">
        <f>IF(IFERROR(VLOOKUP($B579,LINCE!$A$5:$D$4000,3,FALSE),"")=0,"",IFERROR(VLOOKUP($B579,LINCE!$A$5:$D$4000,3,FALSE),""))</f>
        <v>GARIBALDINA MAO GAB AZUL 3XS/2XL RER</v>
      </c>
      <c r="D579" s="4">
        <f>IF(IFERROR(VLOOKUP($B579,LINCE!$A$5:$D$4000,4,FALSE),"")=0,"",IFERROR(VLOOKUP($B579,LINCE!$A$5:$D$4000,4,FALSE),""))</f>
        <v>3617.9</v>
      </c>
      <c r="E579" s="14">
        <f>IF(IFERROR(VLOOKUP($B579,LINCE!$A$5:$E$4000,5,FALSE),"")=0,"",IFERROR(VLOOKUP($B579,LINCE!$A$5:$E$4000,5,FALSE),""))</f>
        <v>9</v>
      </c>
    </row>
    <row r="580" spans="1:5" ht="129.94999999999999" hidden="1" customHeight="1" x14ac:dyDescent="0.25">
      <c r="A580" s="1"/>
      <c r="B580" s="3">
        <v>5101507</v>
      </c>
      <c r="C580" s="4" t="str">
        <f>IF(IFERROR(VLOOKUP($B580,LINCE!$A$5:$D$4000,3,FALSE),"")=0,"",IFERROR(VLOOKUP($B580,LINCE!$A$5:$D$4000,3,FALSE),""))</f>
        <v/>
      </c>
      <c r="D580" s="4" t="str">
        <f>IF(IFERROR(VLOOKUP($B580,LINCE!$A$5:$D$4000,4,FALSE),"")=0,"",IFERROR(VLOOKUP($B580,LINCE!$A$5:$D$4000,4,FALSE),""))</f>
        <v/>
      </c>
      <c r="E580" s="14" t="str">
        <f>IF(IFERROR(VLOOKUP($B580,LINCE!$A$5:$E$4000,5,FALSE),"")=0,"",IFERROR(VLOOKUP($B580,LINCE!$A$5:$E$4000,5,FALSE),""))</f>
        <v/>
      </c>
    </row>
    <row r="581" spans="1:5" ht="129.94999999999999" hidden="1" customHeight="1" x14ac:dyDescent="0.25">
      <c r="A581" s="1"/>
      <c r="B581" s="3">
        <v>5101033</v>
      </c>
      <c r="C581" s="4" t="str">
        <f>IF(IFERROR(VLOOKUP($B581,LINCE!$A$5:$D$4000,3,FALSE),"")=0,"",IFERROR(VLOOKUP($B581,LINCE!$A$5:$D$4000,3,FALSE),""))</f>
        <v>GARIBALDINA JAZAK RIP INFANT 2XS/2XL RER</v>
      </c>
      <c r="D581" s="4">
        <f>IF(IFERROR(VLOOKUP($B581,LINCE!$A$5:$D$4000,4,FALSE),"")=0,"",IFERROR(VLOOKUP($B581,LINCE!$A$5:$D$4000,4,FALSE),""))</f>
        <v>4525.3900000000003</v>
      </c>
      <c r="E581" s="14">
        <f>IF(IFERROR(VLOOKUP($B581,LINCE!$A$5:$E$4000,5,FALSE),"")=0,"",IFERROR(VLOOKUP($B581,LINCE!$A$5:$E$4000,5,FALSE),""))</f>
        <v>52</v>
      </c>
    </row>
    <row r="582" spans="1:5" ht="129.94999999999999" hidden="1" customHeight="1" x14ac:dyDescent="0.25">
      <c r="A582" s="1"/>
      <c r="B582" s="3">
        <v>5101500</v>
      </c>
      <c r="C582" s="4" t="str">
        <f>IF(IFERROR(VLOOKUP($B582,LINCE!$A$5:$D$4000,3,FALSE),"")=0,"",IFERROR(VLOOKUP($B582,LINCE!$A$5:$D$4000,3,FALSE),""))</f>
        <v/>
      </c>
      <c r="D582" s="4" t="str">
        <f>IF(IFERROR(VLOOKUP($B582,LINCE!$A$5:$D$4000,4,FALSE),"")=0,"",IFERROR(VLOOKUP($B582,LINCE!$A$5:$D$4000,4,FALSE),""))</f>
        <v/>
      </c>
      <c r="E582" s="14" t="str">
        <f>IF(IFERROR(VLOOKUP($B582,LINCE!$A$5:$E$4000,5,FALSE),"")=0,"",IFERROR(VLOOKUP($B582,LINCE!$A$5:$E$4000,5,FALSE),""))</f>
        <v/>
      </c>
    </row>
    <row r="583" spans="1:5" ht="129.94999999999999" hidden="1" customHeight="1" x14ac:dyDescent="0.25">
      <c r="A583" s="1"/>
      <c r="B583" s="3">
        <v>5101230</v>
      </c>
      <c r="C583" s="4" t="str">
        <f>IF(IFERROR(VLOOKUP($B583,LINCE!$A$5:$D$4000,3,FALSE),"")=0,"",IFERROR(VLOOKUP($B583,LINCE!$A$5:$D$4000,3,FALSE),""))</f>
        <v>GARIBALDINA ARMY RIP GN VERDE 2XS/2XL EM</v>
      </c>
      <c r="D583" s="4">
        <f>IF(IFERROR(VLOOKUP($B583,LINCE!$A$5:$D$4000,4,FALSE),"")=0,"",IFERROR(VLOOKUP($B583,LINCE!$A$5:$D$4000,4,FALSE),""))</f>
        <v>3629.99</v>
      </c>
      <c r="E583" s="14">
        <f>IF(IFERROR(VLOOKUP($B583,LINCE!$A$5:$E$4000,5,FALSE),"")=0,"",IFERROR(VLOOKUP($B583,LINCE!$A$5:$E$4000,5,FALSE),""))</f>
        <v>25</v>
      </c>
    </row>
    <row r="584" spans="1:5" ht="129.94999999999999" hidden="1" customHeight="1" x14ac:dyDescent="0.25">
      <c r="A584" s="1"/>
      <c r="B584" s="3">
        <v>5101234</v>
      </c>
      <c r="C584" s="4" t="str">
        <f>IF(IFERROR(VLOOKUP($B584,LINCE!$A$5:$D$4000,3,FALSE),"")=0,"",IFERROR(VLOOKUP($B584,LINCE!$A$5:$D$4000,3,FALSE),""))</f>
        <v>GARIBALDINA ARMY RIP EJERCIT 2XS/2XL RER</v>
      </c>
      <c r="D584" s="4">
        <f>IF(IFERROR(VLOOKUP($B584,LINCE!$A$5:$D$4000,4,FALSE),"")=0,"",IFERROR(VLOOKUP($B584,LINCE!$A$5:$D$4000,4,FALSE),""))</f>
        <v>4259.1899999999996</v>
      </c>
      <c r="E584" s="14">
        <f>IF(IFERROR(VLOOKUP($B584,LINCE!$A$5:$E$4000,5,FALSE),"")=0,"",IFERROR(VLOOKUP($B584,LINCE!$A$5:$E$4000,5,FALSE),""))</f>
        <v>3</v>
      </c>
    </row>
    <row r="585" spans="1:5" ht="129.94999999999999" hidden="1" customHeight="1" x14ac:dyDescent="0.25">
      <c r="A585" s="1"/>
      <c r="B585" s="3">
        <v>8508132</v>
      </c>
      <c r="C585" s="4" t="str">
        <f>IF(IFERROR(VLOOKUP($B585,LINCE!$A$5:$D$4000,3,FALSE),"")=0,"",IFERROR(VLOOKUP($B585,LINCE!$A$5:$D$4000,3,FALSE),""))</f>
        <v>CREMA PARA BORCEGUIES RER</v>
      </c>
      <c r="D585" s="4">
        <f>IF(IFERROR(VLOOKUP($B585,LINCE!$A$5:$D$4000,4,FALSE),"")=0,"",IFERROR(VLOOKUP($B585,LINCE!$A$5:$D$4000,4,FALSE),""))</f>
        <v>335.06</v>
      </c>
      <c r="E585" s="14">
        <f>IF(IFERROR(VLOOKUP($B585,LINCE!$A$5:$E$4000,5,FALSE),"")=0,"",IFERROR(VLOOKUP($B585,LINCE!$A$5:$E$4000,5,FALSE),""))</f>
        <v>4</v>
      </c>
    </row>
    <row r="586" spans="1:5" ht="129.94999999999999" hidden="1" customHeight="1" x14ac:dyDescent="0.25">
      <c r="A586" s="1"/>
      <c r="B586" s="3">
        <v>8708024</v>
      </c>
      <c r="C586" s="4" t="str">
        <f>IF(IFERROR(VLOOKUP($B586,LINCE!$A$5:$D$4000,3,FALSE),"")=0,"",IFERROR(VLOOKUP($B586,LINCE!$A$5:$D$4000,3,FALSE),""))</f>
        <v>CORREA PARA ESCOPETA GALON ANCHO RER</v>
      </c>
      <c r="D586" s="4">
        <f>IF(IFERROR(VLOOKUP($B586,LINCE!$A$5:$D$4000,4,FALSE),"")=0,"",IFERROR(VLOOKUP($B586,LINCE!$A$5:$D$4000,4,FALSE),""))</f>
        <v>1453.42</v>
      </c>
      <c r="E586" s="14">
        <f>IF(IFERROR(VLOOKUP($B586,LINCE!$A$5:$E$4000,5,FALSE),"")=0,"",IFERROR(VLOOKUP($B586,LINCE!$A$5:$E$4000,5,FALSE),""))</f>
        <v>5</v>
      </c>
    </row>
    <row r="587" spans="1:5" ht="129.94999999999999" hidden="1" customHeight="1" x14ac:dyDescent="0.25">
      <c r="A587" s="1"/>
      <c r="B587" s="3">
        <v>8708040</v>
      </c>
      <c r="C587" s="4" t="str">
        <f>IF(IFERROR(VLOOKUP($B587,LINCE!$A$5:$D$4000,3,FALSE),"")=0,"",IFERROR(VLOOKUP($B587,LINCE!$A$5:$D$4000,3,FALSE),""))</f>
        <v>CORREA DE TRES PUNTOS RRD9 BLK</v>
      </c>
      <c r="D587" s="4">
        <f>IF(IFERROR(VLOOKUP($B587,LINCE!$A$5:$D$4000,4,FALSE),"")=0,"",IFERROR(VLOOKUP($B587,LINCE!$A$5:$D$4000,4,FALSE),""))</f>
        <v>900</v>
      </c>
      <c r="E587" s="14">
        <f>IF(IFERROR(VLOOKUP($B587,LINCE!$A$5:$E$4000,5,FALSE),"")=0,"",IFERROR(VLOOKUP($B587,LINCE!$A$5:$E$4000,5,FALSE),""))</f>
        <v>2</v>
      </c>
    </row>
    <row r="588" spans="1:5" ht="129.94999999999999" hidden="1" customHeight="1" x14ac:dyDescent="0.25">
      <c r="A588" s="1"/>
      <c r="B588" s="3">
        <v>8708010</v>
      </c>
      <c r="C588" s="4" t="str">
        <f>IF(IFERROR(VLOOKUP($B588,LINCE!$A$5:$D$4000,3,FALSE),"")=0,"",IFERROR(VLOOKUP($B588,LINCE!$A$5:$D$4000,3,FALSE),""))</f>
        <v>CORREA BUNNGIE RRD10 BLK</v>
      </c>
      <c r="D588" s="4">
        <f>IF(IFERROR(VLOOKUP($B588,LINCE!$A$5:$D$4000,4,FALSE),"")=0,"",IFERROR(VLOOKUP($B588,LINCE!$A$5:$D$4000,4,FALSE),""))</f>
        <v>900</v>
      </c>
      <c r="E588" s="14">
        <f>IF(IFERROR(VLOOKUP($B588,LINCE!$A$5:$E$4000,5,FALSE),"")=0,"",IFERROR(VLOOKUP($B588,LINCE!$A$5:$E$4000,5,FALSE),""))</f>
        <v>1</v>
      </c>
    </row>
    <row r="589" spans="1:5" ht="129.94999999999999" hidden="1" customHeight="1" x14ac:dyDescent="0.25">
      <c r="A589" s="1"/>
      <c r="B589" s="3">
        <v>8707000</v>
      </c>
      <c r="C589" s="4" t="str">
        <f>IF(IFERROR(VLOOKUP($B589,LINCE!$A$5:$D$4000,3,FALSE),"")=0,"",IFERROR(VLOOKUP($B589,LINCE!$A$5:$D$4000,3,FALSE),""))</f>
        <v>CORDON BORCEGUIES ( PAR) 108 X 2 MT RER</v>
      </c>
      <c r="D589" s="4">
        <f>IF(IFERROR(VLOOKUP($B589,LINCE!$A$5:$D$4000,4,FALSE),"")=0,"",IFERROR(VLOOKUP($B589,LINCE!$A$5:$D$4000,4,FALSE),""))</f>
        <v>150</v>
      </c>
      <c r="E589" s="14">
        <f>IF(IFERROR(VLOOKUP($B589,LINCE!$A$5:$E$4000,5,FALSE),"")=0,"",IFERROR(VLOOKUP($B589,LINCE!$A$5:$E$4000,5,FALSE),""))</f>
        <v>51</v>
      </c>
    </row>
    <row r="590" spans="1:5" ht="129.94999999999999" hidden="1" customHeight="1" x14ac:dyDescent="0.25">
      <c r="A590" s="1"/>
      <c r="B590" s="3">
        <v>8515748</v>
      </c>
      <c r="C590" s="4" t="str">
        <f>IF(IFERROR(VLOOKUP($B590,LINCE!$A$5:$D$4000,3,FALSE),"")=0,"",IFERROR(VLOOKUP($B590,LINCE!$A$5:$D$4000,3,FALSE),""))</f>
        <v>CORBATA UNIFORME NEGRO JLC</v>
      </c>
      <c r="D590" s="4">
        <f>IF(IFERROR(VLOOKUP($B590,LINCE!$A$5:$D$4000,4,FALSE),"")=0,"",IFERROR(VLOOKUP($B590,LINCE!$A$5:$D$4000,4,FALSE),""))</f>
        <v>849.99</v>
      </c>
      <c r="E590" s="14">
        <f>IF(IFERROR(VLOOKUP($B590,LINCE!$A$5:$E$4000,5,FALSE),"")=0,"",IFERROR(VLOOKUP($B590,LINCE!$A$5:$E$4000,5,FALSE),""))</f>
        <v>43</v>
      </c>
    </row>
    <row r="591" spans="1:5" ht="129.94999999999999" hidden="1" customHeight="1" x14ac:dyDescent="0.25">
      <c r="A591" s="1"/>
      <c r="B591" s="3">
        <v>8515746</v>
      </c>
      <c r="C591" s="4" t="str">
        <f>IF(IFERROR(VLOOKUP($B591,LINCE!$A$5:$D$4000,3,FALSE),"")=0,"",IFERROR(VLOOKUP($B591,LINCE!$A$5:$D$4000,3,FALSE),""))</f>
        <v>CORBATA UNIFORME AZUL JLC</v>
      </c>
      <c r="D591" s="4">
        <f>IF(IFERROR(VLOOKUP($B591,LINCE!$A$5:$D$4000,4,FALSE),"")=0,"",IFERROR(VLOOKUP($B591,LINCE!$A$5:$D$4000,4,FALSE),""))</f>
        <v>849.99</v>
      </c>
      <c r="E591" s="14">
        <f>IF(IFERROR(VLOOKUP($B591,LINCE!$A$5:$E$4000,5,FALSE),"")=0,"",IFERROR(VLOOKUP($B591,LINCE!$A$5:$E$4000,5,FALSE),""))</f>
        <v>283</v>
      </c>
    </row>
    <row r="592" spans="1:5" ht="129.94999999999999" hidden="1" customHeight="1" x14ac:dyDescent="0.25">
      <c r="A592" s="1"/>
      <c r="B592" s="3">
        <v>8515747</v>
      </c>
      <c r="C592" s="4" t="str">
        <f>IF(IFERROR(VLOOKUP($B592,LINCE!$A$5:$D$4000,3,FALSE),"")=0,"",IFERROR(VLOOKUP($B592,LINCE!$A$5:$D$4000,3,FALSE),""))</f>
        <v>CORBATA BEIGE UNIFORME JLC</v>
      </c>
      <c r="D592" s="4">
        <f>IF(IFERROR(VLOOKUP($B592,LINCE!$A$5:$D$4000,4,FALSE),"")=0,"",IFERROR(VLOOKUP($B592,LINCE!$A$5:$D$4000,4,FALSE),""))</f>
        <v>849.99</v>
      </c>
      <c r="E592" s="14" t="str">
        <f>IF(IFERROR(VLOOKUP($B592,LINCE!$A$5:$E$4000,5,FALSE),"")=0,"",IFERROR(VLOOKUP($B592,LINCE!$A$5:$E$4000,5,FALSE),""))</f>
        <v/>
      </c>
    </row>
    <row r="593" spans="1:5" ht="129.94999999999999" hidden="1" customHeight="1" x14ac:dyDescent="0.25">
      <c r="A593" s="1"/>
      <c r="B593" s="3">
        <v>8701494</v>
      </c>
      <c r="C593" s="4" t="str">
        <f>IF(IFERROR(VLOOKUP($B593,LINCE!$A$5:$D$4000,3,FALSE),"")=0,"",IFERROR(VLOOKUP($B593,LINCE!$A$5:$D$4000,3,FALSE),""))</f>
        <v>CINTURON TACTICO URBANO GRANDE  5494/3</v>
      </c>
      <c r="D593" s="4">
        <f>IF(IFERROR(VLOOKUP($B593,LINCE!$A$5:$D$4000,4,FALSE),"")=0,"",IFERROR(VLOOKUP($B593,LINCE!$A$5:$D$4000,4,FALSE),""))</f>
        <v>500</v>
      </c>
      <c r="E593" s="14">
        <f>IF(IFERROR(VLOOKUP($B593,LINCE!$A$5:$E$4000,5,FALSE),"")=0,"",IFERROR(VLOOKUP($B593,LINCE!$A$5:$E$4000,5,FALSE),""))</f>
        <v>123</v>
      </c>
    </row>
    <row r="594" spans="1:5" ht="129.94999999999999" hidden="1" customHeight="1" x14ac:dyDescent="0.25">
      <c r="A594" s="1"/>
      <c r="B594" s="3">
        <v>8701038</v>
      </c>
      <c r="C594" s="4" t="str">
        <f>IF(IFERROR(VLOOKUP($B594,LINCE!$A$5:$D$4000,3,FALSE),"")=0,"",IFERROR(VLOOKUP($B594,LINCE!$A$5:$D$4000,3,FALSE),""))</f>
        <v>CINTURON TACTICO RANGER HEBILLA FA38</v>
      </c>
      <c r="D594" s="4">
        <f>IF(IFERROR(VLOOKUP($B594,LINCE!$A$5:$D$4000,4,FALSE),"")=0,"",IFERROR(VLOOKUP($B594,LINCE!$A$5:$D$4000,4,FALSE),""))</f>
        <v>1300</v>
      </c>
      <c r="E594" s="14">
        <f>IF(IFERROR(VLOOKUP($B594,LINCE!$A$5:$E$4000,5,FALSE),"")=0,"",IFERROR(VLOOKUP($B594,LINCE!$A$5:$E$4000,5,FALSE),""))</f>
        <v>104</v>
      </c>
    </row>
    <row r="595" spans="1:5" ht="129.94999999999999" hidden="1" customHeight="1" x14ac:dyDescent="0.25">
      <c r="A595" s="1"/>
      <c r="B595" s="3">
        <v>8701350</v>
      </c>
      <c r="C595" s="4" t="str">
        <f>IF(IFERROR(VLOOKUP($B595,LINCE!$A$5:$D$4000,3,FALSE),"")=0,"",IFERROR(VLOOKUP($B595,LINCE!$A$5:$D$4000,3,FALSE),""))</f>
        <v/>
      </c>
      <c r="D595" s="4" t="str">
        <f>IF(IFERROR(VLOOKUP($B595,LINCE!$A$5:$D$4000,4,FALSE),"")=0,"",IFERROR(VLOOKUP($B595,LINCE!$A$5:$D$4000,4,FALSE),""))</f>
        <v/>
      </c>
      <c r="E595" s="14" t="str">
        <f>IF(IFERROR(VLOOKUP($B595,LINCE!$A$5:$E$4000,5,FALSE),"")=0,"",IFERROR(VLOOKUP($B595,LINCE!$A$5:$E$4000,5,FALSE),""))</f>
        <v/>
      </c>
    </row>
    <row r="596" spans="1:5" ht="129.94999999999999" hidden="1" customHeight="1" x14ac:dyDescent="0.25">
      <c r="A596" s="1"/>
      <c r="B596" s="3">
        <v>8701800</v>
      </c>
      <c r="C596" s="4" t="str">
        <f>IF(IFERROR(VLOOKUP($B596,LINCE!$A$5:$D$4000,3,FALSE),"")=0,"",IFERROR(VLOOKUP($B596,LINCE!$A$5:$D$4000,3,FALSE),""))</f>
        <v/>
      </c>
      <c r="D596" s="4" t="str">
        <f>IF(IFERROR(VLOOKUP($B596,LINCE!$A$5:$D$4000,4,FALSE),"")=0,"",IFERROR(VLOOKUP($B596,LINCE!$A$5:$D$4000,4,FALSE),""))</f>
        <v/>
      </c>
      <c r="E596" s="14" t="str">
        <f>IF(IFERROR(VLOOKUP($B596,LINCE!$A$5:$E$4000,5,FALSE),"")=0,"",IFERROR(VLOOKUP($B596,LINCE!$A$5:$E$4000,5,FALSE),""))</f>
        <v/>
      </c>
    </row>
    <row r="597" spans="1:5" ht="129.94999999999999" hidden="1" customHeight="1" x14ac:dyDescent="0.25">
      <c r="A597" s="1"/>
      <c r="B597" s="3">
        <v>8701000</v>
      </c>
      <c r="C597" s="4" t="str">
        <f>IF(IFERROR(VLOOKUP($B597,LINCE!$A$5:$D$4000,3,FALSE),"")=0,"",IFERROR(VLOOKUP($B597,LINCE!$A$5:$D$4000,3,FALSE),""))</f>
        <v>CINTURON POLIA NEGRO T663 TB RER</v>
      </c>
      <c r="D597" s="4">
        <f>IF(IFERROR(VLOOKUP($B597,LINCE!$A$5:$D$4000,4,FALSE),"")=0,"",IFERROR(VLOOKUP($B597,LINCE!$A$5:$D$4000,4,FALSE),""))</f>
        <v>1222.99</v>
      </c>
      <c r="E597" s="14">
        <f>IF(IFERROR(VLOOKUP($B597,LINCE!$A$5:$E$4000,5,FALSE),"")=0,"",IFERROR(VLOOKUP($B597,LINCE!$A$5:$E$4000,5,FALSE),""))</f>
        <v>103</v>
      </c>
    </row>
    <row r="598" spans="1:5" ht="129.94999999999999" hidden="1" customHeight="1" x14ac:dyDescent="0.25">
      <c r="A598" s="1"/>
      <c r="B598" s="3">
        <v>8701655</v>
      </c>
      <c r="C598" s="4" t="str">
        <f>IF(IFERROR(VLOOKUP($B598,LINCE!$A$5:$D$4000,3,FALSE),"")=0,"",IFERROR(VLOOKUP($B598,LINCE!$A$5:$D$4000,3,FALSE),""))</f>
        <v>CINTURON INTERNO DE TELA T655 TB</v>
      </c>
      <c r="D598" s="4">
        <f>IF(IFERROR(VLOOKUP($B598,LINCE!$A$5:$D$4000,4,FALSE),"")=0,"",IFERROR(VLOOKUP($B598,LINCE!$A$5:$D$4000,4,FALSE),""))</f>
        <v>1140</v>
      </c>
      <c r="E598" s="14">
        <f>IF(IFERROR(VLOOKUP($B598,LINCE!$A$5:$E$4000,5,FALSE),"")=0,"",IFERROR(VLOOKUP($B598,LINCE!$A$5:$E$4000,5,FALSE),""))</f>
        <v>4</v>
      </c>
    </row>
    <row r="599" spans="1:5" ht="129.94999999999999" hidden="1" customHeight="1" x14ac:dyDescent="0.25">
      <c r="A599" s="1"/>
      <c r="B599" s="3">
        <v>8701741</v>
      </c>
      <c r="C599" s="4" t="str">
        <f>IF(IFERROR(VLOOKUP($B599,LINCE!$A$5:$D$4000,3,FALSE),"")=0,"",IFERROR(VLOOKUP($B599,LINCE!$A$5:$D$4000,3,FALSE),""))</f>
        <v>CINTURON GALA POLICIA DORA S/HEBILLA</v>
      </c>
      <c r="D599" s="4">
        <f>IF(IFERROR(VLOOKUP($B599,LINCE!$A$5:$D$4000,4,FALSE),"")=0,"",IFERROR(VLOOKUP($B599,LINCE!$A$5:$D$4000,4,FALSE),""))</f>
        <v>1369.94</v>
      </c>
      <c r="E599" s="14">
        <f>IF(IFERROR(VLOOKUP($B599,LINCE!$A$5:$E$4000,5,FALSE),"")=0,"",IFERROR(VLOOKUP($B599,LINCE!$A$5:$E$4000,5,FALSE),""))</f>
        <v>129</v>
      </c>
    </row>
    <row r="600" spans="1:5" ht="129.94999999999999" hidden="1" customHeight="1" x14ac:dyDescent="0.25">
      <c r="A600" s="1"/>
      <c r="B600" s="3">
        <v>8701033</v>
      </c>
      <c r="C600" s="4" t="str">
        <f>IF(IFERROR(VLOOKUP($B600,LINCE!$A$5:$D$4000,3,FALSE),"")=0,"",IFERROR(VLOOKUP($B600,LINCE!$A$5:$D$4000,3,FALSE),""))</f>
        <v>CINTURON CUERO OFICIAL CON DADO 1033 TB</v>
      </c>
      <c r="D600" s="4">
        <f>IF(IFERROR(VLOOKUP($B600,LINCE!$A$5:$D$4000,4,FALSE),"")=0,"",IFERROR(VLOOKUP($B600,LINCE!$A$5:$D$4000,4,FALSE),""))</f>
        <v>4950</v>
      </c>
      <c r="E600" s="14">
        <f>IF(IFERROR(VLOOKUP($B600,LINCE!$A$5:$E$4000,5,FALSE),"")=0,"",IFERROR(VLOOKUP($B600,LINCE!$A$5:$E$4000,5,FALSE),""))</f>
        <v>17</v>
      </c>
    </row>
    <row r="601" spans="1:5" ht="129.94999999999999" hidden="1" customHeight="1" x14ac:dyDescent="0.25">
      <c r="A601" s="1"/>
      <c r="B601" s="3">
        <v>8701735</v>
      </c>
      <c r="C601" s="4" t="str">
        <f>IF(IFERROR(VLOOKUP($B601,LINCE!$A$5:$D$4000,3,FALSE),"")=0,"",IFERROR(VLOOKUP($B601,LINCE!$A$5:$D$4000,3,FALSE),""))</f>
        <v>CINTURON CUERO OFICAL SIN DADO 1050 TB</v>
      </c>
      <c r="D601" s="4">
        <f>IF(IFERROR(VLOOKUP($B601,LINCE!$A$5:$D$4000,4,FALSE),"")=0,"",IFERROR(VLOOKUP($B601,LINCE!$A$5:$D$4000,4,FALSE),""))</f>
        <v>3660</v>
      </c>
      <c r="E601" s="14">
        <f>IF(IFERROR(VLOOKUP($B601,LINCE!$A$5:$E$4000,5,FALSE),"")=0,"",IFERROR(VLOOKUP($B601,LINCE!$A$5:$E$4000,5,FALSE),""))</f>
        <v>39</v>
      </c>
    </row>
    <row r="602" spans="1:5" ht="129.94999999999999" hidden="1" customHeight="1" x14ac:dyDescent="0.25">
      <c r="A602" s="1"/>
      <c r="B602" s="3">
        <v>8701999</v>
      </c>
      <c r="C602" s="4" t="str">
        <f>IF(IFERROR(VLOOKUP($B602,LINCE!$A$5:$D$4000,3,FALSE),"")=0,"",IFERROR(VLOOKUP($B602,LINCE!$A$5:$D$4000,3,FALSE),""))</f>
        <v/>
      </c>
      <c r="D602" s="4" t="str">
        <f>IF(IFERROR(VLOOKUP($B602,LINCE!$A$5:$D$4000,4,FALSE),"")=0,"",IFERROR(VLOOKUP($B602,LINCE!$A$5:$D$4000,4,FALSE),""))</f>
        <v/>
      </c>
      <c r="E602" s="14" t="str">
        <f>IF(IFERROR(VLOOKUP($B602,LINCE!$A$5:$E$4000,5,FALSE),"")=0,"",IFERROR(VLOOKUP($B602,LINCE!$A$5:$E$4000,5,FALSE),""))</f>
        <v/>
      </c>
    </row>
    <row r="603" spans="1:5" ht="129.94999999999999" hidden="1" customHeight="1" x14ac:dyDescent="0.25">
      <c r="A603" s="1"/>
      <c r="B603" s="3">
        <v>8701542</v>
      </c>
      <c r="C603" s="4" t="str">
        <f>IF(IFERROR(VLOOKUP($B603,LINCE!$A$5:$D$4000,3,FALSE),"")=0,"",IFERROR(VLOOKUP($B603,LINCE!$A$5:$D$4000,3,FALSE),""))</f>
        <v>CINTURON AMERIC TRIPLE SEG 018 H CUA RER</v>
      </c>
      <c r="D603" s="4">
        <f>IF(IFERROR(VLOOKUP($B603,LINCE!$A$5:$D$4000,4,FALSE),"")=0,"",IFERROR(VLOOKUP($B603,LINCE!$A$5:$D$4000,4,FALSE),""))</f>
        <v>1200</v>
      </c>
      <c r="E603" s="14">
        <f>IF(IFERROR(VLOOKUP($B603,LINCE!$A$5:$E$4000,5,FALSE),"")=0,"",IFERROR(VLOOKUP($B603,LINCE!$A$5:$E$4000,5,FALSE),""))</f>
        <v>97</v>
      </c>
    </row>
    <row r="604" spans="1:5" ht="129.94999999999999" hidden="1" customHeight="1" x14ac:dyDescent="0.25">
      <c r="A604" s="1"/>
      <c r="B604" s="3">
        <v>8701214</v>
      </c>
      <c r="C604" s="4" t="str">
        <f>IF(IFERROR(VLOOKUP($B604,LINCE!$A$5:$D$4000,3,FALSE),"")=0,"",IFERROR(VLOOKUP($B604,LINCE!$A$5:$D$4000,3,FALSE),""))</f>
        <v>CINTURON AMERIC NEGRO T650 MAZ TB</v>
      </c>
      <c r="D604" s="4">
        <f>IF(IFERROR(VLOOKUP($B604,LINCE!$A$5:$D$4000,4,FALSE),"")=0,"",IFERROR(VLOOKUP($B604,LINCE!$A$5:$D$4000,4,FALSE),""))</f>
        <v>1170</v>
      </c>
      <c r="E604" s="14">
        <f>IF(IFERROR(VLOOKUP($B604,LINCE!$A$5:$E$4000,5,FALSE),"")=0,"",IFERROR(VLOOKUP($B604,LINCE!$A$5:$E$4000,5,FALSE),""))</f>
        <v>585</v>
      </c>
    </row>
    <row r="605" spans="1:5" ht="129.94999999999999" hidden="1" customHeight="1" x14ac:dyDescent="0.25">
      <c r="A605" s="1"/>
      <c r="B605" s="3">
        <v>8701092</v>
      </c>
      <c r="C605" s="4" t="str">
        <f>IF(IFERROR(VLOOKUP($B605,LINCE!$A$5:$D$4000,3,FALSE),"")=0,"",IFERROR(VLOOKUP($B605,LINCE!$A$5:$D$4000,3,FALSE),""))</f>
        <v>CINTO DELTA XTL 549 VERDE XTR</v>
      </c>
      <c r="D605" s="4">
        <f>IF(IFERROR(VLOOKUP($B605,LINCE!$A$5:$D$4000,4,FALSE),"")=0,"",IFERROR(VLOOKUP($B605,LINCE!$A$5:$D$4000,4,FALSE),""))</f>
        <v>1300</v>
      </c>
      <c r="E605" s="14">
        <f>IF(IFERROR(VLOOKUP($B605,LINCE!$A$5:$E$4000,5,FALSE),"")=0,"",IFERROR(VLOOKUP($B605,LINCE!$A$5:$E$4000,5,FALSE),""))</f>
        <v>18</v>
      </c>
    </row>
    <row r="606" spans="1:5" ht="129.94999999999999" hidden="1" customHeight="1" x14ac:dyDescent="0.25">
      <c r="A606" s="1"/>
      <c r="B606" s="3">
        <v>8701090</v>
      </c>
      <c r="C606" s="4" t="str">
        <f>IF(IFERROR(VLOOKUP($B606,LINCE!$A$5:$D$4000,3,FALSE),"")=0,"",IFERROR(VLOOKUP($B606,LINCE!$A$5:$D$4000,3,FALSE),""))</f>
        <v/>
      </c>
      <c r="D606" s="4" t="str">
        <f>IF(IFERROR(VLOOKUP($B606,LINCE!$A$5:$D$4000,4,FALSE),"")=0,"",IFERROR(VLOOKUP($B606,LINCE!$A$5:$D$4000,4,FALSE),""))</f>
        <v/>
      </c>
      <c r="E606" s="14" t="str">
        <f>IF(IFERROR(VLOOKUP($B606,LINCE!$A$5:$E$4000,5,FALSE),"")=0,"",IFERROR(VLOOKUP($B606,LINCE!$A$5:$E$4000,5,FALSE),""))</f>
        <v/>
      </c>
    </row>
    <row r="607" spans="1:5" ht="129.94999999999999" hidden="1" customHeight="1" x14ac:dyDescent="0.25">
      <c r="A607" s="1"/>
      <c r="B607" s="3">
        <v>8701093</v>
      </c>
      <c r="C607" s="4" t="str">
        <f>IF(IFERROR(VLOOKUP($B607,LINCE!$A$5:$D$4000,3,FALSE),"")=0,"",IFERROR(VLOOKUP($B607,LINCE!$A$5:$D$4000,3,FALSE),""))</f>
        <v>CINTO DELTA XTL 549 BEIGE XTR</v>
      </c>
      <c r="D607" s="4">
        <f>IF(IFERROR(VLOOKUP($B607,LINCE!$A$5:$D$4000,4,FALSE),"")=0,"",IFERROR(VLOOKUP($B607,LINCE!$A$5:$D$4000,4,FALSE),""))</f>
        <v>1300</v>
      </c>
      <c r="E607" s="14">
        <f>IF(IFERROR(VLOOKUP($B607,LINCE!$A$5:$E$4000,5,FALSE),"")=0,"",IFERROR(VLOOKUP($B607,LINCE!$A$5:$E$4000,5,FALSE),""))</f>
        <v>7</v>
      </c>
    </row>
    <row r="608" spans="1:5" ht="129.94999999999999" hidden="1" customHeight="1" x14ac:dyDescent="0.25">
      <c r="A608" s="1"/>
      <c r="B608" s="3">
        <v>2101901</v>
      </c>
      <c r="C608" s="4" t="str">
        <f>IF(IFERROR(VLOOKUP($B608,LINCE!$A$5:$D$4000,3,FALSE),"")=0,"",IFERROR(VLOOKUP($B608,LINCE!$A$5:$D$4000,3,FALSE),""))</f>
        <v>CHOMBA ML CIERRE NE 3XS/2XL RER</v>
      </c>
      <c r="D608" s="4">
        <f>IF(IFERROR(VLOOKUP($B608,LINCE!$A$5:$D$4000,4,FALSE),"")=0,"",IFERROR(VLOOKUP($B608,LINCE!$A$5:$D$4000,4,FALSE),""))</f>
        <v>1875.5</v>
      </c>
      <c r="E608" s="14">
        <f>IF(IFERROR(VLOOKUP($B608,LINCE!$A$5:$E$4000,5,FALSE),"")=0,"",IFERROR(VLOOKUP($B608,LINCE!$A$5:$E$4000,5,FALSE),""))</f>
        <v>99</v>
      </c>
    </row>
    <row r="609" spans="1:5" ht="129.94999999999999" hidden="1" customHeight="1" x14ac:dyDescent="0.25">
      <c r="A609" s="1"/>
      <c r="B609" s="3">
        <v>2101751</v>
      </c>
      <c r="C609" s="4" t="str">
        <f>IF(IFERROR(VLOOKUP($B609,LINCE!$A$5:$D$4000,3,FALSE),"")=0,"",IFERROR(VLOOKUP($B609,LINCE!$A$5:$D$4000,3,FALSE),""))</f>
        <v>CHOMBA ML CIERRE GR 3XS/2XL RER</v>
      </c>
      <c r="D609" s="4">
        <f>IF(IFERROR(VLOOKUP($B609,LINCE!$A$5:$D$4000,4,FALSE),"")=0,"",IFERROR(VLOOKUP($B609,LINCE!$A$5:$D$4000,4,FALSE),""))</f>
        <v>1875.5</v>
      </c>
      <c r="E609" s="14">
        <f>IF(IFERROR(VLOOKUP($B609,LINCE!$A$5:$E$4000,5,FALSE),"")=0,"",IFERROR(VLOOKUP($B609,LINCE!$A$5:$E$4000,5,FALSE),""))</f>
        <v>157</v>
      </c>
    </row>
    <row r="610" spans="1:5" ht="129.94999999999999" hidden="1" customHeight="1" x14ac:dyDescent="0.25">
      <c r="A610" s="1"/>
      <c r="B610" s="3">
        <v>2101496</v>
      </c>
      <c r="C610" s="4" t="str">
        <f>IF(IFERROR(VLOOKUP($B610,LINCE!$A$5:$D$4000,3,FALSE),"")=0,"",IFERROR(VLOOKUP($B610,LINCE!$A$5:$D$4000,3,FALSE),""))</f>
        <v>CHOMBA ML CIERRE AZ 3XS/2XL RER</v>
      </c>
      <c r="D610" s="4">
        <f>IF(IFERROR(VLOOKUP($B610,LINCE!$A$5:$D$4000,4,FALSE),"")=0,"",IFERROR(VLOOKUP($B610,LINCE!$A$5:$D$4000,4,FALSE),""))</f>
        <v>1875.5</v>
      </c>
      <c r="E610" s="14">
        <f>IF(IFERROR(VLOOKUP($B610,LINCE!$A$5:$E$4000,5,FALSE),"")=0,"",IFERROR(VLOOKUP($B610,LINCE!$A$5:$E$4000,5,FALSE),""))</f>
        <v>214</v>
      </c>
    </row>
    <row r="611" spans="1:5" ht="129.94999999999999" hidden="1" customHeight="1" x14ac:dyDescent="0.25">
      <c r="A611" s="1"/>
      <c r="B611" s="3">
        <v>2101105</v>
      </c>
      <c r="C611" s="4" t="str">
        <f>IF(IFERROR(VLOOKUP($B611,LINCE!$A$5:$D$4000,3,FALSE),"")=0,"",IFERROR(VLOOKUP($B611,LINCE!$A$5:$D$4000,3,FALSE),""))</f>
        <v/>
      </c>
      <c r="D611" s="4" t="str">
        <f>IF(IFERROR(VLOOKUP($B611,LINCE!$A$5:$D$4000,4,FALSE),"")=0,"",IFERROR(VLOOKUP($B611,LINCE!$A$5:$D$4000,4,FALSE),""))</f>
        <v/>
      </c>
      <c r="E611" s="14" t="str">
        <f>IF(IFERROR(VLOOKUP($B611,LINCE!$A$5:$E$4000,5,FALSE),"")=0,"",IFERROR(VLOOKUP($B611,LINCE!$A$5:$E$4000,5,FALSE),""))</f>
        <v/>
      </c>
    </row>
    <row r="612" spans="1:5" ht="129.94999999999999" hidden="1" customHeight="1" x14ac:dyDescent="0.25">
      <c r="A612" s="1"/>
      <c r="B612" s="3">
        <v>2101000</v>
      </c>
      <c r="C612" s="4" t="str">
        <f>IF(IFERROR(VLOOKUP($B612,LINCE!$A$5:$D$4000,3,FALSE),"")=0,"",IFERROR(VLOOKUP($B612,LINCE!$A$5:$D$4000,3,FALSE),""))</f>
        <v>CHOMBA MC POLO NEGRA 3XS/2XL RER</v>
      </c>
      <c r="D612" s="4">
        <f>IF(IFERROR(VLOOKUP($B612,LINCE!$A$5:$D$4000,4,FALSE),"")=0,"",IFERROR(VLOOKUP($B612,LINCE!$A$5:$D$4000,4,FALSE),""))</f>
        <v>1875</v>
      </c>
      <c r="E612" s="14">
        <f>IF(IFERROR(VLOOKUP($B612,LINCE!$A$5:$E$4000,5,FALSE),"")=0,"",IFERROR(VLOOKUP($B612,LINCE!$A$5:$E$4000,5,FALSE),""))</f>
        <v>197</v>
      </c>
    </row>
    <row r="613" spans="1:5" ht="129.94999999999999" hidden="1" customHeight="1" x14ac:dyDescent="0.25">
      <c r="A613" s="1"/>
      <c r="B613" s="3">
        <v>2101500</v>
      </c>
      <c r="C613" s="4" t="str">
        <f>IF(IFERROR(VLOOKUP($B613,LINCE!$A$5:$D$4000,3,FALSE),"")=0,"",IFERROR(VLOOKUP($B613,LINCE!$A$5:$D$4000,3,FALSE),""))</f>
        <v>CHOMBA MC POLO GRIS MELA SPF 3XS/2XL RER</v>
      </c>
      <c r="D613" s="4">
        <f>IF(IFERROR(VLOOKUP($B613,LINCE!$A$5:$D$4000,4,FALSE),"")=0,"",IFERROR(VLOOKUP($B613,LINCE!$A$5:$D$4000,4,FALSE),""))</f>
        <v>1936</v>
      </c>
      <c r="E613" s="14">
        <f>IF(IFERROR(VLOOKUP($B613,LINCE!$A$5:$E$4000,5,FALSE),"")=0,"",IFERROR(VLOOKUP($B613,LINCE!$A$5:$E$4000,5,FALSE),""))</f>
        <v>33</v>
      </c>
    </row>
    <row r="614" spans="1:5" ht="129.94999999999999" hidden="1" customHeight="1" x14ac:dyDescent="0.25">
      <c r="A614" s="1"/>
      <c r="B614" s="3">
        <v>2103069</v>
      </c>
      <c r="C614" s="4" t="str">
        <f>IF(IFERROR(VLOOKUP($B614,LINCE!$A$5:$D$4000,3,FALSE),"")=0,"",IFERROR(VLOOKUP($B614,LINCE!$A$5:$D$4000,3,FALSE),""))</f>
        <v>CHOMBA MC POLO GRIS + BAND 3XS/2XL RER</v>
      </c>
      <c r="D614" s="4">
        <f>IF(IFERROR(VLOOKUP($B614,LINCE!$A$5:$D$4000,4,FALSE),"")=0,"",IFERROR(VLOOKUP($B614,LINCE!$A$5:$D$4000,4,FALSE),""))</f>
        <v>1694</v>
      </c>
      <c r="E614" s="14">
        <f>IF(IFERROR(VLOOKUP($B614,LINCE!$A$5:$E$4000,5,FALSE),"")=0,"",IFERROR(VLOOKUP($B614,LINCE!$A$5:$E$4000,5,FALSE),""))</f>
        <v>100</v>
      </c>
    </row>
    <row r="615" spans="1:5" ht="129.94999999999999" hidden="1" customHeight="1" x14ac:dyDescent="0.25">
      <c r="A615" s="1"/>
      <c r="B615" s="3">
        <v>2101202</v>
      </c>
      <c r="C615" s="4" t="str">
        <f>IF(IFERROR(VLOOKUP($B615,LINCE!$A$5:$D$4000,3,FALSE),"")=0,"",IFERROR(VLOOKUP($B615,LINCE!$A$5:$D$4000,3,FALSE),""))</f>
        <v>CHOMBA MC POLO BLANCA 3XS/2XL RER</v>
      </c>
      <c r="D615" s="4">
        <f>IF(IFERROR(VLOOKUP($B615,LINCE!$A$5:$D$4000,4,FALSE),"")=0,"",IFERROR(VLOOKUP($B615,LINCE!$A$5:$D$4000,4,FALSE),""))</f>
        <v>1694</v>
      </c>
      <c r="E615" s="14">
        <f>IF(IFERROR(VLOOKUP($B615,LINCE!$A$5:$E$4000,5,FALSE),"")=0,"",IFERROR(VLOOKUP($B615,LINCE!$A$5:$E$4000,5,FALSE),""))</f>
        <v>60</v>
      </c>
    </row>
    <row r="616" spans="1:5" ht="129.94999999999999" hidden="1" customHeight="1" x14ac:dyDescent="0.25">
      <c r="A616" s="1"/>
      <c r="B616" s="3">
        <v>2103068</v>
      </c>
      <c r="C616" s="4" t="str">
        <f>IF(IFERROR(VLOOKUP($B616,LINCE!$A$5:$D$4000,3,FALSE),"")=0,"",IFERROR(VLOOKUP($B616,LINCE!$A$5:$D$4000,3,FALSE),""))</f>
        <v>CHOMBA MC POLO AZ + BAND 3XS/2XL RER</v>
      </c>
      <c r="D616" s="4">
        <f>IF(IFERROR(VLOOKUP($B616,LINCE!$A$5:$D$4000,4,FALSE),"")=0,"",IFERROR(VLOOKUP($B616,LINCE!$A$5:$D$4000,4,FALSE),""))</f>
        <v>1693.99</v>
      </c>
      <c r="E616" s="14">
        <f>IF(IFERROR(VLOOKUP($B616,LINCE!$A$5:$E$4000,5,FALSE),"")=0,"",IFERROR(VLOOKUP($B616,LINCE!$A$5:$E$4000,5,FALSE),""))</f>
        <v>193</v>
      </c>
    </row>
    <row r="617" spans="1:5" ht="129.94999999999999" hidden="1" customHeight="1" x14ac:dyDescent="0.25">
      <c r="A617" s="1"/>
      <c r="B617" s="3">
        <v>2101900</v>
      </c>
      <c r="C617" s="4" t="str">
        <f>IF(IFERROR(VLOOKUP($B617,LINCE!$A$5:$D$4000,3,FALSE),"")=0,"",IFERROR(VLOOKUP($B617,LINCE!$A$5:$D$4000,3,FALSE),""))</f>
        <v>CHOMBA MC CIERRE NE 3XS/2XL RER</v>
      </c>
      <c r="D617" s="4">
        <f>IF(IFERROR(VLOOKUP($B617,LINCE!$A$5:$D$4000,4,FALSE),"")=0,"",IFERROR(VLOOKUP($B617,LINCE!$A$5:$D$4000,4,FALSE),""))</f>
        <v>1705</v>
      </c>
      <c r="E617" s="14">
        <f>IF(IFERROR(VLOOKUP($B617,LINCE!$A$5:$E$4000,5,FALSE),"")=0,"",IFERROR(VLOOKUP($B617,LINCE!$A$5:$E$4000,5,FALSE),""))</f>
        <v>43</v>
      </c>
    </row>
    <row r="618" spans="1:5" ht="129.94999999999999" hidden="1" customHeight="1" x14ac:dyDescent="0.25">
      <c r="A618" s="1"/>
      <c r="B618" s="3">
        <v>2101750</v>
      </c>
      <c r="C618" s="4" t="str">
        <f>IF(IFERROR(VLOOKUP($B618,LINCE!$A$5:$D$4000,3,FALSE),"")=0,"",IFERROR(VLOOKUP($B618,LINCE!$A$5:$D$4000,3,FALSE),""))</f>
        <v>CHOMBA MC CIERRE GR 3XS/2XL RER</v>
      </c>
      <c r="D618" s="4">
        <f>IF(IFERROR(VLOOKUP($B618,LINCE!$A$5:$D$4000,4,FALSE),"")=0,"",IFERROR(VLOOKUP($B618,LINCE!$A$5:$D$4000,4,FALSE),""))</f>
        <v>1694.99</v>
      </c>
      <c r="E618" s="14">
        <f>IF(IFERROR(VLOOKUP($B618,LINCE!$A$5:$E$4000,5,FALSE),"")=0,"",IFERROR(VLOOKUP($B618,LINCE!$A$5:$E$4000,5,FALSE),""))</f>
        <v>128</v>
      </c>
    </row>
    <row r="619" spans="1:5" ht="129.94999999999999" hidden="1" customHeight="1" x14ac:dyDescent="0.25">
      <c r="A619" s="1"/>
      <c r="B619" s="3">
        <v>2101300</v>
      </c>
      <c r="C619" s="4" t="str">
        <f>IF(IFERROR(VLOOKUP($B619,LINCE!$A$5:$D$4000,3,FALSE),"")=0,"",IFERROR(VLOOKUP($B619,LINCE!$A$5:$D$4000,3,FALSE),""))</f>
        <v>CHOMBA MC CIERRE CIENTIFICA RER</v>
      </c>
      <c r="D619" s="4">
        <f>IF(IFERROR(VLOOKUP($B619,LINCE!$A$5:$D$4000,4,FALSE),"")=0,"",IFERROR(VLOOKUP($B619,LINCE!$A$5:$D$4000,4,FALSE),""))</f>
        <v>2099.9899999999998</v>
      </c>
      <c r="E619" s="14">
        <f>IF(IFERROR(VLOOKUP($B619,LINCE!$A$5:$E$4000,5,FALSE),"")=0,"",IFERROR(VLOOKUP($B619,LINCE!$A$5:$E$4000,5,FALSE),""))</f>
        <v>29</v>
      </c>
    </row>
    <row r="620" spans="1:5" ht="129.94999999999999" hidden="1" customHeight="1" x14ac:dyDescent="0.25">
      <c r="A620" s="1"/>
      <c r="B620" s="3">
        <v>2101110</v>
      </c>
      <c r="C620" s="4" t="str">
        <f>IF(IFERROR(VLOOKUP($B620,LINCE!$A$5:$D$4000,3,FALSE),"")=0,"",IFERROR(VLOOKUP($B620,LINCE!$A$5:$D$4000,3,FALSE),""))</f>
        <v>CHOMBA MC CIERRE BOMBERO 3XS/2XL RER</v>
      </c>
      <c r="D620" s="4">
        <f>IF(IFERROR(VLOOKUP($B620,LINCE!$A$5:$D$4000,4,FALSE),"")=0,"",IFERROR(VLOOKUP($B620,LINCE!$A$5:$D$4000,4,FALSE),""))</f>
        <v>1694</v>
      </c>
      <c r="E620" s="14">
        <f>IF(IFERROR(VLOOKUP($B620,LINCE!$A$5:$E$4000,5,FALSE),"")=0,"",IFERROR(VLOOKUP($B620,LINCE!$A$5:$E$4000,5,FALSE),""))</f>
        <v>97</v>
      </c>
    </row>
    <row r="621" spans="1:5" ht="129.94999999999999" hidden="1" customHeight="1" x14ac:dyDescent="0.25">
      <c r="A621" s="1"/>
      <c r="B621" s="3">
        <v>2101100</v>
      </c>
      <c r="C621" s="4" t="str">
        <f>IF(IFERROR(VLOOKUP($B621,LINCE!$A$5:$D$4000,3,FALSE),"")=0,"",IFERROR(VLOOKUP($B621,LINCE!$A$5:$D$4000,3,FALSE),""))</f>
        <v/>
      </c>
      <c r="D621" s="4" t="str">
        <f>IF(IFERROR(VLOOKUP($B621,LINCE!$A$5:$D$4000,4,FALSE),"")=0,"",IFERROR(VLOOKUP($B621,LINCE!$A$5:$D$4000,4,FALSE),""))</f>
        <v/>
      </c>
      <c r="E621" s="14" t="str">
        <f>IF(IFERROR(VLOOKUP($B621,LINCE!$A$5:$E$4000,5,FALSE),"")=0,"",IFERROR(VLOOKUP($B621,LINCE!$A$5:$E$4000,5,FALSE),""))</f>
        <v/>
      </c>
    </row>
    <row r="622" spans="1:5" ht="129.94999999999999" hidden="1" customHeight="1" x14ac:dyDescent="0.25">
      <c r="A622" s="1"/>
      <c r="B622" s="3">
        <v>2101877</v>
      </c>
      <c r="C622" s="4" t="str">
        <f>IF(IFERROR(VLOOKUP($B622,LINCE!$A$5:$D$4000,3,FALSE),"")=0,"",IFERROR(VLOOKUP($B622,LINCE!$A$5:$D$4000,3,FALSE),""))</f>
        <v>CHOMBA MC CIERRE BEIGE 3XS/2XL RER</v>
      </c>
      <c r="D622" s="4">
        <f>IF(IFERROR(VLOOKUP($B622,LINCE!$A$5:$D$4000,4,FALSE),"")=0,"",IFERROR(VLOOKUP($B622,LINCE!$A$5:$D$4000,4,FALSE),""))</f>
        <v>1694</v>
      </c>
      <c r="E622" s="14">
        <f>IF(IFERROR(VLOOKUP($B622,LINCE!$A$5:$E$4000,5,FALSE),"")=0,"",IFERROR(VLOOKUP($B622,LINCE!$A$5:$E$4000,5,FALSE),""))</f>
        <v>7</v>
      </c>
    </row>
    <row r="623" spans="1:5" ht="129.94999999999999" hidden="1" customHeight="1" x14ac:dyDescent="0.25">
      <c r="A623" s="1"/>
      <c r="B623" s="3">
        <v>2101495</v>
      </c>
      <c r="C623" s="4" t="str">
        <f>IF(IFERROR(VLOOKUP($B623,LINCE!$A$5:$D$4000,3,FALSE),"")=0,"",IFERROR(VLOOKUP($B623,LINCE!$A$5:$D$4000,3,FALSE),""))</f>
        <v>CHOMBA MC CIERRE AZ 3XS/2XL RER</v>
      </c>
      <c r="D623" s="4">
        <f>IF(IFERROR(VLOOKUP($B623,LINCE!$A$5:$D$4000,4,FALSE),"")=0,"",IFERROR(VLOOKUP($B623,LINCE!$A$5:$D$4000,4,FALSE),""))</f>
        <v>1694</v>
      </c>
      <c r="E623" s="14">
        <f>IF(IFERROR(VLOOKUP($B623,LINCE!$A$5:$E$4000,5,FALSE),"")=0,"",IFERROR(VLOOKUP($B623,LINCE!$A$5:$E$4000,5,FALSE),""))</f>
        <v>310</v>
      </c>
    </row>
    <row r="624" spans="1:5" ht="129.94999999999999" hidden="1" customHeight="1" x14ac:dyDescent="0.25">
      <c r="A624" s="1"/>
      <c r="B624" s="3">
        <v>5320787</v>
      </c>
      <c r="C624" s="4" t="str">
        <f>IF(IFERROR(VLOOKUP($B624,LINCE!$A$5:$D$4000,3,FALSE),"")=0,"",IFERROR(VLOOKUP($B624,LINCE!$A$5:$D$4000,3,FALSE),""))</f>
        <v>CHAQUETILLA POLICIA/PENIT 176N0110 FC</v>
      </c>
      <c r="D624" s="4">
        <f>IF(IFERROR(VLOOKUP($B624,LINCE!$A$5:$D$4000,4,FALSE),"")=0,"",IFERROR(VLOOKUP($B624,LINCE!$A$5:$D$4000,4,FALSE),""))</f>
        <v>18149.990000000002</v>
      </c>
      <c r="E624" s="14">
        <f>IF(IFERROR(VLOOKUP($B624,LINCE!$A$5:$E$4000,5,FALSE),"")=0,"",IFERROR(VLOOKUP($B624,LINCE!$A$5:$E$4000,5,FALSE),""))</f>
        <v>1</v>
      </c>
    </row>
    <row r="625" spans="1:5" ht="129.94999999999999" hidden="1" customHeight="1" x14ac:dyDescent="0.25">
      <c r="A625" s="1"/>
      <c r="B625" s="3">
        <v>8307810</v>
      </c>
      <c r="C625" s="4" t="str">
        <f>IF(IFERROR(VLOOKUP($B625,LINCE!$A$5:$D$4000,3,FALSE),"")=0,"",IFERROR(VLOOKUP($B625,LINCE!$A$5:$D$4000,3,FALSE),""))</f>
        <v>CHAMBERGO DE PELO DE LIEBRE RER</v>
      </c>
      <c r="D625" s="4">
        <f>IF(IFERROR(VLOOKUP($B625,LINCE!$A$5:$D$4000,4,FALSE),"")=0,"",IFERROR(VLOOKUP($B625,LINCE!$A$5:$D$4000,4,FALSE),""))</f>
        <v>9899.99</v>
      </c>
      <c r="E625" s="14">
        <f>IF(IFERROR(VLOOKUP($B625,LINCE!$A$5:$E$4000,5,FALSE),"")=0,"",IFERROR(VLOOKUP($B625,LINCE!$A$5:$E$4000,5,FALSE),""))</f>
        <v>2</v>
      </c>
    </row>
    <row r="626" spans="1:5" ht="129.94999999999999" hidden="1" customHeight="1" x14ac:dyDescent="0.25">
      <c r="A626" s="1"/>
      <c r="B626" s="3">
        <v>2401100</v>
      </c>
      <c r="C626" s="4" t="str">
        <f>IF(IFERROR(VLOOKUP($B626,LINCE!$A$5:$D$4000,3,FALSE),"")=0,"",IFERROR(VLOOKUP($B626,LINCE!$A$5:$D$4000,3,FALSE),""))</f>
        <v>CHALECO TACTICO RRD3 BLK</v>
      </c>
      <c r="D626" s="4">
        <f>IF(IFERROR(VLOOKUP($B626,LINCE!$A$5:$D$4000,4,FALSE),"")=0,"",IFERROR(VLOOKUP($B626,LINCE!$A$5:$D$4000,4,FALSE),""))</f>
        <v>5400</v>
      </c>
      <c r="E626" s="14">
        <f>IF(IFERROR(VLOOKUP($B626,LINCE!$A$5:$E$4000,5,FALSE),"")=0,"",IFERROR(VLOOKUP($B626,LINCE!$A$5:$E$4000,5,FALSE),""))</f>
        <v>4</v>
      </c>
    </row>
    <row r="627" spans="1:5" ht="129.94999999999999" hidden="1" customHeight="1" x14ac:dyDescent="0.25">
      <c r="A627" s="1"/>
      <c r="B627" s="3">
        <v>2401298</v>
      </c>
      <c r="C627" s="4" t="str">
        <f>IF(IFERROR(VLOOKUP($B627,LINCE!$A$5:$D$4000,3,FALSE),"")=0,"",IFERROR(VLOOKUP($B627,LINCE!$A$5:$D$4000,3,FALSE),""))</f>
        <v>CHALECO LANA AZUL MILTAR RER</v>
      </c>
      <c r="D627" s="4">
        <f>IF(IFERROR(VLOOKUP($B627,LINCE!$A$5:$D$4000,4,FALSE),"")=0,"",IFERROR(VLOOKUP($B627,LINCE!$A$5:$D$4000,4,FALSE),""))</f>
        <v>2447.5100000000002</v>
      </c>
      <c r="E627" s="14">
        <f>IF(IFERROR(VLOOKUP($B627,LINCE!$A$5:$E$4000,5,FALSE),"")=0,"",IFERROR(VLOOKUP($B627,LINCE!$A$5:$E$4000,5,FALSE),""))</f>
        <v>225</v>
      </c>
    </row>
    <row r="628" spans="1:5" ht="129.94999999999999" hidden="1" customHeight="1" x14ac:dyDescent="0.25">
      <c r="A628" s="1"/>
      <c r="B628" s="3">
        <v>2401806</v>
      </c>
      <c r="C628" s="4" t="str">
        <f>IF(IFERROR(VLOOKUP($B628,LINCE!$A$5:$D$4000,3,FALSE),"")=0,"",IFERROR(VLOOKUP($B628,LINCE!$A$5:$D$4000,3,FALSE),""))</f>
        <v/>
      </c>
      <c r="D628" s="4" t="str">
        <f>IF(IFERROR(VLOOKUP($B628,LINCE!$A$5:$D$4000,4,FALSE),"")=0,"",IFERROR(VLOOKUP($B628,LINCE!$A$5:$D$4000,4,FALSE),""))</f>
        <v/>
      </c>
      <c r="E628" s="14" t="str">
        <f>IF(IFERROR(VLOOKUP($B628,LINCE!$A$5:$E$4000,5,FALSE),"")=0,"",IFERROR(VLOOKUP($B628,LINCE!$A$5:$E$4000,5,FALSE),""))</f>
        <v/>
      </c>
    </row>
    <row r="629" spans="1:5" ht="129.94999999999999" hidden="1" customHeight="1" x14ac:dyDescent="0.25">
      <c r="A629" s="1"/>
      <c r="B629" s="3">
        <v>8708300</v>
      </c>
      <c r="C629" s="4" t="str">
        <f>IF(IFERROR(VLOOKUP($B629,LINCE!$A$5:$D$4000,3,FALSE),"")=0,"",IFERROR(VLOOKUP($B629,LINCE!$A$5:$D$4000,3,FALSE),""))</f>
        <v>CHALECO FUNDA MOLLE RRD80 BLK</v>
      </c>
      <c r="D629" s="4">
        <f>IF(IFERROR(VLOOKUP($B629,LINCE!$A$5:$D$4000,4,FALSE),"")=0,"",IFERROR(VLOOKUP($B629,LINCE!$A$5:$D$4000,4,FALSE),""))</f>
        <v>6200</v>
      </c>
      <c r="E629" s="14">
        <f>IF(IFERROR(VLOOKUP($B629,LINCE!$A$5:$E$4000,5,FALSE),"")=0,"",IFERROR(VLOOKUP($B629,LINCE!$A$5:$E$4000,5,FALSE),""))</f>
        <v>17</v>
      </c>
    </row>
    <row r="630" spans="1:5" ht="129.94999999999999" hidden="1" customHeight="1" x14ac:dyDescent="0.25">
      <c r="A630" s="1"/>
      <c r="B630" s="3">
        <v>8708301</v>
      </c>
      <c r="C630" s="4" t="str">
        <f>IF(IFERROR(VLOOKUP($B630,LINCE!$A$5:$D$4000,3,FALSE),"")=0,"",IFERROR(VLOOKUP($B630,LINCE!$A$5:$D$4000,3,FALSE),""))</f>
        <v>CHALECO FUNDA MOLLE PORTA NIVEL2</v>
      </c>
      <c r="D630" s="4">
        <f>IF(IFERROR(VLOOKUP($B630,LINCE!$A$5:$D$4000,4,FALSE),"")=0,"",IFERROR(VLOOKUP($B630,LINCE!$A$5:$D$4000,4,FALSE),""))</f>
        <v>6200</v>
      </c>
      <c r="E630" s="14">
        <f>IF(IFERROR(VLOOKUP($B630,LINCE!$A$5:$E$4000,5,FALSE),"")=0,"",IFERROR(VLOOKUP($B630,LINCE!$A$5:$E$4000,5,FALSE),""))</f>
        <v>9</v>
      </c>
    </row>
    <row r="631" spans="1:5" ht="129.94999999999999" hidden="1" customHeight="1" x14ac:dyDescent="0.25">
      <c r="A631" s="1"/>
      <c r="B631" s="3">
        <v>8708999</v>
      </c>
      <c r="C631" s="4" t="str">
        <f>IF(IFERROR(VLOOKUP($B631,LINCE!$A$5:$D$4000,3,FALSE),"")=0,"",IFERROR(VLOOKUP($B631,LINCE!$A$5:$D$4000,3,FALSE),""))</f>
        <v/>
      </c>
      <c r="D631" s="4" t="str">
        <f>IF(IFERROR(VLOOKUP($B631,LINCE!$A$5:$D$4000,4,FALSE),"")=0,"",IFERROR(VLOOKUP($B631,LINCE!$A$5:$D$4000,4,FALSE),""))</f>
        <v/>
      </c>
      <c r="E631" s="14" t="str">
        <f>IF(IFERROR(VLOOKUP($B631,LINCE!$A$5:$E$4000,5,FALSE),"")=0,"",IFERROR(VLOOKUP($B631,LINCE!$A$5:$E$4000,5,FALSE),""))</f>
        <v/>
      </c>
    </row>
    <row r="632" spans="1:5" ht="129.94999999999999" hidden="1" customHeight="1" x14ac:dyDescent="0.25">
      <c r="A632" s="1"/>
      <c r="B632" s="3">
        <v>8708112</v>
      </c>
      <c r="C632" s="4" t="str">
        <f>IF(IFERROR(VLOOKUP($B632,LINCE!$A$5:$D$4000,3,FALSE),"")=0,"",IFERROR(VLOOKUP($B632,LINCE!$A$5:$D$4000,3,FALSE),""))</f>
        <v>CHALECO FUNDA BALISTICA COMPL RRD7 BLK</v>
      </c>
      <c r="D632" s="4">
        <f>IF(IFERROR(VLOOKUP($B632,LINCE!$A$5:$D$4000,4,FALSE),"")=0,"",IFERROR(VLOOKUP($B632,LINCE!$A$5:$D$4000,4,FALSE),""))</f>
        <v>4900</v>
      </c>
      <c r="E632" s="14">
        <f>IF(IFERROR(VLOOKUP($B632,LINCE!$A$5:$E$4000,5,FALSE),"")=0,"",IFERROR(VLOOKUP($B632,LINCE!$A$5:$E$4000,5,FALSE),""))</f>
        <v>48</v>
      </c>
    </row>
    <row r="633" spans="1:5" ht="129.94999999999999" hidden="1" customHeight="1" x14ac:dyDescent="0.25">
      <c r="A633" s="1"/>
      <c r="B633" s="3">
        <v>8708111</v>
      </c>
      <c r="C633" s="4" t="str">
        <f>IF(IFERROR(VLOOKUP($B633,LINCE!$A$5:$D$4000,3,FALSE),"")=0,"",IFERROR(VLOOKUP($B633,LINCE!$A$5:$D$4000,3,FALSE),""))</f>
        <v>CHALECO FUNDA BALISTICA BASICA RRD6 BLK</v>
      </c>
      <c r="D633" s="4">
        <f>IF(IFERROR(VLOOKUP($B633,LINCE!$A$5:$D$4000,4,FALSE),"")=0,"",IFERROR(VLOOKUP($B633,LINCE!$A$5:$D$4000,4,FALSE),""))</f>
        <v>4100</v>
      </c>
      <c r="E633" s="14">
        <f>IF(IFERROR(VLOOKUP($B633,LINCE!$A$5:$E$4000,5,FALSE),"")=0,"",IFERROR(VLOOKUP($B633,LINCE!$A$5:$E$4000,5,FALSE),""))</f>
        <v>22</v>
      </c>
    </row>
    <row r="634" spans="1:5" ht="129.94999999999999" hidden="1" customHeight="1" x14ac:dyDescent="0.25">
      <c r="A634" s="1"/>
      <c r="B634" s="3">
        <v>2401103</v>
      </c>
      <c r="C634" s="4" t="str">
        <f>IF(IFERROR(VLOOKUP($B634,LINCE!$A$5:$D$4000,3,FALSE),"")=0,"",IFERROR(VLOOKUP($B634,LINCE!$A$5:$D$4000,3,FALSE),""))</f>
        <v>CHALECO FUNDA BALIST MOLLE RRD4 BLK</v>
      </c>
      <c r="D634" s="4">
        <f>IF(IFERROR(VLOOKUP($B634,LINCE!$A$5:$D$4000,4,FALSE),"")=0,"",IFERROR(VLOOKUP($B634,LINCE!$A$5:$D$4000,4,FALSE),""))</f>
        <v>6300</v>
      </c>
      <c r="E634" s="14">
        <f>IF(IFERROR(VLOOKUP($B634,LINCE!$A$5:$E$4000,5,FALSE),"")=0,"",IFERROR(VLOOKUP($B634,LINCE!$A$5:$E$4000,5,FALSE),""))</f>
        <v>70</v>
      </c>
    </row>
    <row r="635" spans="1:5" ht="129.94999999999999" hidden="1" customHeight="1" x14ac:dyDescent="0.25">
      <c r="A635" s="1"/>
      <c r="B635" s="3">
        <v>8708113</v>
      </c>
      <c r="C635" s="4" t="str">
        <f>IF(IFERROR(VLOOKUP($B635,LINCE!$A$5:$D$4000,3,FALSE),"")=0,"",IFERROR(VLOOKUP($B635,LINCE!$A$5:$D$4000,3,FALSE),""))</f>
        <v>CHALECO FUNDA ALPHA BALISTICA RRD42 BLK</v>
      </c>
      <c r="D635" s="4">
        <f>IF(IFERROR(VLOOKUP($B635,LINCE!$A$5:$D$4000,4,FALSE),"")=0,"",IFERROR(VLOOKUP($B635,LINCE!$A$5:$D$4000,4,FALSE),""))</f>
        <v>6000</v>
      </c>
      <c r="E635" s="14">
        <f>IF(IFERROR(VLOOKUP($B635,LINCE!$A$5:$E$4000,5,FALSE),"")=0,"",IFERROR(VLOOKUP($B635,LINCE!$A$5:$E$4000,5,FALSE),""))</f>
        <v>85</v>
      </c>
    </row>
    <row r="636" spans="1:5" ht="129.94999999999999" hidden="1" customHeight="1" x14ac:dyDescent="0.25">
      <c r="A636" s="1"/>
      <c r="B636" s="3">
        <v>8708116</v>
      </c>
      <c r="C636" s="4" t="str">
        <f>IF(IFERROR(VLOOKUP($B636,LINCE!$A$5:$D$4000,3,FALSE),"")=0,"",IFERROR(VLOOKUP($B636,LINCE!$A$5:$D$4000,3,FALSE),""))</f>
        <v>CHALECO FUNDA ALBATROS 5 ELEM RRD63 BLK</v>
      </c>
      <c r="D636" s="4">
        <f>IF(IFERROR(VLOOKUP($B636,LINCE!$A$5:$D$4000,4,FALSE),"")=0,"",IFERROR(VLOOKUP($B636,LINCE!$A$5:$D$4000,4,FALSE),""))</f>
        <v>7900</v>
      </c>
      <c r="E636" s="14">
        <f>IF(IFERROR(VLOOKUP($B636,LINCE!$A$5:$E$4000,5,FALSE),"")=0,"",IFERROR(VLOOKUP($B636,LINCE!$A$5:$E$4000,5,FALSE),""))</f>
        <v>27</v>
      </c>
    </row>
    <row r="637" spans="1:5" ht="129.94999999999999" hidden="1" customHeight="1" x14ac:dyDescent="0.25">
      <c r="A637" s="1"/>
      <c r="B637" s="3">
        <v>5101625</v>
      </c>
      <c r="C637" s="4" t="str">
        <f>IF(IFERROR(VLOOKUP($B637,LINCE!$A$5:$D$4000,3,FALSE),"")=0,"",IFERROR(VLOOKUP($B637,LINCE!$A$5:$D$4000,3,FALSE),""))</f>
        <v>CHALECO FLUOR VERDE ECONOMICO NQN LUG</v>
      </c>
      <c r="D637" s="4">
        <f>IF(IFERROR(VLOOKUP($B637,LINCE!$A$5:$D$4000,4,FALSE),"")=0,"",IFERROR(VLOOKUP($B637,LINCE!$A$5:$D$4000,4,FALSE),""))</f>
        <v>390</v>
      </c>
      <c r="E637" s="14">
        <f>IF(IFERROR(VLOOKUP($B637,LINCE!$A$5:$E$4000,5,FALSE),"")=0,"",IFERROR(VLOOKUP($B637,LINCE!$A$5:$E$4000,5,FALSE),""))</f>
        <v>19</v>
      </c>
    </row>
    <row r="638" spans="1:5" ht="129.94999999999999" hidden="1" customHeight="1" x14ac:dyDescent="0.25">
      <c r="A638" s="1"/>
      <c r="B638" s="3">
        <v>2401022</v>
      </c>
      <c r="C638" s="4" t="str">
        <f>IF(IFERROR(VLOOKUP($B638,LINCE!$A$5:$D$4000,3,FALSE),"")=0,"",IFERROR(VLOOKUP($B638,LINCE!$A$5:$D$4000,3,FALSE),""))</f>
        <v>CHALECO DE TRANSPORTE RIV / RRD5 RER</v>
      </c>
      <c r="D638" s="4">
        <f>IF(IFERROR(VLOOKUP($B638,LINCE!$A$5:$D$4000,4,FALSE),"")=0,"",IFERROR(VLOOKUP($B638,LINCE!$A$5:$D$4000,4,FALSE),""))</f>
        <v>4700</v>
      </c>
      <c r="E638" s="14">
        <f>IF(IFERROR(VLOOKUP($B638,LINCE!$A$5:$E$4000,5,FALSE),"")=0,"",IFERROR(VLOOKUP($B638,LINCE!$A$5:$E$4000,5,FALSE),""))</f>
        <v>146</v>
      </c>
    </row>
    <row r="639" spans="1:5" ht="129.94999999999999" hidden="1" customHeight="1" x14ac:dyDescent="0.25">
      <c r="A639" s="1"/>
      <c r="B639" s="3">
        <v>2401249</v>
      </c>
      <c r="C639" s="4" t="str">
        <f>IF(IFERROR(VLOOKUP($B639,LINCE!$A$5:$D$4000,3,FALSE),"")=0,"",IFERROR(VLOOKUP($B639,LINCE!$A$5:$D$4000,3,FALSE),""))</f>
        <v>CHALECO CARRIER C/PORTA ELEM MAZ/RRD</v>
      </c>
      <c r="D639" s="4">
        <f>IF(IFERROR(VLOOKUP($B639,LINCE!$A$5:$D$4000,4,FALSE),"")=0,"",IFERROR(VLOOKUP($B639,LINCE!$A$5:$D$4000,4,FALSE),""))</f>
        <v>5500</v>
      </c>
      <c r="E639" s="14">
        <f>IF(IFERROR(VLOOKUP($B639,LINCE!$A$5:$E$4000,5,FALSE),"")=0,"",IFERROR(VLOOKUP($B639,LINCE!$A$5:$E$4000,5,FALSE),""))</f>
        <v>80</v>
      </c>
    </row>
    <row r="640" spans="1:5" ht="129.94999999999999" hidden="1" customHeight="1" x14ac:dyDescent="0.25">
      <c r="A640" s="1"/>
      <c r="B640" s="3">
        <v>2401584</v>
      </c>
      <c r="C640" s="4" t="str">
        <f>IF(IFERROR(VLOOKUP($B640,LINCE!$A$5:$D$4000,3,FALSE),"")=0,"",IFERROR(VLOOKUP($B640,LINCE!$A$5:$D$4000,3,FALSE),""))</f>
        <v>CHALECO C/V LANA NEGRO MILIT EMTRI007 EM</v>
      </c>
      <c r="D640" s="4">
        <f>IF(IFERROR(VLOOKUP($B640,LINCE!$A$5:$D$4000,4,FALSE),"")=0,"",IFERROR(VLOOKUP($B640,LINCE!$A$5:$D$4000,4,FALSE),""))</f>
        <v>2447.5100000000002</v>
      </c>
      <c r="E640" s="14">
        <f>IF(IFERROR(VLOOKUP($B640,LINCE!$A$5:$E$4000,5,FALSE),"")=0,"",IFERROR(VLOOKUP($B640,LINCE!$A$5:$E$4000,5,FALSE),""))</f>
        <v>76</v>
      </c>
    </row>
    <row r="641" spans="1:5" ht="129.94999999999999" hidden="1" customHeight="1" x14ac:dyDescent="0.25">
      <c r="A641" s="1"/>
      <c r="B641" s="3">
        <v>2401550</v>
      </c>
      <c r="C641" s="4" t="str">
        <f>IF(IFERROR(VLOOKUP($B641,LINCE!$A$5:$D$4000,3,FALSE),"")=0,"",IFERROR(VLOOKUP($B641,LINCE!$A$5:$D$4000,3,FALSE),""))</f>
        <v>CHALECO ARNES VIAL VERDE GN RRD2b BLK</v>
      </c>
      <c r="D641" s="4">
        <f>IF(IFERROR(VLOOKUP($B641,LINCE!$A$5:$D$4000,4,FALSE),"")=0,"",IFERROR(VLOOKUP($B641,LINCE!$A$5:$D$4000,4,FALSE),""))</f>
        <v>5204.21</v>
      </c>
      <c r="E641" s="14">
        <f>IF(IFERROR(VLOOKUP($B641,LINCE!$A$5:$E$4000,5,FALSE),"")=0,"",IFERROR(VLOOKUP($B641,LINCE!$A$5:$E$4000,5,FALSE),""))</f>
        <v>5</v>
      </c>
    </row>
    <row r="642" spans="1:5" ht="129.94999999999999" hidden="1" customHeight="1" x14ac:dyDescent="0.25">
      <c r="A642" s="1"/>
      <c r="B642" s="3">
        <v>2401242</v>
      </c>
      <c r="C642" s="4" t="str">
        <f>IF(IFERROR(VLOOKUP($B642,LINCE!$A$5:$D$4000,3,FALSE),"")=0,"",IFERROR(VLOOKUP($B642,LINCE!$A$5:$D$4000,3,FALSE),""))</f>
        <v>CHALECO ARNES ISRAELI MOLLE RRD1 BLK</v>
      </c>
      <c r="D642" s="4">
        <f>IF(IFERROR(VLOOKUP($B642,LINCE!$A$5:$D$4000,4,FALSE),"")=0,"",IFERROR(VLOOKUP($B642,LINCE!$A$5:$D$4000,4,FALSE),""))</f>
        <v>4700</v>
      </c>
      <c r="E642" s="14">
        <f>IF(IFERROR(VLOOKUP($B642,LINCE!$A$5:$E$4000,5,FALSE),"")=0,"",IFERROR(VLOOKUP($B642,LINCE!$A$5:$E$4000,5,FALSE),""))</f>
        <v>16</v>
      </c>
    </row>
    <row r="643" spans="1:5" ht="129.94999999999999" hidden="1" customHeight="1" x14ac:dyDescent="0.25">
      <c r="A643" s="1"/>
      <c r="B643" s="3">
        <v>8203124</v>
      </c>
      <c r="C643" s="4" t="str">
        <f>IF(IFERROR(VLOOKUP($B643,LINCE!$A$5:$D$4000,3,FALSE),"")=0,"",IFERROR(VLOOKUP($B643,LINCE!$A$5:$D$4000,3,FALSE),""))</f>
        <v>CASQ RIP TIGER CELESTE</v>
      </c>
      <c r="D643" s="4">
        <f>IF(IFERROR(VLOOKUP($B643,LINCE!$A$5:$D$4000,4,FALSE),"")=0,"",IFERROR(VLOOKUP($B643,LINCE!$A$5:$D$4000,4,FALSE),""))</f>
        <v>610.73</v>
      </c>
      <c r="E643" s="14" t="str">
        <f>IF(IFERROR(VLOOKUP($B643,LINCE!$A$5:$E$4000,5,FALSE),"")=0,"",IFERROR(VLOOKUP($B643,LINCE!$A$5:$E$4000,5,FALSE),""))</f>
        <v/>
      </c>
    </row>
    <row r="644" spans="1:5" ht="129.94999999999999" hidden="1" customHeight="1" x14ac:dyDescent="0.25">
      <c r="A644" s="1"/>
      <c r="B644" s="3">
        <v>8303129</v>
      </c>
      <c r="C644" s="4" t="str">
        <f>IF(IFERROR(VLOOKUP($B644,LINCE!$A$5:$D$4000,3,FALSE),"")=0,"",IFERROR(VLOOKUP($B644,LINCE!$A$5:$D$4000,3,FALSE),""))</f>
        <v>CASQ RIP NEGRO C/OJALILLOS IMP</v>
      </c>
      <c r="D644" s="4">
        <f>IF(IFERROR(VLOOKUP($B644,LINCE!$A$5:$D$4000,4,FALSE),"")=0,"",IFERROR(VLOOKUP($B644,LINCE!$A$5:$D$4000,4,FALSE),""))</f>
        <v>350</v>
      </c>
      <c r="E644" s="14">
        <f>IF(IFERROR(VLOOKUP($B644,LINCE!$A$5:$E$4000,5,FALSE),"")=0,"",IFERROR(VLOOKUP($B644,LINCE!$A$5:$E$4000,5,FALSE),""))</f>
        <v>520</v>
      </c>
    </row>
    <row r="645" spans="1:5" ht="129.94999999999999" hidden="1" customHeight="1" x14ac:dyDescent="0.25">
      <c r="A645" s="1"/>
      <c r="B645" s="3">
        <v>8303544</v>
      </c>
      <c r="C645" s="4" t="str">
        <f>IF(IFERROR(VLOOKUP($B645,LINCE!$A$5:$D$4000,3,FALSE),"")=0,"",IFERROR(VLOOKUP($B645,LINCE!$A$5:$D$4000,3,FALSE),""))</f>
        <v>CASQ RIP INFANTERIA CON ABROJO</v>
      </c>
      <c r="D645" s="4">
        <f>IF(IFERROR(VLOOKUP($B645,LINCE!$A$5:$D$4000,4,FALSE),"")=0,"",IFERROR(VLOOKUP($B645,LINCE!$A$5:$D$4000,4,FALSE),""))</f>
        <v>603.79</v>
      </c>
      <c r="E645" s="14">
        <f>IF(IFERROR(VLOOKUP($B645,LINCE!$A$5:$E$4000,5,FALSE),"")=0,"",IFERROR(VLOOKUP($B645,LINCE!$A$5:$E$4000,5,FALSE),""))</f>
        <v>8</v>
      </c>
    </row>
    <row r="646" spans="1:5" ht="129.94999999999999" hidden="1" customHeight="1" x14ac:dyDescent="0.25">
      <c r="A646" s="1"/>
      <c r="B646" s="3">
        <v>8303113</v>
      </c>
      <c r="C646" s="4" t="str">
        <f>IF(IFERROR(VLOOKUP($B646,LINCE!$A$5:$D$4000,3,FALSE),"")=0,"",IFERROR(VLOOKUP($B646,LINCE!$A$5:$D$4000,3,FALSE),""))</f>
        <v>CASQ RIP GRIS ABROJO</v>
      </c>
      <c r="D646" s="4">
        <f>IF(IFERROR(VLOOKUP($B646,LINCE!$A$5:$D$4000,4,FALSE),"")=0,"",IFERROR(VLOOKUP($B646,LINCE!$A$5:$D$4000,4,FALSE),""))</f>
        <v>724.79</v>
      </c>
      <c r="E646" s="14" t="str">
        <f>IF(IFERROR(VLOOKUP($B646,LINCE!$A$5:$E$4000,5,FALSE),"")=0,"",IFERROR(VLOOKUP($B646,LINCE!$A$5:$E$4000,5,FALSE),""))</f>
        <v/>
      </c>
    </row>
    <row r="647" spans="1:5" ht="129.94999999999999" hidden="1" customHeight="1" x14ac:dyDescent="0.25">
      <c r="A647" s="1"/>
      <c r="B647" s="3">
        <v>8303130</v>
      </c>
      <c r="C647" s="4" t="str">
        <f>IF(IFERROR(VLOOKUP($B647,LINCE!$A$5:$D$4000,3,FALSE),"")=0,"",IFERROR(VLOOKUP($B647,LINCE!$A$5:$D$4000,3,FALSE),""))</f>
        <v>CASQ RIP AZUL C/OJALILLOS IMP</v>
      </c>
      <c r="D647" s="4">
        <f>IF(IFERROR(VLOOKUP($B647,LINCE!$A$5:$D$4000,4,FALSE),"")=0,"",IFERROR(VLOOKUP($B647,LINCE!$A$5:$D$4000,4,FALSE),""))</f>
        <v>400</v>
      </c>
      <c r="E647" s="14">
        <f>IF(IFERROR(VLOOKUP($B647,LINCE!$A$5:$E$4000,5,FALSE),"")=0,"",IFERROR(VLOOKUP($B647,LINCE!$A$5:$E$4000,5,FALSE),""))</f>
        <v>5</v>
      </c>
    </row>
    <row r="648" spans="1:5" ht="129.94999999999999" hidden="1" customHeight="1" x14ac:dyDescent="0.25">
      <c r="A648" s="1"/>
      <c r="B648" s="3">
        <v>8303120</v>
      </c>
      <c r="C648" s="4" t="str">
        <f>IF(IFERROR(VLOOKUP($B648,LINCE!$A$5:$D$4000,3,FALSE),"")=0,"",IFERROR(VLOOKUP($B648,LINCE!$A$5:$D$4000,3,FALSE),""))</f>
        <v>CASQ REVER GABARD.</v>
      </c>
      <c r="D648" s="4">
        <f>IF(IFERROR(VLOOKUP($B648,LINCE!$A$5:$D$4000,4,FALSE),"")=0,"",IFERROR(VLOOKUP($B648,LINCE!$A$5:$D$4000,4,FALSE),""))</f>
        <v>724.79</v>
      </c>
      <c r="E648" s="14">
        <f>IF(IFERROR(VLOOKUP($B648,LINCE!$A$5:$E$4000,5,FALSE),"")=0,"",IFERROR(VLOOKUP($B648,LINCE!$A$5:$E$4000,5,FALSE),""))</f>
        <v>55</v>
      </c>
    </row>
    <row r="649" spans="1:5" ht="129.94999999999999" hidden="1" customHeight="1" x14ac:dyDescent="0.25">
      <c r="A649" s="1"/>
      <c r="B649" s="3">
        <v>8303674</v>
      </c>
      <c r="C649" s="4" t="str">
        <f>IF(IFERROR(VLOOKUP($B649,LINCE!$A$5:$D$4000,3,FALSE),"")=0,"",IFERROR(VLOOKUP($B649,LINCE!$A$5:$D$4000,3,FALSE),""))</f>
        <v>CASQ GAB NEGRO AJUSTABLE C/TRABA 4674</v>
      </c>
      <c r="D649" s="4">
        <f>IF(IFERROR(VLOOKUP($B649,LINCE!$A$5:$D$4000,4,FALSE),"")=0,"",IFERROR(VLOOKUP($B649,LINCE!$A$5:$D$4000,4,FALSE),""))</f>
        <v>450</v>
      </c>
      <c r="E649" s="14">
        <f>IF(IFERROR(VLOOKUP($B649,LINCE!$A$5:$E$4000,5,FALSE),"")=0,"",IFERROR(VLOOKUP($B649,LINCE!$A$5:$E$4000,5,FALSE),""))</f>
        <v>57</v>
      </c>
    </row>
    <row r="650" spans="1:5" ht="129.94999999999999" hidden="1" customHeight="1" x14ac:dyDescent="0.25">
      <c r="A650" s="1"/>
      <c r="B650" s="3">
        <v>8303005</v>
      </c>
      <c r="C650" s="4" t="str">
        <f>IF(IFERROR(VLOOKUP($B650,LINCE!$A$5:$D$4000,3,FALSE),"")=0,"",IFERROR(VLOOKUP($B650,LINCE!$A$5:$D$4000,3,FALSE),""))</f>
        <v>CASQ GAB AZUL CON ABROJO</v>
      </c>
      <c r="D650" s="4">
        <f>IF(IFERROR(VLOOKUP($B650,LINCE!$A$5:$D$4000,4,FALSE),"")=0,"",IFERROR(VLOOKUP($B650,LINCE!$A$5:$D$4000,4,FALSE),""))</f>
        <v>603.79</v>
      </c>
      <c r="E650" s="14">
        <f>IF(IFERROR(VLOOKUP($B650,LINCE!$A$5:$E$4000,5,FALSE),"")=0,"",IFERROR(VLOOKUP($B650,LINCE!$A$5:$E$4000,5,FALSE),""))</f>
        <v>6</v>
      </c>
    </row>
    <row r="651" spans="1:5" ht="129.94999999999999" hidden="1" customHeight="1" x14ac:dyDescent="0.25">
      <c r="A651" s="1"/>
      <c r="B651" s="3">
        <v>8303123</v>
      </c>
      <c r="C651" s="4" t="str">
        <f>IF(IFERROR(VLOOKUP($B651,LINCE!$A$5:$D$4000,3,FALSE),"")=0,"",IFERROR(VLOOKUP($B651,LINCE!$A$5:$D$4000,3,FALSE),""))</f>
        <v>CASQ AMER REVER RIP STOP</v>
      </c>
      <c r="D651" s="4">
        <f>IF(IFERROR(VLOOKUP($B651,LINCE!$A$5:$D$4000,4,FALSE),"")=0,"",IFERROR(VLOOKUP($B651,LINCE!$A$5:$D$4000,4,FALSE),""))</f>
        <v>845.79</v>
      </c>
      <c r="E651" s="14">
        <f>IF(IFERROR(VLOOKUP($B651,LINCE!$A$5:$E$4000,5,FALSE),"")=0,"",IFERROR(VLOOKUP($B651,LINCE!$A$5:$E$4000,5,FALSE),""))</f>
        <v>464</v>
      </c>
    </row>
    <row r="652" spans="1:5" ht="129.94999999999999" hidden="1" customHeight="1" x14ac:dyDescent="0.25">
      <c r="A652" s="1"/>
      <c r="B652" s="3">
        <v>5101013</v>
      </c>
      <c r="C652" s="4" t="str">
        <f>IF(IFERROR(VLOOKUP($B652,LINCE!$A$5:$D$4000,3,FALSE),"")=0,"",IFERROR(VLOOKUP($B652,LINCE!$A$5:$D$4000,3,FALSE),""))</f>
        <v/>
      </c>
      <c r="D652" s="4" t="str">
        <f>IF(IFERROR(VLOOKUP($B652,LINCE!$A$5:$D$4000,4,FALSE),"")=0,"",IFERROR(VLOOKUP($B652,LINCE!$A$5:$D$4000,4,FALSE),""))</f>
        <v/>
      </c>
      <c r="E652" s="14" t="str">
        <f>IF(IFERROR(VLOOKUP($B652,LINCE!$A$5:$E$4000,5,FALSE),"")=0,"",IFERROR(VLOOKUP($B652,LINCE!$A$5:$E$4000,5,FALSE),""))</f>
        <v/>
      </c>
    </row>
    <row r="653" spans="1:5" ht="129.94999999999999" hidden="1" customHeight="1" x14ac:dyDescent="0.25">
      <c r="A653" s="1"/>
      <c r="B653" s="3">
        <v>8702661</v>
      </c>
      <c r="C653" s="4" t="str">
        <f>IF(IFERROR(VLOOKUP($B653,LINCE!$A$5:$D$4000,3,FALSE),"")=0,"",IFERROR(VLOOKUP($B653,LINCE!$A$5:$D$4000,3,FALSE),""))</f>
        <v>CANANA PORTA CART CULATA 8T T661 TB</v>
      </c>
      <c r="D653" s="4">
        <f>IF(IFERROR(VLOOKUP($B653,LINCE!$A$5:$D$4000,4,FALSE),"")=0,"",IFERROR(VLOOKUP($B653,LINCE!$A$5:$D$4000,4,FALSE),""))</f>
        <v>1140</v>
      </c>
      <c r="E653" s="14">
        <f>IF(IFERROR(VLOOKUP($B653,LINCE!$A$5:$E$4000,5,FALSE),"")=0,"",IFERROR(VLOOKUP($B653,LINCE!$A$5:$E$4000,5,FALSE),""))</f>
        <v>4</v>
      </c>
    </row>
    <row r="654" spans="1:5" ht="129.94999999999999" hidden="1" customHeight="1" x14ac:dyDescent="0.25">
      <c r="A654" s="1"/>
      <c r="B654" s="3">
        <v>8702660</v>
      </c>
      <c r="C654" s="4" t="str">
        <f>IF(IFERROR(VLOOKUP($B654,LINCE!$A$5:$D$4000,3,FALSE),"")=0,"",IFERROR(VLOOKUP($B654,LINCE!$A$5:$D$4000,3,FALSE),""))</f>
        <v>CANANA PORTA CART 8T T660 TB</v>
      </c>
      <c r="D654" s="4">
        <f>IF(IFERROR(VLOOKUP($B654,LINCE!$A$5:$D$4000,4,FALSE),"")=0,"",IFERROR(VLOOKUP($B654,LINCE!$A$5:$D$4000,4,FALSE),""))</f>
        <v>900</v>
      </c>
      <c r="E654" s="14">
        <f>IF(IFERROR(VLOOKUP($B654,LINCE!$A$5:$E$4000,5,FALSE),"")=0,"",IFERROR(VLOOKUP($B654,LINCE!$A$5:$E$4000,5,FALSE),""))</f>
        <v>8</v>
      </c>
    </row>
    <row r="655" spans="1:5" ht="129.94999999999999" hidden="1" customHeight="1" x14ac:dyDescent="0.25">
      <c r="A655" s="1"/>
      <c r="B655" s="3">
        <v>5101443</v>
      </c>
      <c r="C655" s="4" t="str">
        <f>IF(IFERROR(VLOOKUP($B655,LINCE!$A$5:$D$4000,3,FALSE),"")=0,"",IFERROR(VLOOKUP($B655,LINCE!$A$5:$D$4000,3,FALSE),""))</f>
        <v>CAMP WJS43901 SARAH RER</v>
      </c>
      <c r="D655" s="4">
        <f>IF(IFERROR(VLOOKUP($B655,LINCE!$A$5:$D$4000,4,FALSE),"")=0,"",IFERROR(VLOOKUP($B655,LINCE!$A$5:$D$4000,4,FALSE),""))</f>
        <v>10713.02</v>
      </c>
      <c r="E655" s="14">
        <f>IF(IFERROR(VLOOKUP($B655,LINCE!$A$5:$E$4000,5,FALSE),"")=0,"",IFERROR(VLOOKUP($B655,LINCE!$A$5:$E$4000,5,FALSE),""))</f>
        <v>1</v>
      </c>
    </row>
    <row r="656" spans="1:5" ht="129.94999999999999" hidden="1" customHeight="1" x14ac:dyDescent="0.25">
      <c r="A656" s="1"/>
      <c r="B656" s="3">
        <v>5101105</v>
      </c>
      <c r="C656" s="4" t="str">
        <f>IF(IFERROR(VLOOKUP($B656,LINCE!$A$5:$D$4000,3,FALSE),"")=0,"",IFERROR(VLOOKUP($B656,LINCE!$A$5:$D$4000,3,FALSE),""))</f>
        <v>CAMP USPALLATA SOFT NEGRA LB1209 GYG</v>
      </c>
      <c r="D656" s="4">
        <f>IF(IFERROR(VLOOKUP($B656,LINCE!$A$5:$D$4000,4,FALSE),"")=0,"",IFERROR(VLOOKUP($B656,LINCE!$A$5:$D$4000,4,FALSE),""))</f>
        <v>6121.07</v>
      </c>
      <c r="E656" s="14">
        <f>IF(IFERROR(VLOOKUP($B656,LINCE!$A$5:$E$4000,5,FALSE),"")=0,"",IFERROR(VLOOKUP($B656,LINCE!$A$5:$E$4000,5,FALSE),""))</f>
        <v>2</v>
      </c>
    </row>
    <row r="657" spans="1:5" ht="129.94999999999999" hidden="1" customHeight="1" x14ac:dyDescent="0.25">
      <c r="A657" s="1"/>
      <c r="B657" s="3">
        <v>5101556</v>
      </c>
      <c r="C657" s="4" t="str">
        <f>IF(IFERROR(VLOOKUP($B657,LINCE!$A$5:$D$4000,3,FALSE),"")=0,"",IFERROR(VLOOKUP($B657,LINCE!$A$5:$D$4000,3,FALSE),""))</f>
        <v>CAMP TERMICO NEGRO CUELLO 2XS/2XL RER</v>
      </c>
      <c r="D657" s="4">
        <f>IF(IFERROR(VLOOKUP($B657,LINCE!$A$5:$D$4000,4,FALSE),"")=0,"",IFERROR(VLOOKUP($B657,LINCE!$A$5:$D$4000,4,FALSE),""))</f>
        <v>5830</v>
      </c>
      <c r="E657" s="14">
        <f>IF(IFERROR(VLOOKUP($B657,LINCE!$A$5:$E$4000,5,FALSE),"")=0,"",IFERROR(VLOOKUP($B657,LINCE!$A$5:$E$4000,5,FALSE),""))</f>
        <v>25</v>
      </c>
    </row>
    <row r="658" spans="1:5" ht="129.94999999999999" hidden="1" customHeight="1" x14ac:dyDescent="0.25">
      <c r="A658" s="1"/>
      <c r="B658" s="3">
        <v>5101557</v>
      </c>
      <c r="C658" s="4" t="str">
        <f>IF(IFERROR(VLOOKUP($B658,LINCE!$A$5:$D$4000,3,FALSE),"")=0,"",IFERROR(VLOOKUP($B658,LINCE!$A$5:$D$4000,3,FALSE),""))</f>
        <v>CAMP TERMICO GRIS CUELLO 2XS/2XL RER</v>
      </c>
      <c r="D658" s="4">
        <f>IF(IFERROR(VLOOKUP($B658,LINCE!$A$5:$D$4000,4,FALSE),"")=0,"",IFERROR(VLOOKUP($B658,LINCE!$A$5:$D$4000,4,FALSE),""))</f>
        <v>5355.75</v>
      </c>
      <c r="E658" s="14">
        <f>IF(IFERROR(VLOOKUP($B658,LINCE!$A$5:$E$4000,5,FALSE),"")=0,"",IFERROR(VLOOKUP($B658,LINCE!$A$5:$E$4000,5,FALSE),""))</f>
        <v>12</v>
      </c>
    </row>
    <row r="659" spans="1:5" ht="129.94999999999999" hidden="1" customHeight="1" x14ac:dyDescent="0.25">
      <c r="A659" s="1"/>
      <c r="B659" s="3">
        <v>5101555</v>
      </c>
      <c r="C659" s="4" t="str">
        <f>IF(IFERROR(VLOOKUP($B659,LINCE!$A$5:$D$4000,3,FALSE),"")=0,"",IFERROR(VLOOKUP($B659,LINCE!$A$5:$D$4000,3,FALSE),""))</f>
        <v/>
      </c>
      <c r="D659" s="4" t="str">
        <f>IF(IFERROR(VLOOKUP($B659,LINCE!$A$5:$D$4000,4,FALSE),"")=0,"",IFERROR(VLOOKUP($B659,LINCE!$A$5:$D$4000,4,FALSE),""))</f>
        <v/>
      </c>
      <c r="E659" s="14" t="str">
        <f>IF(IFERROR(VLOOKUP($B659,LINCE!$A$5:$E$4000,5,FALSE),"")=0,"",IFERROR(VLOOKUP($B659,LINCE!$A$5:$E$4000,5,FALSE),""))</f>
        <v/>
      </c>
    </row>
    <row r="660" spans="1:5" ht="129.94999999999999" hidden="1" customHeight="1" x14ac:dyDescent="0.25">
      <c r="A660" s="1"/>
      <c r="B660" s="3">
        <v>5101187</v>
      </c>
      <c r="C660" s="4" t="str">
        <f>IF(IFERROR(VLOOKUP($B660,LINCE!$A$5:$D$4000,3,FALSE),"")=0,"",IFERROR(VLOOKUP($B660,LINCE!$A$5:$D$4000,3,FALSE),""))</f>
        <v>CAMP SOFTSHEL PREMIUM NEGRA 2XS/2XL RER</v>
      </c>
      <c r="D660" s="4">
        <f>IF(IFERROR(VLOOKUP($B660,LINCE!$A$5:$D$4000,4,FALSE),"")=0,"",IFERROR(VLOOKUP($B660,LINCE!$A$5:$D$4000,4,FALSE),""))</f>
        <v>10450</v>
      </c>
      <c r="E660" s="14">
        <f>IF(IFERROR(VLOOKUP($B660,LINCE!$A$5:$E$4000,5,FALSE),"")=0,"",IFERROR(VLOOKUP($B660,LINCE!$A$5:$E$4000,5,FALSE),""))</f>
        <v>132</v>
      </c>
    </row>
    <row r="661" spans="1:5" ht="129.94999999999999" hidden="1" customHeight="1" x14ac:dyDescent="0.25">
      <c r="A661" s="1"/>
      <c r="B661" s="3">
        <v>5101192</v>
      </c>
      <c r="C661" s="4" t="str">
        <f>IF(IFERROR(VLOOKUP($B661,LINCE!$A$5:$D$4000,3,FALSE),"")=0,"",IFERROR(VLOOKUP($B661,LINCE!$A$5:$D$4000,3,FALSE),""))</f>
        <v>CAMP SOFTSHEL PREMIUM AZUL 2XS/2XL RER</v>
      </c>
      <c r="D661" s="4">
        <f>IF(IFERROR(VLOOKUP($B661,LINCE!$A$5:$D$4000,4,FALSE),"")=0,"",IFERROR(VLOOKUP($B661,LINCE!$A$5:$D$4000,4,FALSE),""))</f>
        <v>10450</v>
      </c>
      <c r="E661" s="14">
        <f>IF(IFERROR(VLOOKUP($B661,LINCE!$A$5:$E$4000,5,FALSE),"")=0,"",IFERROR(VLOOKUP($B661,LINCE!$A$5:$E$4000,5,FALSE),""))</f>
        <v>281</v>
      </c>
    </row>
    <row r="662" spans="1:5" ht="129.94999999999999" hidden="1" customHeight="1" x14ac:dyDescent="0.25">
      <c r="A662" s="1"/>
      <c r="B662" s="3">
        <v>5101093</v>
      </c>
      <c r="C662" s="4" t="str">
        <f>IF(IFERROR(VLOOKUP($B662,LINCE!$A$5:$D$4000,3,FALSE),"")=0,"",IFERROR(VLOOKUP($B662,LINCE!$A$5:$D$4000,3,FALSE),""))</f>
        <v>CAMP SOFT JAYAL NEGRA 2XS/2XL</v>
      </c>
      <c r="D662" s="4">
        <f>IF(IFERROR(VLOOKUP($B662,LINCE!$A$5:$D$4000,4,FALSE),"")=0,"",IFERROR(VLOOKUP($B662,LINCE!$A$5:$D$4000,4,FALSE),""))</f>
        <v>7500</v>
      </c>
      <c r="E662" s="14">
        <f>IF(IFERROR(VLOOKUP($B662,LINCE!$A$5:$E$4000,5,FALSE),"")=0,"",IFERROR(VLOOKUP($B662,LINCE!$A$5:$E$4000,5,FALSE),""))</f>
        <v>216</v>
      </c>
    </row>
    <row r="663" spans="1:5" ht="129.94999999999999" hidden="1" customHeight="1" x14ac:dyDescent="0.25">
      <c r="A663" s="1"/>
      <c r="B663" s="3">
        <v>5101090</v>
      </c>
      <c r="C663" s="4" t="str">
        <f>IF(IFERROR(VLOOKUP($B663,LINCE!$A$5:$D$4000,3,FALSE),"")=0,"",IFERROR(VLOOKUP($B663,LINCE!$A$5:$D$4000,3,FALSE),""))</f>
        <v>CAMP SOFT JAYAL AZUL 2XS/2XL</v>
      </c>
      <c r="D663" s="4">
        <f>IF(IFERROR(VLOOKUP($B663,LINCE!$A$5:$D$4000,4,FALSE),"")=0,"",IFERROR(VLOOKUP($B663,LINCE!$A$5:$D$4000,4,FALSE),""))</f>
        <v>7500</v>
      </c>
      <c r="E663" s="14">
        <f>IF(IFERROR(VLOOKUP($B663,LINCE!$A$5:$E$4000,5,FALSE),"")=0,"",IFERROR(VLOOKUP($B663,LINCE!$A$5:$E$4000,5,FALSE),""))</f>
        <v>328</v>
      </c>
    </row>
    <row r="664" spans="1:5" ht="129.94999999999999" hidden="1" customHeight="1" x14ac:dyDescent="0.25">
      <c r="A664" s="1"/>
      <c r="B664" s="3">
        <v>5101101</v>
      </c>
      <c r="C664" s="4" t="str">
        <f>IF(IFERROR(VLOOKUP($B664,LINCE!$A$5:$D$4000,3,FALSE),"")=0,"",IFERROR(VLOOKUP($B664,LINCE!$A$5:$D$4000,3,FALSE),""))</f>
        <v/>
      </c>
      <c r="D664" s="4" t="str">
        <f>IF(IFERROR(VLOOKUP($B664,LINCE!$A$5:$D$4000,4,FALSE),"")=0,"",IFERROR(VLOOKUP($B664,LINCE!$A$5:$D$4000,4,FALSE),""))</f>
        <v/>
      </c>
      <c r="E664" s="14" t="str">
        <f>IF(IFERROR(VLOOKUP($B664,LINCE!$A$5:$E$4000,5,FALSE),"")=0,"",IFERROR(VLOOKUP($B664,LINCE!$A$5:$E$4000,5,FALSE),""))</f>
        <v/>
      </c>
    </row>
    <row r="665" spans="1:5" ht="129.94999999999999" hidden="1" customHeight="1" x14ac:dyDescent="0.25">
      <c r="A665" s="1"/>
      <c r="B665" s="3">
        <v>5101106</v>
      </c>
      <c r="C665" s="4" t="str">
        <f>IF(IFERROR(VLOOKUP($B665,LINCE!$A$5:$D$4000,3,FALSE),"")=0,"",IFERROR(VLOOKUP($B665,LINCE!$A$5:$D$4000,3,FALSE),""))</f>
        <v>CAMP RURAL NYLON SOFT IMPER. NELB102 GYG</v>
      </c>
      <c r="D665" s="4">
        <f>IF(IFERROR(VLOOKUP($B665,LINCE!$A$5:$D$4000,4,FALSE),"")=0,"",IFERROR(VLOOKUP($B665,LINCE!$A$5:$D$4000,4,FALSE),""))</f>
        <v>7651.72</v>
      </c>
      <c r="E665" s="14">
        <f>IF(IFERROR(VLOOKUP($B665,LINCE!$A$5:$E$4000,5,FALSE),"")=0,"",IFERROR(VLOOKUP($B665,LINCE!$A$5:$E$4000,5,FALSE),""))</f>
        <v>1</v>
      </c>
    </row>
    <row r="666" spans="1:5" ht="129.94999999999999" hidden="1" customHeight="1" x14ac:dyDescent="0.25">
      <c r="A666" s="1"/>
      <c r="B666" s="3">
        <v>5101001</v>
      </c>
      <c r="C666" s="4" t="str">
        <f>IF(IFERROR(VLOOKUP($B666,LINCE!$A$5:$D$4000,3,FALSE),"")=0,"",IFERROR(VLOOKUP($B666,LINCE!$A$5:$D$4000,3,FALSE),""))</f>
        <v>CAMP POLAR HARVA AZUL/NEGRO (4 USOS</v>
      </c>
      <c r="D666" s="4">
        <f>IF(IFERROR(VLOOKUP($B666,LINCE!$A$5:$D$4000,4,FALSE),"")=0,"",IFERROR(VLOOKUP($B666,LINCE!$A$5:$D$4000,4,FALSE),""))</f>
        <v>10634.69</v>
      </c>
      <c r="E666" s="14">
        <f>IF(IFERROR(VLOOKUP($B666,LINCE!$A$5:$E$4000,5,FALSE),"")=0,"",IFERROR(VLOOKUP($B666,LINCE!$A$5:$E$4000,5,FALSE),""))</f>
        <v>137</v>
      </c>
    </row>
    <row r="667" spans="1:5" ht="129.94999999999999" hidden="1" customHeight="1" x14ac:dyDescent="0.25">
      <c r="A667" s="1"/>
      <c r="B667" s="3">
        <v>5101171</v>
      </c>
      <c r="C667" s="4" t="str">
        <f>IF(IFERROR(VLOOKUP($B667,LINCE!$A$5:$D$4000,3,FALSE),"")=0,"",IFERROR(VLOOKUP($B667,LINCE!$A$5:$D$4000,3,FALSE),""))</f>
        <v>CAMP POLAR AMERICANA NEGRA RER</v>
      </c>
      <c r="D667" s="4">
        <f>IF(IFERROR(VLOOKUP($B667,LINCE!$A$5:$D$4000,4,FALSE),"")=0,"",IFERROR(VLOOKUP($B667,LINCE!$A$5:$D$4000,4,FALSE),""))</f>
        <v>3300</v>
      </c>
      <c r="E667" s="14">
        <f>IF(IFERROR(VLOOKUP($B667,LINCE!$A$5:$E$4000,5,FALSE),"")=0,"",IFERROR(VLOOKUP($B667,LINCE!$A$5:$E$4000,5,FALSE),""))</f>
        <v>211</v>
      </c>
    </row>
    <row r="668" spans="1:5" ht="129.94999999999999" hidden="1" customHeight="1" x14ac:dyDescent="0.25">
      <c r="A668" s="1"/>
      <c r="B668" s="3">
        <v>5101850</v>
      </c>
      <c r="C668" s="4" t="str">
        <f>IF(IFERROR(VLOOKUP($B668,LINCE!$A$5:$D$4000,3,FALSE),"")=0,"",IFERROR(VLOOKUP($B668,LINCE!$A$5:$D$4000,3,FALSE),""))</f>
        <v>CAMP POLAR AMERICANA GRIS RER</v>
      </c>
      <c r="D668" s="4">
        <f>IF(IFERROR(VLOOKUP($B668,LINCE!$A$5:$D$4000,4,FALSE),"")=0,"",IFERROR(VLOOKUP($B668,LINCE!$A$5:$D$4000,4,FALSE),""))</f>
        <v>3599.99</v>
      </c>
      <c r="E668" s="14">
        <f>IF(IFERROR(VLOOKUP($B668,LINCE!$A$5:$E$4000,5,FALSE),"")=0,"",IFERROR(VLOOKUP($B668,LINCE!$A$5:$E$4000,5,FALSE),""))</f>
        <v>62</v>
      </c>
    </row>
    <row r="669" spans="1:5" ht="129.94999999999999" hidden="1" customHeight="1" x14ac:dyDescent="0.25">
      <c r="A669" s="1"/>
      <c r="B669" s="3">
        <v>5101170</v>
      </c>
      <c r="C669" s="4" t="str">
        <f>IF(IFERROR(VLOOKUP($B669,LINCE!$A$5:$D$4000,3,FALSE),"")=0,"",IFERROR(VLOOKUP($B669,LINCE!$A$5:$D$4000,3,FALSE),""))</f>
        <v>CAMP POLAR AMERICANA AZUL RER</v>
      </c>
      <c r="D669" s="4">
        <f>IF(IFERROR(VLOOKUP($B669,LINCE!$A$5:$D$4000,4,FALSE),"")=0,"",IFERROR(VLOOKUP($B669,LINCE!$A$5:$D$4000,4,FALSE),""))</f>
        <v>3300</v>
      </c>
      <c r="E669" s="14">
        <f>IF(IFERROR(VLOOKUP($B669,LINCE!$A$5:$E$4000,5,FALSE),"")=0,"",IFERROR(VLOOKUP($B669,LINCE!$A$5:$E$4000,5,FALSE),""))</f>
        <v>248</v>
      </c>
    </row>
    <row r="670" spans="1:5" ht="129.94999999999999" hidden="1" customHeight="1" x14ac:dyDescent="0.25">
      <c r="A670" s="1"/>
      <c r="B670" s="3">
        <v>5101915</v>
      </c>
      <c r="C670" s="4" t="str">
        <f>IF(IFERROR(VLOOKUP($B670,LINCE!$A$5:$D$4000,3,FALSE),"")=0,"",IFERROR(VLOOKUP($B670,LINCE!$A$5:$D$4000,3,FALSE),""))</f>
        <v>CAMP PLUMA SIN CAPU ROJA ARD</v>
      </c>
      <c r="D670" s="4">
        <f>IF(IFERROR(VLOOKUP($B670,LINCE!$A$5:$D$4000,4,FALSE),"")=0,"",IFERROR(VLOOKUP($B670,LINCE!$A$5:$D$4000,4,FALSE),""))</f>
        <v>3059.77</v>
      </c>
      <c r="E670" s="14">
        <f>IF(IFERROR(VLOOKUP($B670,LINCE!$A$5:$E$4000,5,FALSE),"")=0,"",IFERROR(VLOOKUP($B670,LINCE!$A$5:$E$4000,5,FALSE),""))</f>
        <v>1</v>
      </c>
    </row>
    <row r="671" spans="1:5" ht="129.94999999999999" hidden="1" customHeight="1" x14ac:dyDescent="0.25">
      <c r="A671" s="1"/>
      <c r="B671" s="3">
        <v>5101924</v>
      </c>
      <c r="C671" s="4" t="str">
        <f>IF(IFERROR(VLOOKUP($B671,LINCE!$A$5:$D$4000,3,FALSE),"")=0,"",IFERROR(VLOOKUP($B671,LINCE!$A$5:$D$4000,3,FALSE),""))</f>
        <v>CAMP PLUMA SIN CAPU AZUL OSCURO ARD</v>
      </c>
      <c r="D671" s="4">
        <f>IF(IFERROR(VLOOKUP($B671,LINCE!$A$5:$D$4000,4,FALSE),"")=0,"",IFERROR(VLOOKUP($B671,LINCE!$A$5:$D$4000,4,FALSE),""))</f>
        <v>3518.97</v>
      </c>
      <c r="E671" s="14">
        <f>IF(IFERROR(VLOOKUP($B671,LINCE!$A$5:$E$4000,5,FALSE),"")=0,"",IFERROR(VLOOKUP($B671,LINCE!$A$5:$E$4000,5,FALSE),""))</f>
        <v>3</v>
      </c>
    </row>
    <row r="672" spans="1:5" ht="129.94999999999999" hidden="1" customHeight="1" x14ac:dyDescent="0.25">
      <c r="A672" s="1"/>
      <c r="B672" s="3">
        <v>5101917</v>
      </c>
      <c r="C672" s="4" t="str">
        <f>IF(IFERROR(VLOOKUP($B672,LINCE!$A$5:$D$4000,3,FALSE),"")=0,"",IFERROR(VLOOKUP($B672,LINCE!$A$5:$D$4000,3,FALSE),""))</f>
        <v/>
      </c>
      <c r="D672" s="4" t="str">
        <f>IF(IFERROR(VLOOKUP($B672,LINCE!$A$5:$D$4000,4,FALSE),"")=0,"",IFERROR(VLOOKUP($B672,LINCE!$A$5:$D$4000,4,FALSE),""))</f>
        <v/>
      </c>
      <c r="E672" s="14" t="str">
        <f>IF(IFERROR(VLOOKUP($B672,LINCE!$A$5:$E$4000,5,FALSE),"")=0,"",IFERROR(VLOOKUP($B672,LINCE!$A$5:$E$4000,5,FALSE),""))</f>
        <v/>
      </c>
    </row>
    <row r="673" spans="1:5" ht="129.94999999999999" hidden="1" customHeight="1" x14ac:dyDescent="0.25">
      <c r="A673" s="1"/>
      <c r="B673" s="3">
        <v>5101902</v>
      </c>
      <c r="C673" s="4" t="str">
        <f>IF(IFERROR(VLOOKUP($B673,LINCE!$A$5:$D$4000,3,FALSE),"")=0,"",IFERROR(VLOOKUP($B673,LINCE!$A$5:$D$4000,3,FALSE),""))</f>
        <v>CAMP PLUMA NEGRA BRILLO S/CAP ART102 RER</v>
      </c>
      <c r="D673" s="4">
        <f>IF(IFERROR(VLOOKUP($B673,LINCE!$A$5:$D$4000,4,FALSE),"")=0,"",IFERROR(VLOOKUP($B673,LINCE!$A$5:$D$4000,4,FALSE),""))</f>
        <v>3059.77</v>
      </c>
      <c r="E673" s="14">
        <f>IF(IFERROR(VLOOKUP($B673,LINCE!$A$5:$E$4000,5,FALSE),"")=0,"",IFERROR(VLOOKUP($B673,LINCE!$A$5:$E$4000,5,FALSE),""))</f>
        <v>55</v>
      </c>
    </row>
    <row r="674" spans="1:5" ht="129.94999999999999" hidden="1" customHeight="1" x14ac:dyDescent="0.25">
      <c r="A674" s="1"/>
      <c r="B674" s="3">
        <v>5101912</v>
      </c>
      <c r="C674" s="4" t="str">
        <f>IF(IFERROR(VLOOKUP($B674,LINCE!$A$5:$D$4000,3,FALSE),"")=0,"",IFERROR(VLOOKUP($B674,LINCE!$A$5:$D$4000,3,FALSE),""))</f>
        <v>CAMP PLUMA AZUL ULTRA LIGTH ORIG RER</v>
      </c>
      <c r="D674" s="4">
        <f>IF(IFERROR(VLOOKUP($B674,LINCE!$A$5:$D$4000,4,FALSE),"")=0,"",IFERROR(VLOOKUP($B674,LINCE!$A$5:$D$4000,4,FALSE),""))</f>
        <v>6121.07</v>
      </c>
      <c r="E674" s="14">
        <f>IF(IFERROR(VLOOKUP($B674,LINCE!$A$5:$E$4000,5,FALSE),"")=0,"",IFERROR(VLOOKUP($B674,LINCE!$A$5:$E$4000,5,FALSE),""))</f>
        <v>5</v>
      </c>
    </row>
    <row r="675" spans="1:5" ht="129.94999999999999" hidden="1" customHeight="1" x14ac:dyDescent="0.25">
      <c r="A675" s="1"/>
      <c r="B675" s="3">
        <v>5101888</v>
      </c>
      <c r="C675" s="4" t="str">
        <f>IF(IFERROR(VLOOKUP($B675,LINCE!$A$5:$D$4000,3,FALSE),"")=0,"",IFERROR(VLOOKUP($B675,LINCE!$A$5:$D$4000,3,FALSE),""))</f>
        <v>CAMP PALMAJ NEGRA 2XS/2XL RER</v>
      </c>
      <c r="D675" s="4">
        <f>IF(IFERROR(VLOOKUP($B675,LINCE!$A$5:$D$4000,4,FALSE),"")=0,"",IFERROR(VLOOKUP($B675,LINCE!$A$5:$D$4000,4,FALSE),""))</f>
        <v>7139</v>
      </c>
      <c r="E675" s="14">
        <f>IF(IFERROR(VLOOKUP($B675,LINCE!$A$5:$E$4000,5,FALSE),"")=0,"",IFERROR(VLOOKUP($B675,LINCE!$A$5:$E$4000,5,FALSE),""))</f>
        <v>228</v>
      </c>
    </row>
    <row r="676" spans="1:5" ht="129.94999999999999" hidden="1" customHeight="1" x14ac:dyDescent="0.25">
      <c r="A676" s="1"/>
      <c r="B676" s="3">
        <v>5101777</v>
      </c>
      <c r="C676" s="4" t="str">
        <f>IF(IFERROR(VLOOKUP($B676,LINCE!$A$5:$D$4000,3,FALSE),"")=0,"",IFERROR(VLOOKUP($B676,LINCE!$A$5:$D$4000,3,FALSE),""))</f>
        <v>CAMP PALMAJ GRIS 2XS/2XL RER</v>
      </c>
      <c r="D676" s="4">
        <f>IF(IFERROR(VLOOKUP($B676,LINCE!$A$5:$D$4000,4,FALSE),"")=0,"",IFERROR(VLOOKUP($B676,LINCE!$A$5:$D$4000,4,FALSE),""))</f>
        <v>7139</v>
      </c>
      <c r="E676" s="14">
        <f>IF(IFERROR(VLOOKUP($B676,LINCE!$A$5:$E$4000,5,FALSE),"")=0,"",IFERROR(VLOOKUP($B676,LINCE!$A$5:$E$4000,5,FALSE),""))</f>
        <v>170</v>
      </c>
    </row>
    <row r="677" spans="1:5" ht="129.94999999999999" hidden="1" customHeight="1" x14ac:dyDescent="0.25">
      <c r="A677" s="1"/>
      <c r="B677" s="3">
        <v>5101999</v>
      </c>
      <c r="C677" s="4" t="str">
        <f>IF(IFERROR(VLOOKUP($B677,LINCE!$A$5:$D$4000,3,FALSE),"")=0,"",IFERROR(VLOOKUP($B677,LINCE!$A$5:$D$4000,3,FALSE),""))</f>
        <v>CAMP PALMAJ AZUL 3XS/2XL RER</v>
      </c>
      <c r="D677" s="4">
        <f>IF(IFERROR(VLOOKUP($B677,LINCE!$A$5:$D$4000,4,FALSE),"")=0,"",IFERROR(VLOOKUP($B677,LINCE!$A$5:$D$4000,4,FALSE),""))</f>
        <v>7139</v>
      </c>
      <c r="E677" s="14">
        <f>IF(IFERROR(VLOOKUP($B677,LINCE!$A$5:$E$4000,5,FALSE),"")=0,"",IFERROR(VLOOKUP($B677,LINCE!$A$5:$E$4000,5,FALSE),""))</f>
        <v>215</v>
      </c>
    </row>
    <row r="678" spans="1:5" ht="129.94999999999999" hidden="1" customHeight="1" x14ac:dyDescent="0.25">
      <c r="A678" s="1"/>
      <c r="B678" s="3">
        <v>5101186</v>
      </c>
      <c r="C678" s="4" t="str">
        <f>IF(IFERROR(VLOOKUP($B678,LINCE!$A$5:$D$4000,3,FALSE),"")=0,"",IFERROR(VLOOKUP($B678,LINCE!$A$5:$D$4000,3,FALSE),""))</f>
        <v>CAMP NEO SOFT SHELL NEGRA 3XL/5XL RER</v>
      </c>
      <c r="D678" s="4">
        <f>IF(IFERROR(VLOOKUP($B678,LINCE!$A$5:$D$4000,4,FALSE),"")=0,"",IFERROR(VLOOKUP($B678,LINCE!$A$5:$D$4000,4,FALSE),""))</f>
        <v>8417.0499999999993</v>
      </c>
      <c r="E678" s="14">
        <f>IF(IFERROR(VLOOKUP($B678,LINCE!$A$5:$E$4000,5,FALSE),"")=0,"",IFERROR(VLOOKUP($B678,LINCE!$A$5:$E$4000,5,FALSE),""))</f>
        <v>17</v>
      </c>
    </row>
    <row r="679" spans="1:5" ht="129.94999999999999" hidden="1" customHeight="1" x14ac:dyDescent="0.25">
      <c r="A679" s="1"/>
      <c r="B679" s="3">
        <v>5101195</v>
      </c>
      <c r="C679" s="4" t="str">
        <f>IF(IFERROR(VLOOKUP($B679,LINCE!$A$5:$D$4000,3,FALSE),"")=0,"",IFERROR(VLOOKUP($B679,LINCE!$A$5:$D$4000,3,FALSE),""))</f>
        <v/>
      </c>
      <c r="D679" s="4" t="str">
        <f>IF(IFERROR(VLOOKUP($B679,LINCE!$A$5:$D$4000,4,FALSE),"")=0,"",IFERROR(VLOOKUP($B679,LINCE!$A$5:$D$4000,4,FALSE),""))</f>
        <v/>
      </c>
      <c r="E679" s="14" t="str">
        <f>IF(IFERROR(VLOOKUP($B679,LINCE!$A$5:$E$4000,5,FALSE),"")=0,"",IFERROR(VLOOKUP($B679,LINCE!$A$5:$E$4000,5,FALSE),""))</f>
        <v/>
      </c>
    </row>
    <row r="680" spans="1:5" ht="129.94999999999999" hidden="1" customHeight="1" x14ac:dyDescent="0.25">
      <c r="A680" s="1"/>
      <c r="B680" s="3">
        <v>5101190</v>
      </c>
      <c r="C680" s="4" t="str">
        <f>IF(IFERROR(VLOOKUP($B680,LINCE!$A$5:$D$4000,3,FALSE),"")=0,"",IFERROR(VLOOKUP($B680,LINCE!$A$5:$D$4000,3,FALSE),""))</f>
        <v>CAMP NEO SOFT SHELL AZUL 2XS/2XL RER</v>
      </c>
      <c r="D680" s="4">
        <f>IF(IFERROR(VLOOKUP($B680,LINCE!$A$5:$D$4000,4,FALSE),"")=0,"",IFERROR(VLOOKUP($B680,LINCE!$A$5:$D$4000,4,FALSE),""))</f>
        <v>7651.72</v>
      </c>
      <c r="E680" s="14">
        <f>IF(IFERROR(VLOOKUP($B680,LINCE!$A$5:$E$4000,5,FALSE),"")=0,"",IFERROR(VLOOKUP($B680,LINCE!$A$5:$E$4000,5,FALSE),""))</f>
        <v>42</v>
      </c>
    </row>
    <row r="681" spans="1:5" ht="129.94999999999999" hidden="1" customHeight="1" x14ac:dyDescent="0.25">
      <c r="A681" s="1"/>
      <c r="B681" s="3">
        <v>5101108</v>
      </c>
      <c r="C681" s="4" t="str">
        <f>IF(IFERROR(VLOOKUP($B681,LINCE!$A$5:$D$4000,3,FALSE),"")=0,"",IFERROR(VLOOKUP($B681,LINCE!$A$5:$D$4000,3,FALSE),""))</f>
        <v>CAMP MONTREAL AZ INFLA/POLAR LB2022 GYG</v>
      </c>
      <c r="D681" s="4">
        <f>IF(IFERROR(VLOOKUP($B681,LINCE!$A$5:$D$4000,4,FALSE),"")=0,"",IFERROR(VLOOKUP($B681,LINCE!$A$5:$D$4000,4,FALSE),""))</f>
        <v>5661.88</v>
      </c>
      <c r="E681" s="14">
        <f>IF(IFERROR(VLOOKUP($B681,LINCE!$A$5:$E$4000,5,FALSE),"")=0,"",IFERROR(VLOOKUP($B681,LINCE!$A$5:$E$4000,5,FALSE),""))</f>
        <v>4</v>
      </c>
    </row>
    <row r="682" spans="1:5" ht="129.94999999999999" hidden="1" customHeight="1" x14ac:dyDescent="0.25">
      <c r="A682" s="1"/>
      <c r="B682" s="3">
        <v>5101900</v>
      </c>
      <c r="C682" s="4" t="str">
        <f>IF(IFERROR(VLOOKUP($B682,LINCE!$A$5:$D$4000,3,FALSE),"")=0,"",IFERROR(VLOOKUP($B682,LINCE!$A$5:$D$4000,3,FALSE),""))</f>
        <v>CAMP INVEST NEGRA RER</v>
      </c>
      <c r="D682" s="4">
        <f>IF(IFERROR(VLOOKUP($B682,LINCE!$A$5:$D$4000,4,FALSE),"")=0,"",IFERROR(VLOOKUP($B682,LINCE!$A$5:$D$4000,4,FALSE),""))</f>
        <v>3992.99</v>
      </c>
      <c r="E682" s="14">
        <f>IF(IFERROR(VLOOKUP($B682,LINCE!$A$5:$E$4000,5,FALSE),"")=0,"",IFERROR(VLOOKUP($B682,LINCE!$A$5:$E$4000,5,FALSE),""))</f>
        <v>87</v>
      </c>
    </row>
    <row r="683" spans="1:5" ht="129.94999999999999" hidden="1" customHeight="1" x14ac:dyDescent="0.25">
      <c r="A683" s="1"/>
      <c r="B683" s="3">
        <v>5101083</v>
      </c>
      <c r="C683" s="4" t="str">
        <f>IF(IFERROR(VLOOKUP($B683,LINCE!$A$5:$D$4000,3,FALSE),"")=0,"",IFERROR(VLOOKUP($B683,LINCE!$A$5:$D$4000,3,FALSE),""))</f>
        <v>CAMP INVEST GRIS BI</v>
      </c>
      <c r="D683" s="4">
        <f>IF(IFERROR(VLOOKUP($B683,LINCE!$A$5:$D$4000,4,FALSE),"")=0,"",IFERROR(VLOOKUP($B683,LINCE!$A$5:$D$4000,4,FALSE),""))</f>
        <v>3518.97</v>
      </c>
      <c r="E683" s="14">
        <f>IF(IFERROR(VLOOKUP($B683,LINCE!$A$5:$E$4000,5,FALSE),"")=0,"",IFERROR(VLOOKUP($B683,LINCE!$A$5:$E$4000,5,FALSE),""))</f>
        <v>4</v>
      </c>
    </row>
    <row r="684" spans="1:5" ht="129.94999999999999" hidden="1" customHeight="1" x14ac:dyDescent="0.25">
      <c r="A684" s="1"/>
      <c r="B684" s="3">
        <v>5101985</v>
      </c>
      <c r="C684" s="4" t="str">
        <f>IF(IFERROR(VLOOKUP($B684,LINCE!$A$5:$D$4000,3,FALSE),"")=0,"",IFERROR(VLOOKUP($B684,LINCE!$A$5:$D$4000,3,FALSE),""))</f>
        <v>CAMP INVEST AZUL RER</v>
      </c>
      <c r="D684" s="4">
        <f>IF(IFERROR(VLOOKUP($B684,LINCE!$A$5:$D$4000,4,FALSE),"")=0,"",IFERROR(VLOOKUP($B684,LINCE!$A$5:$D$4000,4,FALSE),""))</f>
        <v>3992.99</v>
      </c>
      <c r="E684" s="14">
        <f>IF(IFERROR(VLOOKUP($B684,LINCE!$A$5:$E$4000,5,FALSE),"")=0,"",IFERROR(VLOOKUP($B684,LINCE!$A$5:$E$4000,5,FALSE),""))</f>
        <v>159</v>
      </c>
    </row>
    <row r="685" spans="1:5" ht="129.94999999999999" hidden="1" customHeight="1" x14ac:dyDescent="0.25">
      <c r="A685" s="1"/>
      <c r="B685" s="3">
        <v>5101125</v>
      </c>
      <c r="C685" s="4" t="str">
        <f>IF(IFERROR(VLOOKUP($B685,LINCE!$A$5:$D$4000,3,FALSE),"")=0,"",IFERROR(VLOOKUP($B685,LINCE!$A$5:$D$4000,3,FALSE),""))</f>
        <v>CAMP FRACTION 8121  2XS/3XL RER</v>
      </c>
      <c r="D685" s="4">
        <f>IF(IFERROR(VLOOKUP($B685,LINCE!$A$5:$D$4000,4,FALSE),"")=0,"",IFERROR(VLOOKUP($B685,LINCE!$A$5:$D$4000,4,FALSE),""))</f>
        <v>3825.1</v>
      </c>
      <c r="E685" s="14">
        <f>IF(IFERROR(VLOOKUP($B685,LINCE!$A$5:$E$4000,5,FALSE),"")=0,"",IFERROR(VLOOKUP($B685,LINCE!$A$5:$E$4000,5,FALSE),""))</f>
        <v>21</v>
      </c>
    </row>
    <row r="686" spans="1:5" ht="129.94999999999999" hidden="1" customHeight="1" x14ac:dyDescent="0.25">
      <c r="A686" s="1"/>
      <c r="B686" s="3">
        <v>5101011</v>
      </c>
      <c r="C686" s="4" t="str">
        <f>IF(IFERROR(VLOOKUP($B686,LINCE!$A$5:$D$4000,3,FALSE),"")=0,"",IFERROR(VLOOKUP($B686,LINCE!$A$5:$D$4000,3,FALSE),""))</f>
        <v>CAMP CORTA CUELLO DESMONT NEGRA EM</v>
      </c>
      <c r="D686" s="4">
        <f>IF(IFERROR(VLOOKUP($B686,LINCE!$A$5:$D$4000,4,FALSE),"")=0,"",IFERROR(VLOOKUP($B686,LINCE!$A$5:$D$4000,4,FALSE),""))</f>
        <v>4285.82</v>
      </c>
      <c r="E686" s="14">
        <f>IF(IFERROR(VLOOKUP($B686,LINCE!$A$5:$E$4000,5,FALSE),"")=0,"",IFERROR(VLOOKUP($B686,LINCE!$A$5:$E$4000,5,FALSE),""))</f>
        <v>100</v>
      </c>
    </row>
    <row r="687" spans="1:5" ht="129.94999999999999" hidden="1" customHeight="1" x14ac:dyDescent="0.25">
      <c r="A687" s="1"/>
      <c r="B687" s="3">
        <v>5101750</v>
      </c>
      <c r="C687" s="4" t="str">
        <f>IF(IFERROR(VLOOKUP($B687,LINCE!$A$5:$D$4000,3,FALSE),"")=0,"",IFERROR(VLOOKUP($B687,LINCE!$A$5:$D$4000,3,FALSE),""))</f>
        <v>CAMP CORTA CUELLO DESMONT GRIS EM</v>
      </c>
      <c r="D687" s="4">
        <f>IF(IFERROR(VLOOKUP($B687,LINCE!$A$5:$D$4000,4,FALSE),"")=0,"",IFERROR(VLOOKUP($B687,LINCE!$A$5:$D$4000,4,FALSE),""))</f>
        <v>4285.82</v>
      </c>
      <c r="E687" s="14">
        <f>IF(IFERROR(VLOOKUP($B687,LINCE!$A$5:$E$4000,5,FALSE),"")=0,"",IFERROR(VLOOKUP($B687,LINCE!$A$5:$E$4000,5,FALSE),""))</f>
        <v>90</v>
      </c>
    </row>
    <row r="688" spans="1:5" ht="129.94999999999999" hidden="1" customHeight="1" x14ac:dyDescent="0.25">
      <c r="A688" s="1"/>
      <c r="B688" s="3">
        <v>5101009</v>
      </c>
      <c r="C688" s="4" t="str">
        <f>IF(IFERROR(VLOOKUP($B688,LINCE!$A$5:$D$4000,3,FALSE),"")=0,"",IFERROR(VLOOKUP($B688,LINCE!$A$5:$D$4000,3,FALSE),""))</f>
        <v>CAMP CORTA CUELLO DESMONT AZUL EM</v>
      </c>
      <c r="D688" s="4">
        <f>IF(IFERROR(VLOOKUP($B688,LINCE!$A$5:$D$4000,4,FALSE),"")=0,"",IFERROR(VLOOKUP($B688,LINCE!$A$5:$D$4000,4,FALSE),""))</f>
        <v>4285.82</v>
      </c>
      <c r="E688" s="14">
        <f>IF(IFERROR(VLOOKUP($B688,LINCE!$A$5:$E$4000,5,FALSE),"")=0,"",IFERROR(VLOOKUP($B688,LINCE!$A$5:$E$4000,5,FALSE),""))</f>
        <v>149</v>
      </c>
    </row>
    <row r="689" spans="1:5" ht="129.94999999999999" hidden="1" customHeight="1" x14ac:dyDescent="0.25">
      <c r="A689" s="1"/>
      <c r="B689" s="3">
        <v>5101391</v>
      </c>
      <c r="C689" s="4" t="str">
        <f>IF(IFERROR(VLOOKUP($B689,LINCE!$A$5:$D$4000,3,FALSE),"")=0,"",IFERROR(VLOOKUP($B689,LINCE!$A$5:$D$4000,3,FALSE),""))</f>
        <v>CAMP ALPHA MVF43901C1 FEROCITY 2XL RER</v>
      </c>
      <c r="D689" s="4">
        <f>IF(IFERROR(VLOOKUP($B689,LINCE!$A$5:$D$4000,4,FALSE),"")=0,"",IFERROR(VLOOKUP($B689,LINCE!$A$5:$D$4000,4,FALSE),""))</f>
        <v>33000</v>
      </c>
      <c r="E689" s="14">
        <f>IF(IFERROR(VLOOKUP($B689,LINCE!$A$5:$E$4000,5,FALSE),"")=0,"",IFERROR(VLOOKUP($B689,LINCE!$A$5:$E$4000,5,FALSE),""))</f>
        <v>2</v>
      </c>
    </row>
    <row r="690" spans="1:5" ht="129.94999999999999" hidden="1" customHeight="1" x14ac:dyDescent="0.25">
      <c r="A690" s="1"/>
      <c r="B690" s="3">
        <v>5101448</v>
      </c>
      <c r="C690" s="4" t="str">
        <f>IF(IFERROR(VLOOKUP($B690,LINCE!$A$5:$D$4000,3,FALSE),"")=0,"",IFERROR(VLOOKUP($B690,LINCE!$A$5:$D$4000,3,FALSE),""))</f>
        <v/>
      </c>
      <c r="D690" s="4" t="str">
        <f>IF(IFERROR(VLOOKUP($B690,LINCE!$A$5:$D$4000,4,FALSE),"")=0,"",IFERROR(VLOOKUP($B690,LINCE!$A$5:$D$4000,4,FALSE),""))</f>
        <v/>
      </c>
      <c r="E690" s="14" t="str">
        <f>IF(IFERROR(VLOOKUP($B690,LINCE!$A$5:$E$4000,5,FALSE),"")=0,"",IFERROR(VLOOKUP($B690,LINCE!$A$5:$E$4000,5,FALSE),""))</f>
        <v/>
      </c>
    </row>
    <row r="691" spans="1:5" ht="129.94999999999999" hidden="1" customHeight="1" x14ac:dyDescent="0.25">
      <c r="A691" s="1"/>
      <c r="B691" s="3">
        <v>5101210</v>
      </c>
      <c r="C691" s="4" t="str">
        <f>IF(IFERROR(VLOOKUP($B691,LINCE!$A$5:$D$4000,3,FALSE),"")=0,"",IFERROR(VLOOKUP($B691,LINCE!$A$5:$D$4000,3,FALSE),""))</f>
        <v>CAMP ALPHA MJM21000C4 MA-1 LUG</v>
      </c>
      <c r="D691" s="4">
        <f>IF(IFERROR(VLOOKUP($B691,LINCE!$A$5:$D$4000,4,FALSE),"")=0,"",IFERROR(VLOOKUP($B691,LINCE!$A$5:$D$4000,4,FALSE),""))</f>
        <v>33000</v>
      </c>
      <c r="E691" s="14">
        <f>IF(IFERROR(VLOOKUP($B691,LINCE!$A$5:$E$4000,5,FALSE),"")=0,"",IFERROR(VLOOKUP($B691,LINCE!$A$5:$E$4000,5,FALSE),""))</f>
        <v>2</v>
      </c>
    </row>
    <row r="692" spans="1:5" ht="129.94999999999999" hidden="1" customHeight="1" x14ac:dyDescent="0.25">
      <c r="A692" s="1"/>
      <c r="B692" s="3">
        <v>5101221</v>
      </c>
      <c r="C692" s="4" t="str">
        <f>IF(IFERROR(VLOOKUP($B692,LINCE!$A$5:$D$4000,3,FALSE),"")=0,"",IFERROR(VLOOKUP($B692,LINCE!$A$5:$D$4000,3,FALSE),""))</f>
        <v>CAMP ALPHA MJC2000C4 45/P 2XL LUG</v>
      </c>
      <c r="D692" s="4">
        <f>IF(IFERROR(VLOOKUP($B692,LINCE!$A$5:$D$4000,4,FALSE),"")=0,"",IFERROR(VLOOKUP($B692,LINCE!$A$5:$D$4000,4,FALSE),""))</f>
        <v>33000</v>
      </c>
      <c r="E692" s="14">
        <f>IF(IFERROR(VLOOKUP($B692,LINCE!$A$5:$E$4000,5,FALSE),"")=0,"",IFERROR(VLOOKUP($B692,LINCE!$A$5:$E$4000,5,FALSE),""))</f>
        <v>1</v>
      </c>
    </row>
    <row r="693" spans="1:5" ht="129.94999999999999" hidden="1" customHeight="1" x14ac:dyDescent="0.25">
      <c r="A693" s="1"/>
      <c r="B693" s="3">
        <v>5101342</v>
      </c>
      <c r="C693" s="4" t="str">
        <f>IF(IFERROR(VLOOKUP($B693,LINCE!$A$5:$D$4000,3,FALSE),"")=0,"",IFERROR(VLOOKUP($B693,LINCE!$A$5:$D$4000,3,FALSE),""))</f>
        <v>CAMP ALPHA MJB34000 BUBBLE D 3XL RER</v>
      </c>
      <c r="D693" s="4">
        <f>IF(IFERROR(VLOOKUP($B693,LINCE!$A$5:$D$4000,4,FALSE),"")=0,"",IFERROR(VLOOKUP($B693,LINCE!$A$5:$D$4000,4,FALSE),""))</f>
        <v>33000</v>
      </c>
      <c r="E693" s="14">
        <f>IF(IFERROR(VLOOKUP($B693,LINCE!$A$5:$E$4000,5,FALSE),"")=0,"",IFERROR(VLOOKUP($B693,LINCE!$A$5:$E$4000,5,FALSE),""))</f>
        <v>1</v>
      </c>
    </row>
    <row r="694" spans="1:5" ht="129.94999999999999" hidden="1" customHeight="1" x14ac:dyDescent="0.25">
      <c r="A694" s="1"/>
      <c r="B694" s="3">
        <v>4120009</v>
      </c>
      <c r="C694" s="4" t="str">
        <f>IF(IFERROR(VLOOKUP($B694,LINCE!$A$5:$D$4000,3,FALSE),"")=0,"",IFERROR(VLOOKUP($B694,LINCE!$A$5:$D$4000,3,FALSE),""))</f>
        <v>CAMISA ML BAT NEGRA 34/44 RER</v>
      </c>
      <c r="D694" s="4">
        <f>IF(IFERROR(VLOOKUP($B694,LINCE!$A$5:$D$4000,4,FALSE),"")=0,"",IFERROR(VLOOKUP($B694,LINCE!$A$5:$D$4000,4,FALSE),""))</f>
        <v>1999.99</v>
      </c>
      <c r="E694" s="14">
        <f>IF(IFERROR(VLOOKUP($B694,LINCE!$A$5:$E$4000,5,FALSE),"")=0,"",IFERROR(VLOOKUP($B694,LINCE!$A$5:$E$4000,5,FALSE),""))</f>
        <v>35</v>
      </c>
    </row>
    <row r="695" spans="1:5" ht="129.94999999999999" hidden="1" customHeight="1" x14ac:dyDescent="0.25">
      <c r="A695" s="1"/>
      <c r="B695" s="3">
        <v>4120003</v>
      </c>
      <c r="C695" s="4" t="str">
        <f>IF(IFERROR(VLOOKUP($B695,LINCE!$A$5:$D$4000,3,FALSE),"")=0,"",IFERROR(VLOOKUP($B695,LINCE!$A$5:$D$4000,3,FALSE),""))</f>
        <v>CAMISA ML BAT GRIS TORC 34/44 RER</v>
      </c>
      <c r="D695" s="4">
        <f>IF(IFERROR(VLOOKUP($B695,LINCE!$A$5:$D$4000,4,FALSE),"")=0,"",IFERROR(VLOOKUP($B695,LINCE!$A$5:$D$4000,4,FALSE),""))</f>
        <v>1999.99</v>
      </c>
      <c r="E695" s="14">
        <f>IF(IFERROR(VLOOKUP($B695,LINCE!$A$5:$E$4000,5,FALSE),"")=0,"",IFERROR(VLOOKUP($B695,LINCE!$A$5:$E$4000,5,FALSE),""))</f>
        <v>18</v>
      </c>
    </row>
    <row r="696" spans="1:5" ht="129.94999999999999" hidden="1" customHeight="1" x14ac:dyDescent="0.25">
      <c r="A696" s="1"/>
      <c r="B696" s="3">
        <v>4120900</v>
      </c>
      <c r="C696" s="4" t="str">
        <f>IF(IFERROR(VLOOKUP($B696,LINCE!$A$5:$D$4000,3,FALSE),"")=0,"",IFERROR(VLOOKUP($B696,LINCE!$A$5:$D$4000,3,FALSE),""))</f>
        <v>CAMISA ML BAT GRIS 34/44 RER</v>
      </c>
      <c r="D696" s="4">
        <f>IF(IFERROR(VLOOKUP($B696,LINCE!$A$5:$D$4000,4,FALSE),"")=0,"",IFERROR(VLOOKUP($B696,LINCE!$A$5:$D$4000,4,FALSE),""))</f>
        <v>1999.99</v>
      </c>
      <c r="E696" s="14">
        <f>IF(IFERROR(VLOOKUP($B696,LINCE!$A$5:$E$4000,5,FALSE),"")=0,"",IFERROR(VLOOKUP($B696,LINCE!$A$5:$E$4000,5,FALSE),""))</f>
        <v>34</v>
      </c>
    </row>
    <row r="697" spans="1:5" ht="129.94999999999999" hidden="1" customHeight="1" x14ac:dyDescent="0.25">
      <c r="A697" s="1"/>
      <c r="B697" s="3">
        <v>4120058</v>
      </c>
      <c r="C697" s="4" t="str">
        <f>IF(IFERROR(VLOOKUP($B697,LINCE!$A$5:$D$4000,3,FALSE),"")=0,"",IFERROR(VLOOKUP($B697,LINCE!$A$5:$D$4000,3,FALSE),""))</f>
        <v>CAMISA ML BAT CELESTE VIP 34/44 RER</v>
      </c>
      <c r="D697" s="4">
        <f>IF(IFERROR(VLOOKUP($B697,LINCE!$A$5:$D$4000,4,FALSE),"")=0,"",IFERROR(VLOOKUP($B697,LINCE!$A$5:$D$4000,4,FALSE),""))</f>
        <v>1999.99</v>
      </c>
      <c r="E697" s="14">
        <f>IF(IFERROR(VLOOKUP($B697,LINCE!$A$5:$E$4000,5,FALSE),"")=0,"",IFERROR(VLOOKUP($B697,LINCE!$A$5:$E$4000,5,FALSE),""))</f>
        <v>375</v>
      </c>
    </row>
    <row r="698" spans="1:5" ht="129.94999999999999" hidden="1" customHeight="1" x14ac:dyDescent="0.25">
      <c r="A698" s="1"/>
      <c r="B698" s="3">
        <v>4120850</v>
      </c>
      <c r="C698" s="4" t="str">
        <f>IF(IFERROR(VLOOKUP($B698,LINCE!$A$5:$D$4000,3,FALSE),"")=0,"",IFERROR(VLOOKUP($B698,LINCE!$A$5:$D$4000,3,FALSE),""))</f>
        <v>CAMISA ML BAT CELESTE 34/44 RER</v>
      </c>
      <c r="D698" s="4">
        <f>IF(IFERROR(VLOOKUP($B698,LINCE!$A$5:$D$4000,4,FALSE),"")=0,"",IFERROR(VLOOKUP($B698,LINCE!$A$5:$D$4000,4,FALSE),""))</f>
        <v>1999.99</v>
      </c>
      <c r="E698" s="14">
        <f>IF(IFERROR(VLOOKUP($B698,LINCE!$A$5:$E$4000,5,FALSE),"")=0,"",IFERROR(VLOOKUP($B698,LINCE!$A$5:$E$4000,5,FALSE),""))</f>
        <v>134</v>
      </c>
    </row>
    <row r="699" spans="1:5" ht="129.94999999999999" hidden="1" customHeight="1" x14ac:dyDescent="0.25">
      <c r="A699" s="1"/>
      <c r="B699" s="3">
        <v>4120236</v>
      </c>
      <c r="C699" s="4" t="str">
        <f>IF(IFERROR(VLOOKUP($B699,LINCE!$A$5:$D$4000,3,FALSE),"")=0,"",IFERROR(VLOOKUP($B699,LINCE!$A$5:$D$4000,3,FALSE),""))</f>
        <v>CAMISA ML BAT CEL NQN 34/44 RER</v>
      </c>
      <c r="D699" s="4">
        <f>IF(IFERROR(VLOOKUP($B699,LINCE!$A$5:$D$4000,4,FALSE),"")=0,"",IFERROR(VLOOKUP($B699,LINCE!$A$5:$D$4000,4,FALSE),""))</f>
        <v>1999.99</v>
      </c>
      <c r="E699" s="14">
        <f>IF(IFERROR(VLOOKUP($B699,LINCE!$A$5:$E$4000,5,FALSE),"")=0,"",IFERROR(VLOOKUP($B699,LINCE!$A$5:$E$4000,5,FALSE),""))</f>
        <v>25</v>
      </c>
    </row>
    <row r="700" spans="1:5" ht="129.94999999999999" hidden="1" customHeight="1" x14ac:dyDescent="0.25">
      <c r="A700" s="1"/>
      <c r="B700" s="3">
        <v>4120024</v>
      </c>
      <c r="C700" s="4" t="str">
        <f>IF(IFERROR(VLOOKUP($B700,LINCE!$A$5:$D$4000,3,FALSE),"")=0,"",IFERROR(VLOOKUP($B700,LINCE!$A$5:$D$4000,3,FALSE),""))</f>
        <v>CAMISA ML BAT CEL FORR 32/44 RER</v>
      </c>
      <c r="D700" s="4">
        <f>IF(IFERROR(VLOOKUP($B700,LINCE!$A$5:$D$4000,4,FALSE),"")=0,"",IFERROR(VLOOKUP($B700,LINCE!$A$5:$D$4000,4,FALSE),""))</f>
        <v>2500</v>
      </c>
      <c r="E700" s="14">
        <f>IF(IFERROR(VLOOKUP($B700,LINCE!$A$5:$E$4000,5,FALSE),"")=0,"",IFERROR(VLOOKUP($B700,LINCE!$A$5:$E$4000,5,FALSE),""))</f>
        <v>27</v>
      </c>
    </row>
    <row r="701" spans="1:5" ht="129.94999999999999" hidden="1" customHeight="1" x14ac:dyDescent="0.25">
      <c r="A701" s="1"/>
      <c r="B701" s="3">
        <v>4120100</v>
      </c>
      <c r="C701" s="4" t="str">
        <f>IF(IFERROR(VLOOKUP($B701,LINCE!$A$5:$D$4000,3,FALSE),"")=0,"",IFERROR(VLOOKUP($B701,LINCE!$A$5:$D$4000,3,FALSE),""))</f>
        <v>CAMISA ML BAT BLANCA 34/44 RER</v>
      </c>
      <c r="D701" s="4">
        <f>IF(IFERROR(VLOOKUP($B701,LINCE!$A$5:$D$4000,4,FALSE),"")=0,"",IFERROR(VLOOKUP($B701,LINCE!$A$5:$D$4000,4,FALSE),""))</f>
        <v>1870</v>
      </c>
      <c r="E701" s="14">
        <f>IF(IFERROR(VLOOKUP($B701,LINCE!$A$5:$E$4000,5,FALSE),"")=0,"",IFERROR(VLOOKUP($B701,LINCE!$A$5:$E$4000,5,FALSE),""))</f>
        <v>44</v>
      </c>
    </row>
    <row r="702" spans="1:5" ht="129.94999999999999" hidden="1" customHeight="1" x14ac:dyDescent="0.25">
      <c r="A702" s="1"/>
      <c r="B702" s="3">
        <v>4130771</v>
      </c>
      <c r="C702" s="4" t="str">
        <f>IF(IFERROR(VLOOKUP($B702,LINCE!$A$5:$D$4000,3,FALSE),"")=0,"",IFERROR(VLOOKUP($B702,LINCE!$A$5:$D$4000,3,FALSE),""))</f>
        <v>CAMISA ML BAT BEIGE LMGE 34/44 RER</v>
      </c>
      <c r="D702" s="4">
        <f>IF(IFERROR(VLOOKUP($B702,LINCE!$A$5:$D$4000,4,FALSE),"")=0,"",IFERROR(VLOOKUP($B702,LINCE!$A$5:$D$4000,4,FALSE),""))</f>
        <v>1999.99</v>
      </c>
      <c r="E702" s="14">
        <f>IF(IFERROR(VLOOKUP($B702,LINCE!$A$5:$E$4000,5,FALSE),"")=0,"",IFERROR(VLOOKUP($B702,LINCE!$A$5:$E$4000,5,FALSE),""))</f>
        <v>102</v>
      </c>
    </row>
    <row r="703" spans="1:5" ht="129.94999999999999" hidden="1" customHeight="1" x14ac:dyDescent="0.25">
      <c r="A703" s="1"/>
      <c r="B703" s="3">
        <v>4120853</v>
      </c>
      <c r="C703" s="4" t="str">
        <f>IF(IFERROR(VLOOKUP($B703,LINCE!$A$5:$D$4000,3,FALSE),"")=0,"",IFERROR(VLOOKUP($B703,LINCE!$A$5:$D$4000,3,FALSE),""))</f>
        <v>CAMISA ML BAT AZUL 34/44 RER</v>
      </c>
      <c r="D703" s="4">
        <f>IF(IFERROR(VLOOKUP($B703,LINCE!$A$5:$D$4000,4,FALSE),"")=0,"",IFERROR(VLOOKUP($B703,LINCE!$A$5:$D$4000,4,FALSE),""))</f>
        <v>1999.99</v>
      </c>
      <c r="E703" s="14">
        <f>IF(IFERROR(VLOOKUP($B703,LINCE!$A$5:$E$4000,5,FALSE),"")=0,"",IFERROR(VLOOKUP($B703,LINCE!$A$5:$E$4000,5,FALSE),""))</f>
        <v>145</v>
      </c>
    </row>
    <row r="704" spans="1:5" ht="129.94999999999999" hidden="1" customHeight="1" x14ac:dyDescent="0.25">
      <c r="A704" s="1"/>
      <c r="B704" s="3">
        <v>4120982</v>
      </c>
      <c r="C704" s="4" t="str">
        <f>IF(IFERROR(VLOOKUP($B704,LINCE!$A$5:$D$4000,3,FALSE),"")=0,"",IFERROR(VLOOKUP($B704,LINCE!$A$5:$D$4000,3,FALSE),""))</f>
        <v>CAMISA MC BAT NEGRA SOLAPA 34/44 RER</v>
      </c>
      <c r="D704" s="4">
        <f>IF(IFERROR(VLOOKUP($B704,LINCE!$A$5:$D$4000,4,FALSE),"")=0,"",IFERROR(VLOOKUP($B704,LINCE!$A$5:$D$4000,4,FALSE),""))</f>
        <v>1935.99</v>
      </c>
      <c r="E704" s="14">
        <f>IF(IFERROR(VLOOKUP($B704,LINCE!$A$5:$E$4000,5,FALSE),"")=0,"",IFERROR(VLOOKUP($B704,LINCE!$A$5:$E$4000,5,FALSE),""))</f>
        <v>34</v>
      </c>
    </row>
    <row r="705" spans="1:5" ht="129.94999999999999" hidden="1" customHeight="1" x14ac:dyDescent="0.25">
      <c r="A705" s="1"/>
      <c r="B705" s="3">
        <v>4120700</v>
      </c>
      <c r="C705" s="4" t="str">
        <f>IF(IFERROR(VLOOKUP($B705,LINCE!$A$5:$D$4000,3,FALSE),"")=0,"",IFERROR(VLOOKUP($B705,LINCE!$A$5:$D$4000,3,FALSE),""))</f>
        <v>CAMISA MC BAT NEGRA CORBATA 34/44 RER</v>
      </c>
      <c r="D705" s="4">
        <f>IF(IFERROR(VLOOKUP($B705,LINCE!$A$5:$D$4000,4,FALSE),"")=0,"",IFERROR(VLOOKUP($B705,LINCE!$A$5:$D$4000,4,FALSE),""))</f>
        <v>1935.99</v>
      </c>
      <c r="E705" s="14">
        <f>IF(IFERROR(VLOOKUP($B705,LINCE!$A$5:$E$4000,5,FALSE),"")=0,"",IFERROR(VLOOKUP($B705,LINCE!$A$5:$E$4000,5,FALSE),""))</f>
        <v>13</v>
      </c>
    </row>
    <row r="706" spans="1:5" ht="129.94999999999999" hidden="1" customHeight="1" x14ac:dyDescent="0.25">
      <c r="A706" s="1"/>
      <c r="B706" s="3">
        <v>4120042</v>
      </c>
      <c r="C706" s="4" t="str">
        <f>IF(IFERROR(VLOOKUP($B706,LINCE!$A$5:$D$4000,3,FALSE),"")=0,"",IFERROR(VLOOKUP($B706,LINCE!$A$5:$D$4000,3,FALSE),""))</f>
        <v>CAMISA MC BAT GRIS TORC SOLAPA 34/44 RER</v>
      </c>
      <c r="D706" s="4">
        <f>IF(IFERROR(VLOOKUP($B706,LINCE!$A$5:$D$4000,4,FALSE),"")=0,"",IFERROR(VLOOKUP($B706,LINCE!$A$5:$D$4000,4,FALSE),""))</f>
        <v>1936</v>
      </c>
      <c r="E706" s="14">
        <f>IF(IFERROR(VLOOKUP($B706,LINCE!$A$5:$E$4000,5,FALSE),"")=0,"",IFERROR(VLOOKUP($B706,LINCE!$A$5:$E$4000,5,FALSE),""))</f>
        <v>16</v>
      </c>
    </row>
    <row r="707" spans="1:5" ht="129.94999999999999" hidden="1" customHeight="1" x14ac:dyDescent="0.25">
      <c r="A707" s="1"/>
      <c r="B707" s="3">
        <v>4120007</v>
      </c>
      <c r="C707" s="4" t="str">
        <f>IF(IFERROR(VLOOKUP($B707,LINCE!$A$5:$D$4000,3,FALSE),"")=0,"",IFERROR(VLOOKUP($B707,LINCE!$A$5:$D$4000,3,FALSE),""))</f>
        <v>CAMISA MC BAT GRIS TORC CORB 34/44 RER</v>
      </c>
      <c r="D707" s="4">
        <f>IF(IFERROR(VLOOKUP($B707,LINCE!$A$5:$D$4000,4,FALSE),"")=0,"",IFERROR(VLOOKUP($B707,LINCE!$A$5:$D$4000,4,FALSE),""))</f>
        <v>2057</v>
      </c>
      <c r="E707" s="14">
        <f>IF(IFERROR(VLOOKUP($B707,LINCE!$A$5:$E$4000,5,FALSE),"")=0,"",IFERROR(VLOOKUP($B707,LINCE!$A$5:$E$4000,5,FALSE),""))</f>
        <v>51</v>
      </c>
    </row>
    <row r="708" spans="1:5" ht="129.94999999999999" hidden="1" customHeight="1" x14ac:dyDescent="0.25">
      <c r="A708" s="1"/>
      <c r="B708" s="3">
        <v>4120567</v>
      </c>
      <c r="C708" s="4" t="str">
        <f>IF(IFERROR(VLOOKUP($B708,LINCE!$A$5:$D$4000,3,FALSE),"")=0,"",IFERROR(VLOOKUP($B708,LINCE!$A$5:$D$4000,3,FALSE),""))</f>
        <v>CAMISA MC BAT GRIS SOLAPA 34/44 RER</v>
      </c>
      <c r="D708" s="4">
        <f>IF(IFERROR(VLOOKUP($B708,LINCE!$A$5:$D$4000,4,FALSE),"")=0,"",IFERROR(VLOOKUP($B708,LINCE!$A$5:$D$4000,4,FALSE),""))</f>
        <v>1935.99</v>
      </c>
      <c r="E708" s="14">
        <f>IF(IFERROR(VLOOKUP($B708,LINCE!$A$5:$E$4000,5,FALSE),"")=0,"",IFERROR(VLOOKUP($B708,LINCE!$A$5:$E$4000,5,FALSE),""))</f>
        <v>29</v>
      </c>
    </row>
    <row r="709" spans="1:5" ht="129.94999999999999" hidden="1" customHeight="1" x14ac:dyDescent="0.25">
      <c r="A709" s="1"/>
      <c r="B709" s="3">
        <v>4120670</v>
      </c>
      <c r="C709" s="4" t="str">
        <f>IF(IFERROR(VLOOKUP($B709,LINCE!$A$5:$D$4000,3,FALSE),"")=0,"",IFERROR(VLOOKUP($B709,LINCE!$A$5:$D$4000,3,FALSE),""))</f>
        <v/>
      </c>
      <c r="D709" s="4" t="str">
        <f>IF(IFERROR(VLOOKUP($B709,LINCE!$A$5:$D$4000,4,FALSE),"")=0,"",IFERROR(VLOOKUP($B709,LINCE!$A$5:$D$4000,4,FALSE),""))</f>
        <v/>
      </c>
      <c r="E709" s="14" t="str">
        <f>IF(IFERROR(VLOOKUP($B709,LINCE!$A$5:$E$4000,5,FALSE),"")=0,"",IFERROR(VLOOKUP($B709,LINCE!$A$5:$E$4000,5,FALSE),""))</f>
        <v/>
      </c>
    </row>
    <row r="710" spans="1:5" ht="129.94999999999999" hidden="1" customHeight="1" x14ac:dyDescent="0.25">
      <c r="A710" s="1"/>
      <c r="B710" s="3">
        <v>4120800</v>
      </c>
      <c r="C710" s="4" t="str">
        <f>IF(IFERROR(VLOOKUP($B710,LINCE!$A$5:$D$4000,3,FALSE),"")=0,"",IFERROR(VLOOKUP($B710,LINCE!$A$5:$D$4000,3,FALSE),""))</f>
        <v>CAMISA MC BAT CEL SOLAPA 34/44 RER</v>
      </c>
      <c r="D710" s="4">
        <f>IF(IFERROR(VLOOKUP($B710,LINCE!$A$5:$D$4000,4,FALSE),"")=0,"",IFERROR(VLOOKUP($B710,LINCE!$A$5:$D$4000,4,FALSE),""))</f>
        <v>1935.99</v>
      </c>
      <c r="E710" s="14">
        <f>IF(IFERROR(VLOOKUP($B710,LINCE!$A$5:$E$4000,5,FALSE),"")=0,"",IFERROR(VLOOKUP($B710,LINCE!$A$5:$E$4000,5,FALSE),""))</f>
        <v>353</v>
      </c>
    </row>
    <row r="711" spans="1:5" ht="129.94999999999999" hidden="1" customHeight="1" x14ac:dyDescent="0.25">
      <c r="A711" s="1"/>
      <c r="B711" s="3">
        <v>4120860</v>
      </c>
      <c r="C711" s="4" t="str">
        <f>IF(IFERROR(VLOOKUP($B711,LINCE!$A$5:$D$4000,3,FALSE),"")=0,"",IFERROR(VLOOKUP($B711,LINCE!$A$5:$D$4000,3,FALSE),""))</f>
        <v>CAMISA MC BAT CEL CORBATA 34/44 RER</v>
      </c>
      <c r="D711" s="4">
        <f>IF(IFERROR(VLOOKUP($B711,LINCE!$A$5:$D$4000,4,FALSE),"")=0,"",IFERROR(VLOOKUP($B711,LINCE!$A$5:$D$4000,4,FALSE),""))</f>
        <v>1935.99</v>
      </c>
      <c r="E711" s="14">
        <f>IF(IFERROR(VLOOKUP($B711,LINCE!$A$5:$E$4000,5,FALSE),"")=0,"",IFERROR(VLOOKUP($B711,LINCE!$A$5:$E$4000,5,FALSE),""))</f>
        <v>7</v>
      </c>
    </row>
    <row r="712" spans="1:5" ht="129.94999999999999" hidden="1" customHeight="1" x14ac:dyDescent="0.25">
      <c r="A712" s="1"/>
      <c r="B712" s="3">
        <v>4120110</v>
      </c>
      <c r="C712" s="4" t="str">
        <f>IF(IFERROR(VLOOKUP($B712,LINCE!$A$5:$D$4000,3,FALSE),"")=0,"",IFERROR(VLOOKUP($B712,LINCE!$A$5:$D$4000,3,FALSE),""))</f>
        <v>CAMISA MC BAT BLANCA SOLAPA 34/44 RER</v>
      </c>
      <c r="D712" s="4">
        <f>IF(IFERROR(VLOOKUP($B712,LINCE!$A$5:$D$4000,4,FALSE),"")=0,"",IFERROR(VLOOKUP($B712,LINCE!$A$5:$D$4000,4,FALSE),""))</f>
        <v>1760</v>
      </c>
      <c r="E712" s="14">
        <f>IF(IFERROR(VLOOKUP($B712,LINCE!$A$5:$E$4000,5,FALSE),"")=0,"",IFERROR(VLOOKUP($B712,LINCE!$A$5:$E$4000,5,FALSE),""))</f>
        <v>219</v>
      </c>
    </row>
    <row r="713" spans="1:5" ht="129.94999999999999" hidden="1" customHeight="1" x14ac:dyDescent="0.25">
      <c r="A713" s="1"/>
      <c r="B713" s="3">
        <v>4130777</v>
      </c>
      <c r="C713" s="4" t="str">
        <f>IF(IFERROR(VLOOKUP($B713,LINCE!$A$5:$D$4000,3,FALSE),"")=0,"",IFERROR(VLOOKUP($B713,LINCE!$A$5:$D$4000,3,FALSE),""))</f>
        <v>CAMISA MC BAT BEIGE LMGE 34/44 RER</v>
      </c>
      <c r="D713" s="4">
        <f>IF(IFERROR(VLOOKUP($B713,LINCE!$A$5:$D$4000,4,FALSE),"")=0,"",IFERROR(VLOOKUP($B713,LINCE!$A$5:$D$4000,4,FALSE),""))</f>
        <v>1935.99</v>
      </c>
      <c r="E713" s="14">
        <f>IF(IFERROR(VLOOKUP($B713,LINCE!$A$5:$E$4000,5,FALSE),"")=0,"",IFERROR(VLOOKUP($B713,LINCE!$A$5:$E$4000,5,FALSE),""))</f>
        <v>113</v>
      </c>
    </row>
    <row r="714" spans="1:5" ht="129.94999999999999" hidden="1" customHeight="1" x14ac:dyDescent="0.25">
      <c r="A714" s="1"/>
      <c r="B714" s="3">
        <v>4120854</v>
      </c>
      <c r="C714" s="4" t="str">
        <f>IF(IFERROR(VLOOKUP($B714,LINCE!$A$5:$D$4000,3,FALSE),"")=0,"",IFERROR(VLOOKUP($B714,LINCE!$A$5:$D$4000,3,FALSE),""))</f>
        <v>CAMISA MC BAT AZUL SOLAPA 34/44 RER</v>
      </c>
      <c r="D714" s="4">
        <f>IF(IFERROR(VLOOKUP($B714,LINCE!$A$5:$D$4000,4,FALSE),"")=0,"",IFERROR(VLOOKUP($B714,LINCE!$A$5:$D$4000,4,FALSE),""))</f>
        <v>1935.99</v>
      </c>
      <c r="E714" s="14">
        <f>IF(IFERROR(VLOOKUP($B714,LINCE!$A$5:$E$4000,5,FALSE),"")=0,"",IFERROR(VLOOKUP($B714,LINCE!$A$5:$E$4000,5,FALSE),""))</f>
        <v>119</v>
      </c>
    </row>
    <row r="715" spans="1:5" ht="129.94999999999999" hidden="1" customHeight="1" x14ac:dyDescent="0.25">
      <c r="A715" s="1"/>
      <c r="B715" s="3">
        <v>4120600</v>
      </c>
      <c r="C715" s="4" t="str">
        <f>IF(IFERROR(VLOOKUP($B715,LINCE!$A$5:$D$4000,3,FALSE),"")=0,"",IFERROR(VLOOKUP($B715,LINCE!$A$5:$D$4000,3,FALSE),""))</f>
        <v>CAMISA MC BAT AZUL CORBATA 34/44 RER</v>
      </c>
      <c r="D715" s="4">
        <f>IF(IFERROR(VLOOKUP($B715,LINCE!$A$5:$D$4000,4,FALSE),"")=0,"",IFERROR(VLOOKUP($B715,LINCE!$A$5:$D$4000,4,FALSE),""))</f>
        <v>1935.99</v>
      </c>
      <c r="E715" s="14">
        <f>IF(IFERROR(VLOOKUP($B715,LINCE!$A$5:$E$4000,5,FALSE),"")=0,"",IFERROR(VLOOKUP($B715,LINCE!$A$5:$E$4000,5,FALSE),""))</f>
        <v>17</v>
      </c>
    </row>
    <row r="716" spans="1:5" ht="129.94999999999999" hidden="1" customHeight="1" x14ac:dyDescent="0.25">
      <c r="A716" s="1"/>
      <c r="B716" s="3">
        <v>2601900</v>
      </c>
      <c r="C716" s="4" t="str">
        <f>IF(IFERROR(VLOOKUP($B716,LINCE!$A$5:$D$4000,3,FALSE),"")=0,"",IFERROR(VLOOKUP($B716,LINCE!$A$5:$D$4000,3,FALSE),""))</f>
        <v>BUZO FRIZA NEGRO CON CIERRE 3XS/2XL RER</v>
      </c>
      <c r="D716" s="4">
        <f>IF(IFERROR(VLOOKUP($B716,LINCE!$A$5:$D$4000,4,FALSE),"")=0,"",IFERROR(VLOOKUP($B716,LINCE!$A$5:$D$4000,4,FALSE),""))</f>
        <v>2419.9899999999998</v>
      </c>
      <c r="E716" s="14">
        <f>IF(IFERROR(VLOOKUP($B716,LINCE!$A$5:$E$4000,5,FALSE),"")=0,"",IFERROR(VLOOKUP($B716,LINCE!$A$5:$E$4000,5,FALSE),""))</f>
        <v>112</v>
      </c>
    </row>
    <row r="717" spans="1:5" ht="129.94999999999999" hidden="1" customHeight="1" x14ac:dyDescent="0.25">
      <c r="A717" s="1"/>
      <c r="B717" s="3">
        <v>2601495</v>
      </c>
      <c r="C717" s="4" t="str">
        <f>IF(IFERROR(VLOOKUP($B717,LINCE!$A$5:$D$4000,3,FALSE),"")=0,"",IFERROR(VLOOKUP($B717,LINCE!$A$5:$D$4000,3,FALSE),""))</f>
        <v>BUZO FRIZA AZUL CON CIERRE 3XS/2XL RER</v>
      </c>
      <c r="D717" s="4">
        <f>IF(IFERROR(VLOOKUP($B717,LINCE!$A$5:$D$4000,4,FALSE),"")=0,"",IFERROR(VLOOKUP($B717,LINCE!$A$5:$D$4000,4,FALSE),""))</f>
        <v>2419.9899999999998</v>
      </c>
      <c r="E717" s="14">
        <f>IF(IFERROR(VLOOKUP($B717,LINCE!$A$5:$E$4000,5,FALSE),"")=0,"",IFERROR(VLOOKUP($B717,LINCE!$A$5:$E$4000,5,FALSE),""))</f>
        <v>135</v>
      </c>
    </row>
    <row r="718" spans="1:5" ht="129.94999999999999" hidden="1" customHeight="1" x14ac:dyDescent="0.25">
      <c r="A718" s="1"/>
      <c r="B718" s="3">
        <v>1120450</v>
      </c>
      <c r="C718" s="4" t="str">
        <f>IF(IFERROR(VLOOKUP($B718,LINCE!$A$5:$D$4000,3,FALSE),"")=0,"",IFERROR(VLOOKUP($B718,LINCE!$A$5:$D$4000,3,FALSE),""))</f>
        <v>BREECHES NEGRO 34/48 RER</v>
      </c>
      <c r="D718" s="4">
        <f>IF(IFERROR(VLOOKUP($B718,LINCE!$A$5:$D$4000,4,FALSE),"")=0,"",IFERROR(VLOOKUP($B718,LINCE!$A$5:$D$4000,4,FALSE),""))</f>
        <v>3266.99</v>
      </c>
      <c r="E718" s="14">
        <f>IF(IFERROR(VLOOKUP($B718,LINCE!$A$5:$E$4000,5,FALSE),"")=0,"",IFERROR(VLOOKUP($B718,LINCE!$A$5:$E$4000,5,FALSE),""))</f>
        <v>17</v>
      </c>
    </row>
    <row r="719" spans="1:5" ht="129.94999999999999" hidden="1" customHeight="1" x14ac:dyDescent="0.25">
      <c r="A719" s="1"/>
      <c r="B719" s="3">
        <v>1120428</v>
      </c>
      <c r="C719" s="4" t="str">
        <f>IF(IFERROR(VLOOKUP($B719,LINCE!$A$5:$D$4000,3,FALSE),"")=0,"",IFERROR(VLOOKUP($B719,LINCE!$A$5:$D$4000,3,FALSE),""))</f>
        <v>BREECHES AZUL 34/48 RER</v>
      </c>
      <c r="D719" s="4">
        <f>IF(IFERROR(VLOOKUP($B719,LINCE!$A$5:$D$4000,4,FALSE),"")=0,"",IFERROR(VLOOKUP($B719,LINCE!$A$5:$D$4000,4,FALSE),""))</f>
        <v>3266.99</v>
      </c>
      <c r="E719" s="14">
        <f>IF(IFERROR(VLOOKUP($B719,LINCE!$A$5:$E$4000,5,FALSE),"")=0,"",IFERROR(VLOOKUP($B719,LINCE!$A$5:$E$4000,5,FALSE),""))</f>
        <v>29</v>
      </c>
    </row>
    <row r="720" spans="1:5" ht="129.94999999999999" hidden="1" customHeight="1" x14ac:dyDescent="0.25">
      <c r="A720" s="1"/>
      <c r="B720" s="3">
        <v>8205020</v>
      </c>
      <c r="C720" s="4" t="str">
        <f>IF(IFERROR(VLOOKUP($B720,LINCE!$A$5:$D$4000,3,FALSE),"")=0,"",IFERROR(VLOOKUP($B720,LINCE!$A$5:$D$4000,3,FALSE),""))</f>
        <v>BOTIN PRUSIANO NEGRO RER</v>
      </c>
      <c r="D720" s="4">
        <f>IF(IFERROR(VLOOKUP($B720,LINCE!$A$5:$D$4000,4,FALSE),"")=0,"",IFERROR(VLOOKUP($B720,LINCE!$A$5:$D$4000,4,FALSE),""))</f>
        <v>3388</v>
      </c>
      <c r="E720" s="14">
        <f>IF(IFERROR(VLOOKUP($B720,LINCE!$A$5:$E$4000,5,FALSE),"")=0,"",IFERROR(VLOOKUP($B720,LINCE!$A$5:$E$4000,5,FALSE),""))</f>
        <v>1</v>
      </c>
    </row>
    <row r="721" spans="1:5" ht="129.94999999999999" hidden="1" customHeight="1" x14ac:dyDescent="0.25">
      <c r="A721" s="1"/>
      <c r="B721" s="3">
        <v>8205010</v>
      </c>
      <c r="C721" s="4" t="str">
        <f>IF(IFERROR(VLOOKUP($B721,LINCE!$A$5:$D$4000,3,FALSE),"")=0,"",IFERROR(VLOOKUP($B721,LINCE!$A$5:$D$4000,3,FALSE),""))</f>
        <v>BOTIN PRUSIANO MARRON RER</v>
      </c>
      <c r="D721" s="4">
        <f>IF(IFERROR(VLOOKUP($B721,LINCE!$A$5:$D$4000,4,FALSE),"")=0,"",IFERROR(VLOOKUP($B721,LINCE!$A$5:$D$4000,4,FALSE),""))</f>
        <v>3025</v>
      </c>
      <c r="E721" s="14" t="str">
        <f>IF(IFERROR(VLOOKUP($B721,LINCE!$A$5:$E$4000,5,FALSE),"")=0,"",IFERROR(VLOOKUP($B721,LINCE!$A$5:$E$4000,5,FALSE),""))</f>
        <v/>
      </c>
    </row>
    <row r="722" spans="1:5" ht="129.94999999999999" hidden="1" customHeight="1" x14ac:dyDescent="0.25">
      <c r="A722" s="1"/>
      <c r="B722" s="3">
        <v>8205018</v>
      </c>
      <c r="C722" s="4" t="str">
        <f>IF(IFERROR(VLOOKUP($B722,LINCE!$A$5:$D$4000,3,FALSE),"")=0,"",IFERROR(VLOOKUP($B722,LINCE!$A$5:$D$4000,3,FALSE),""))</f>
        <v>BOTIN DE TRABAJO PUNTA ACERO NEGRO AFU</v>
      </c>
      <c r="D722" s="4">
        <f>IF(IFERROR(VLOOKUP($B722,LINCE!$A$5:$D$4000,4,FALSE),"")=0,"",IFERROR(VLOOKUP($B722,LINCE!$A$5:$D$4000,4,FALSE),""))</f>
        <v>1935.99</v>
      </c>
      <c r="E722" s="14">
        <f>IF(IFERROR(VLOOKUP($B722,LINCE!$A$5:$E$4000,5,FALSE),"")=0,"",IFERROR(VLOOKUP($B722,LINCE!$A$5:$E$4000,5,FALSE),""))</f>
        <v>46</v>
      </c>
    </row>
    <row r="723" spans="1:5" ht="129.94999999999999" hidden="1" customHeight="1" x14ac:dyDescent="0.25">
      <c r="A723" s="1"/>
      <c r="B723" s="3">
        <v>8205060</v>
      </c>
      <c r="C723" s="4" t="str">
        <f>IF(IFERROR(VLOOKUP($B723,LINCE!$A$5:$D$4000,3,FALSE),"")=0,"",IFERROR(VLOOKUP($B723,LINCE!$A$5:$D$4000,3,FALSE),""))</f>
        <v>BOTIN CLASICO RER</v>
      </c>
      <c r="D723" s="4">
        <f>IF(IFERROR(VLOOKUP($B723,LINCE!$A$5:$D$4000,4,FALSE),"")=0,"",IFERROR(VLOOKUP($B723,LINCE!$A$5:$D$4000,4,FALSE),""))</f>
        <v>2420</v>
      </c>
      <c r="E723" s="14" t="str">
        <f>IF(IFERROR(VLOOKUP($B723,LINCE!$A$5:$E$4000,5,FALSE),"")=0,"",IFERROR(VLOOKUP($B723,LINCE!$A$5:$E$4000,5,FALSE),""))</f>
        <v/>
      </c>
    </row>
    <row r="724" spans="1:5" ht="129.94999999999999" hidden="1" customHeight="1" x14ac:dyDescent="0.25">
      <c r="A724" s="1"/>
      <c r="B724" s="3">
        <v>8205040</v>
      </c>
      <c r="C724" s="4" t="str">
        <f>IF(IFERROR(VLOOKUP($B724,LINCE!$A$5:$D$4000,3,FALSE),"")=0,"",IFERROR(VLOOKUP($B724,LINCE!$A$5:$D$4000,3,FALSE),""))</f>
        <v>BOTIN AMERICANO RER</v>
      </c>
      <c r="D724" s="4">
        <f>IF(IFERROR(VLOOKUP($B724,LINCE!$A$5:$D$4000,4,FALSE),"")=0,"",IFERROR(VLOOKUP($B724,LINCE!$A$5:$D$4000,4,FALSE),""))</f>
        <v>2214.65</v>
      </c>
      <c r="E724" s="14" t="str">
        <f>IF(IFERROR(VLOOKUP($B724,LINCE!$A$5:$E$4000,5,FALSE),"")=0,"",IFERROR(VLOOKUP($B724,LINCE!$A$5:$E$4000,5,FALSE),""))</f>
        <v/>
      </c>
    </row>
    <row r="725" spans="1:5" ht="129.94999999999999" hidden="1" customHeight="1" x14ac:dyDescent="0.25">
      <c r="A725" s="1"/>
      <c r="B725" s="3">
        <v>8205041</v>
      </c>
      <c r="C725" s="4" t="str">
        <f>IF(IFERROR(VLOOKUP($B725,LINCE!$A$5:$D$4000,3,FALSE),"")=0,"",IFERROR(VLOOKUP($B725,LINCE!$A$5:$D$4000,3,FALSE),""))</f>
        <v>BORCEGUI TODO CUERO RERDA RER</v>
      </c>
      <c r="D725" s="4">
        <f>IF(IFERROR(VLOOKUP($B725,LINCE!$A$5:$D$4000,4,FALSE),"")=0,"",IFERROR(VLOOKUP($B725,LINCE!$A$5:$D$4000,4,FALSE),""))</f>
        <v>6388.79</v>
      </c>
      <c r="E725" s="14">
        <f>IF(IFERROR(VLOOKUP($B725,LINCE!$A$5:$E$4000,5,FALSE),"")=0,"",IFERROR(VLOOKUP($B725,LINCE!$A$5:$E$4000,5,FALSE),""))</f>
        <v>64</v>
      </c>
    </row>
    <row r="726" spans="1:5" ht="129.94999999999999" hidden="1" customHeight="1" x14ac:dyDescent="0.25">
      <c r="A726" s="1"/>
      <c r="B726" s="3">
        <v>8205115</v>
      </c>
      <c r="C726" s="4" t="str">
        <f>IF(IFERROR(VLOOKUP($B726,LINCE!$A$5:$D$4000,3,FALSE),"")=0,"",IFERROR(VLOOKUP($B726,LINCE!$A$5:$D$4000,3,FALSE),""))</f>
        <v>BORCEGUI TACTICO RERDA LMGE CC</v>
      </c>
      <c r="D726" s="4">
        <f>IF(IFERROR(VLOOKUP($B726,LINCE!$A$5:$D$4000,4,FALSE),"")=0,"",IFERROR(VLOOKUP($B726,LINCE!$A$5:$D$4000,4,FALSE),""))</f>
        <v>6049.99</v>
      </c>
      <c r="E726" s="14">
        <f>IF(IFERROR(VLOOKUP($B726,LINCE!$A$5:$E$4000,5,FALSE),"")=0,"",IFERROR(VLOOKUP($B726,LINCE!$A$5:$E$4000,5,FALSE),""))</f>
        <v>260</v>
      </c>
    </row>
    <row r="727" spans="1:5" ht="129.94999999999999" hidden="1" customHeight="1" x14ac:dyDescent="0.25">
      <c r="A727" s="1"/>
      <c r="B727" s="3">
        <v>8205450</v>
      </c>
      <c r="C727" s="4" t="str">
        <f>IF(IFERROR(VLOOKUP($B727,LINCE!$A$5:$D$4000,3,FALSE),"")=0,"",IFERROR(VLOOKUP($B727,LINCE!$A$5:$D$4000,3,FALSE),""))</f>
        <v>BORCEGUI TACTICO NEGRO MARAZ</v>
      </c>
      <c r="D727" s="4">
        <f>IF(IFERROR(VLOOKUP($B727,LINCE!$A$5:$D$4000,4,FALSE),"")=0,"",IFERROR(VLOOKUP($B727,LINCE!$A$5:$D$4000,4,FALSE),""))</f>
        <v>7651.72</v>
      </c>
      <c r="E727" s="14" t="str">
        <f>IF(IFERROR(VLOOKUP($B727,LINCE!$A$5:$E$4000,5,FALSE),"")=0,"",IFERROR(VLOOKUP($B727,LINCE!$A$5:$E$4000,5,FALSE),""))</f>
        <v/>
      </c>
    </row>
    <row r="728" spans="1:5" ht="129.94999999999999" hidden="1" customHeight="1" x14ac:dyDescent="0.25">
      <c r="A728" s="1"/>
      <c r="B728" s="3">
        <v>8205800</v>
      </c>
      <c r="C728" s="4" t="str">
        <f>IF(IFERROR(VLOOKUP($B728,LINCE!$A$5:$D$4000,3,FALSE),"")=0,"",IFERROR(VLOOKUP($B728,LINCE!$A$5:$D$4000,3,FALSE),""))</f>
        <v>BORCEGUI TACTICO CAMEL MARAZ</v>
      </c>
      <c r="D728" s="4">
        <f>IF(IFERROR(VLOOKUP($B728,LINCE!$A$5:$D$4000,4,FALSE),"")=0,"",IFERROR(VLOOKUP($B728,LINCE!$A$5:$D$4000,4,FALSE),""))</f>
        <v>7651.72</v>
      </c>
      <c r="E728" s="14">
        <f>IF(IFERROR(VLOOKUP($B728,LINCE!$A$5:$E$4000,5,FALSE),"")=0,"",IFERROR(VLOOKUP($B728,LINCE!$A$5:$E$4000,5,FALSE),""))</f>
        <v>1</v>
      </c>
    </row>
    <row r="729" spans="1:5" ht="129.94999999999999" hidden="1" customHeight="1" x14ac:dyDescent="0.25">
      <c r="A729" s="1"/>
      <c r="B729" s="3">
        <v>8205050</v>
      </c>
      <c r="C729" s="4" t="str">
        <f>IF(IFERROR(VLOOKUP($B729,LINCE!$A$5:$D$4000,3,FALSE),"")=0,"",IFERROR(VLOOKUP($B729,LINCE!$A$5:$D$4000,3,FALSE),""))</f>
        <v>BORCEGUI CUERO  CLASICO RER</v>
      </c>
      <c r="D729" s="4">
        <f>IF(IFERROR(VLOOKUP($B729,LINCE!$A$5:$D$4000,4,FALSE),"")=0,"",IFERROR(VLOOKUP($B729,LINCE!$A$5:$D$4000,4,FALSE),""))</f>
        <v>6886.4</v>
      </c>
      <c r="E729" s="14">
        <f>IF(IFERROR(VLOOKUP($B729,LINCE!$A$5:$E$4000,5,FALSE),"")=0,"",IFERROR(VLOOKUP($B729,LINCE!$A$5:$E$4000,5,FALSE),""))</f>
        <v>4</v>
      </c>
    </row>
    <row r="730" spans="1:5" ht="129.94999999999999" hidden="1" customHeight="1" x14ac:dyDescent="0.25">
      <c r="A730" s="1"/>
      <c r="B730" s="3">
        <v>8205051</v>
      </c>
      <c r="C730" s="4" t="str">
        <f>IF(IFERROR(VLOOKUP($B730,LINCE!$A$5:$D$4000,3,FALSE),"")=0,"",IFERROR(VLOOKUP($B730,LINCE!$A$5:$D$4000,3,FALSE),""))</f>
        <v>BORCEGUI CON PELUCHE CC</v>
      </c>
      <c r="D730" s="4">
        <f>IF(IFERROR(VLOOKUP($B730,LINCE!$A$5:$D$4000,4,FALSE),"")=0,"",IFERROR(VLOOKUP($B730,LINCE!$A$5:$D$4000,4,FALSE),""))</f>
        <v>6121.07</v>
      </c>
      <c r="E730" s="14">
        <f>IF(IFERROR(VLOOKUP($B730,LINCE!$A$5:$E$4000,5,FALSE),"")=0,"",IFERROR(VLOOKUP($B730,LINCE!$A$5:$E$4000,5,FALSE),""))</f>
        <v>140</v>
      </c>
    </row>
    <row r="731" spans="1:5" ht="129.94999999999999" hidden="1" customHeight="1" x14ac:dyDescent="0.25">
      <c r="A731" s="1"/>
      <c r="B731" s="3">
        <v>8205119</v>
      </c>
      <c r="C731" s="4" t="str">
        <f>IF(IFERROR(VLOOKUP($B731,LINCE!$A$5:$D$4000,3,FALSE),"")=0,"",IFERROR(VLOOKUP($B731,LINCE!$A$5:$D$4000,3,FALSE),""))</f>
        <v>BORCEGUI COMANDO RERDA CAMEL CIERRE CAR</v>
      </c>
      <c r="D731" s="4">
        <f>IF(IFERROR(VLOOKUP($B731,LINCE!$A$5:$D$4000,4,FALSE),"")=0,"",IFERROR(VLOOKUP($B731,LINCE!$A$5:$D$4000,4,FALSE),""))</f>
        <v>7500</v>
      </c>
      <c r="E731" s="14">
        <f>IF(IFERROR(VLOOKUP($B731,LINCE!$A$5:$E$4000,5,FALSE),"")=0,"",IFERROR(VLOOKUP($B731,LINCE!$A$5:$E$4000,5,FALSE),""))</f>
        <v>30</v>
      </c>
    </row>
    <row r="732" spans="1:5" ht="129.94999999999999" hidden="1" customHeight="1" x14ac:dyDescent="0.25">
      <c r="A732" s="1"/>
      <c r="B732" s="3">
        <v>8205118</v>
      </c>
      <c r="C732" s="4" t="str">
        <f>IF(IFERROR(VLOOKUP($B732,LINCE!$A$5:$D$4000,3,FALSE),"")=0,"",IFERROR(VLOOKUP($B732,LINCE!$A$5:$D$4000,3,FALSE),""))</f>
        <v>BORCEGUI COMANDO RERDA ART60 CIERRE CAR</v>
      </c>
      <c r="D732" s="4">
        <f>IF(IFERROR(VLOOKUP($B732,LINCE!$A$5:$D$4000,4,FALSE),"")=0,"",IFERROR(VLOOKUP($B732,LINCE!$A$5:$D$4000,4,FALSE),""))</f>
        <v>7500</v>
      </c>
      <c r="E732" s="14">
        <f>IF(IFERROR(VLOOKUP($B732,LINCE!$A$5:$E$4000,5,FALSE),"")=0,"",IFERROR(VLOOKUP($B732,LINCE!$A$5:$E$4000,5,FALSE),""))</f>
        <v>28</v>
      </c>
    </row>
    <row r="733" spans="1:5" ht="129.94999999999999" hidden="1" customHeight="1" x14ac:dyDescent="0.25">
      <c r="A733" s="1"/>
      <c r="B733" s="3">
        <v>1120414</v>
      </c>
      <c r="C733" s="4" t="str">
        <f>IF(IFERROR(VLOOKUP($B733,LINCE!$A$5:$D$4000,3,FALSE),"")=0,"",IFERROR(VLOOKUP($B733,LINCE!$A$5:$D$4000,3,FALSE),""))</f>
        <v>BOMB TERMICA NEGRA 34/48 RER</v>
      </c>
      <c r="D733" s="4">
        <f>IF(IFERROR(VLOOKUP($B733,LINCE!$A$5:$D$4000,4,FALSE),"")=0,"",IFERROR(VLOOKUP($B733,LINCE!$A$5:$D$4000,4,FALSE),""))</f>
        <v>4658.49</v>
      </c>
      <c r="E733" s="14">
        <f>IF(IFERROR(VLOOKUP($B733,LINCE!$A$5:$E$4000,5,FALSE),"")=0,"",IFERROR(VLOOKUP($B733,LINCE!$A$5:$E$4000,5,FALSE),""))</f>
        <v>22</v>
      </c>
    </row>
    <row r="734" spans="1:5" ht="129.94999999999999" hidden="1" customHeight="1" x14ac:dyDescent="0.25">
      <c r="A734" s="1"/>
      <c r="B734" s="3">
        <v>1120173</v>
      </c>
      <c r="C734" s="4" t="str">
        <f>IF(IFERROR(VLOOKUP($B734,LINCE!$A$5:$D$4000,3,FALSE),"")=0,"",IFERROR(VLOOKUP($B734,LINCE!$A$5:$D$4000,3,FALSE),""))</f>
        <v>BOMB TERMICA AZUL 36/48 RER</v>
      </c>
      <c r="D734" s="4">
        <f>IF(IFERROR(VLOOKUP($B734,LINCE!$A$5:$D$4000,4,FALSE),"")=0,"",IFERROR(VLOOKUP($B734,LINCE!$A$5:$D$4000,4,FALSE),""))</f>
        <v>4658.49</v>
      </c>
      <c r="E734" s="14">
        <f>IF(IFERROR(VLOOKUP($B734,LINCE!$A$5:$E$4000,5,FALSE),"")=0,"",IFERROR(VLOOKUP($B734,LINCE!$A$5:$E$4000,5,FALSE),""))</f>
        <v>11</v>
      </c>
    </row>
    <row r="735" spans="1:5" ht="129.94999999999999" hidden="1" customHeight="1" x14ac:dyDescent="0.25">
      <c r="A735" s="1"/>
      <c r="B735" s="3">
        <v>1120724</v>
      </c>
      <c r="C735" s="4" t="str">
        <f>IF(IFERROR(VLOOKUP($B735,LINCE!$A$5:$D$4000,3,FALSE),"")=0,"",IFERROR(VLOOKUP($B735,LINCE!$A$5:$D$4000,3,FALSE),""))</f>
        <v>BOMB KADIMA GAB NEGRA 34/48 RER</v>
      </c>
      <c r="D735" s="4">
        <f>IF(IFERROR(VLOOKUP($B735,LINCE!$A$5:$D$4000,4,FALSE),"")=0,"",IFERROR(VLOOKUP($B735,LINCE!$A$5:$D$4000,4,FALSE),""))</f>
        <v>3990</v>
      </c>
      <c r="E735" s="14">
        <f>IF(IFERROR(VLOOKUP($B735,LINCE!$A$5:$E$4000,5,FALSE),"")=0,"",IFERROR(VLOOKUP($B735,LINCE!$A$5:$E$4000,5,FALSE),""))</f>
        <v>19</v>
      </c>
    </row>
    <row r="736" spans="1:5" ht="129.94999999999999" hidden="1" customHeight="1" x14ac:dyDescent="0.25">
      <c r="A736" s="1"/>
      <c r="B736" s="3">
        <v>1120720</v>
      </c>
      <c r="C736" s="4" t="str">
        <f>IF(IFERROR(VLOOKUP($B736,LINCE!$A$5:$D$4000,3,FALSE),"")=0,"",IFERROR(VLOOKUP($B736,LINCE!$A$5:$D$4000,3,FALSE),""))</f>
        <v>BOMB KADIMA GAB AZUL 34/48 RER</v>
      </c>
      <c r="D736" s="4">
        <f>IF(IFERROR(VLOOKUP($B736,LINCE!$A$5:$D$4000,4,FALSE),"")=0,"",IFERROR(VLOOKUP($B736,LINCE!$A$5:$D$4000,4,FALSE),""))</f>
        <v>3990</v>
      </c>
      <c r="E736" s="14">
        <f>IF(IFERROR(VLOOKUP($B736,LINCE!$A$5:$E$4000,5,FALSE),"")=0,"",IFERROR(VLOOKUP($B736,LINCE!$A$5:$E$4000,5,FALSE),""))</f>
        <v>36</v>
      </c>
    </row>
    <row r="737" spans="1:5" ht="129.94999999999999" hidden="1" customHeight="1" x14ac:dyDescent="0.25">
      <c r="A737" s="1"/>
      <c r="B737" s="3">
        <v>1120504</v>
      </c>
      <c r="C737" s="4" t="str">
        <f>IF(IFERROR(VLOOKUP($B737,LINCE!$A$5:$D$4000,3,FALSE),"")=0,"",IFERROR(VLOOKUP($B737,LINCE!$A$5:$D$4000,3,FALSE),""))</f>
        <v>BOMB JAZAK RIP NEGRO 34/48 RER</v>
      </c>
      <c r="D737" s="4">
        <f>IF(IFERROR(VLOOKUP($B737,LINCE!$A$5:$D$4000,4,FALSE),"")=0,"",IFERROR(VLOOKUP($B737,LINCE!$A$5:$D$4000,4,FALSE),""))</f>
        <v>4190</v>
      </c>
      <c r="E737" s="14">
        <f>IF(IFERROR(VLOOKUP($B737,LINCE!$A$5:$E$4000,5,FALSE),"")=0,"",IFERROR(VLOOKUP($B737,LINCE!$A$5:$E$4000,5,FALSE),""))</f>
        <v>59</v>
      </c>
    </row>
    <row r="738" spans="1:5" ht="129.94999999999999" hidden="1" customHeight="1" x14ac:dyDescent="0.25">
      <c r="A738" s="1"/>
      <c r="B738" s="3">
        <v>1120191</v>
      </c>
      <c r="C738" s="4" t="str">
        <f>IF(IFERROR(VLOOKUP($B738,LINCE!$A$5:$D$4000,3,FALSE),"")=0,"",IFERROR(VLOOKUP($B738,LINCE!$A$5:$D$4000,3,FALSE),""))</f>
        <v>BOMB JAZAK RIP INFANTERIA 34/48 RER</v>
      </c>
      <c r="D738" s="4">
        <f>IF(IFERROR(VLOOKUP($B738,LINCE!$A$5:$D$4000,4,FALSE),"")=0,"",IFERROR(VLOOKUP($B738,LINCE!$A$5:$D$4000,4,FALSE),""))</f>
        <v>4718.99</v>
      </c>
      <c r="E738" s="14">
        <f>IF(IFERROR(VLOOKUP($B738,LINCE!$A$5:$E$4000,5,FALSE),"")=0,"",IFERROR(VLOOKUP($B738,LINCE!$A$5:$E$4000,5,FALSE),""))</f>
        <v>23</v>
      </c>
    </row>
    <row r="739" spans="1:5" ht="129.94999999999999" hidden="1" customHeight="1" x14ac:dyDescent="0.25">
      <c r="A739" s="1"/>
      <c r="B739" s="3">
        <v>1120060</v>
      </c>
      <c r="C739" s="4" t="str">
        <f>IF(IFERROR(VLOOKUP($B739,LINCE!$A$5:$D$4000,3,FALSE),"")=0,"",IFERROR(VLOOKUP($B739,LINCE!$A$5:$D$4000,3,FALSE),""))</f>
        <v/>
      </c>
      <c r="D739" s="4" t="str">
        <f>IF(IFERROR(VLOOKUP($B739,LINCE!$A$5:$D$4000,4,FALSE),"")=0,"",IFERROR(VLOOKUP($B739,LINCE!$A$5:$D$4000,4,FALSE),""))</f>
        <v/>
      </c>
      <c r="E739" s="14" t="str">
        <f>IF(IFERROR(VLOOKUP($B739,LINCE!$A$5:$E$4000,5,FALSE),"")=0,"",IFERROR(VLOOKUP($B739,LINCE!$A$5:$E$4000,5,FALSE),""))</f>
        <v/>
      </c>
    </row>
    <row r="740" spans="1:5" ht="129.94999999999999" hidden="1" customHeight="1" x14ac:dyDescent="0.25">
      <c r="A740" s="1"/>
      <c r="B740" s="3">
        <v>1120500</v>
      </c>
      <c r="C740" s="4" t="str">
        <f>IF(IFERROR(VLOOKUP($B740,LINCE!$A$5:$D$4000,3,FALSE),"")=0,"",IFERROR(VLOOKUP($B740,LINCE!$A$5:$D$4000,3,FALSE),""))</f>
        <v>BOMB JAZAK RIP AZUL 34/48 RER</v>
      </c>
      <c r="D740" s="4">
        <f>IF(IFERROR(VLOOKUP($B740,LINCE!$A$5:$D$4000,4,FALSE),"")=0,"",IFERROR(VLOOKUP($B740,LINCE!$A$5:$D$4000,4,FALSE),""))</f>
        <v>4190</v>
      </c>
      <c r="E740" s="14">
        <f>IF(IFERROR(VLOOKUP($B740,LINCE!$A$5:$E$4000,5,FALSE),"")=0,"",IFERROR(VLOOKUP($B740,LINCE!$A$5:$E$4000,5,FALSE),""))</f>
        <v>14</v>
      </c>
    </row>
    <row r="741" spans="1:5" ht="129.94999999999999" hidden="1" customHeight="1" x14ac:dyDescent="0.25">
      <c r="A741" s="1"/>
      <c r="B741" s="3">
        <v>1120263</v>
      </c>
      <c r="C741" s="4" t="str">
        <f>IF(IFERROR(VLOOKUP($B741,LINCE!$A$5:$D$4000,3,FALSE),"")=0,"",IFERROR(VLOOKUP($B741,LINCE!$A$5:$D$4000,3,FALSE),""))</f>
        <v/>
      </c>
      <c r="D741" s="4" t="str">
        <f>IF(IFERROR(VLOOKUP($B741,LINCE!$A$5:$D$4000,4,FALSE),"")=0,"",IFERROR(VLOOKUP($B741,LINCE!$A$5:$D$4000,4,FALSE),""))</f>
        <v/>
      </c>
      <c r="E741" s="14" t="str">
        <f>IF(IFERROR(VLOOKUP($B741,LINCE!$A$5:$E$4000,5,FALSE),"")=0,"",IFERROR(VLOOKUP($B741,LINCE!$A$5:$E$4000,5,FALSE),""))</f>
        <v/>
      </c>
    </row>
    <row r="742" spans="1:5" ht="129.94999999999999" hidden="1" customHeight="1" x14ac:dyDescent="0.25">
      <c r="A742" s="1"/>
      <c r="B742" s="3">
        <v>1120789</v>
      </c>
      <c r="C742" s="4" t="str">
        <f>IF(IFERROR(VLOOKUP($B742,LINCE!$A$5:$D$4000,3,FALSE),"")=0,"",IFERROR(VLOOKUP($B742,LINCE!$A$5:$D$4000,3,FALSE),""))</f>
        <v>BOMB CONDOR RIP NEGRA 36/48 RER</v>
      </c>
      <c r="D742" s="4">
        <f>IF(IFERROR(VLOOKUP($B742,LINCE!$A$5:$D$4000,4,FALSE),"")=0,"",IFERROR(VLOOKUP($B742,LINCE!$A$5:$D$4000,4,FALSE),""))</f>
        <v>3024.99</v>
      </c>
      <c r="E742" s="14">
        <f>IF(IFERROR(VLOOKUP($B742,LINCE!$A$5:$E$4000,5,FALSE),"")=0,"",IFERROR(VLOOKUP($B742,LINCE!$A$5:$E$4000,5,FALSE),""))</f>
        <v>101</v>
      </c>
    </row>
    <row r="743" spans="1:5" ht="129.94999999999999" hidden="1" customHeight="1" x14ac:dyDescent="0.25">
      <c r="A743" s="1"/>
      <c r="B743" s="3">
        <v>1120001</v>
      </c>
      <c r="C743" s="4" t="str">
        <f>IF(IFERROR(VLOOKUP($B743,LINCE!$A$5:$D$4000,3,FALSE),"")=0,"",IFERROR(VLOOKUP($B743,LINCE!$A$5:$D$4000,3,FALSE),""))</f>
        <v>BOMB CONDOR RIP AZUL 36/48 RER</v>
      </c>
      <c r="D743" s="4">
        <f>IF(IFERROR(VLOOKUP($B743,LINCE!$A$5:$D$4000,4,FALSE),"")=0,"",IFERROR(VLOOKUP($B743,LINCE!$A$5:$D$4000,4,FALSE),""))</f>
        <v>3024.99</v>
      </c>
      <c r="E743" s="14">
        <f>IF(IFERROR(VLOOKUP($B743,LINCE!$A$5:$E$4000,5,FALSE),"")=0,"",IFERROR(VLOOKUP($B743,LINCE!$A$5:$E$4000,5,FALSE),""))</f>
        <v>122</v>
      </c>
    </row>
    <row r="744" spans="1:5" ht="129.94999999999999" hidden="1" customHeight="1" x14ac:dyDescent="0.25">
      <c r="A744" s="1"/>
      <c r="B744" s="3">
        <v>1120876</v>
      </c>
      <c r="C744" s="4" t="str">
        <f>IF(IFERROR(VLOOKUP($B744,LINCE!$A$5:$D$4000,3,FALSE),"")=0,"",IFERROR(VLOOKUP($B744,LINCE!$A$5:$D$4000,3,FALSE),""))</f>
        <v/>
      </c>
      <c r="D744" s="4" t="str">
        <f>IF(IFERROR(VLOOKUP($B744,LINCE!$A$5:$D$4000,4,FALSE),"")=0,"",IFERROR(VLOOKUP($B744,LINCE!$A$5:$D$4000,4,FALSE),""))</f>
        <v/>
      </c>
      <c r="E744" s="14" t="str">
        <f>IF(IFERROR(VLOOKUP($B744,LINCE!$A$5:$E$4000,5,FALSE),"")=0,"",IFERROR(VLOOKUP($B744,LINCE!$A$5:$E$4000,5,FALSE),""))</f>
        <v/>
      </c>
    </row>
    <row r="745" spans="1:5" ht="129.94999999999999" hidden="1" customHeight="1" x14ac:dyDescent="0.25">
      <c r="A745" s="1"/>
      <c r="B745" s="3">
        <v>1120900</v>
      </c>
      <c r="C745" s="4" t="str">
        <f>IF(IFERROR(VLOOKUP($B745,LINCE!$A$5:$D$4000,3,FALSE),"")=0,"",IFERROR(VLOOKUP($B745,LINCE!$A$5:$D$4000,3,FALSE),""))</f>
        <v>BOMB CLAS RIP NEGRA 34/48 RER</v>
      </c>
      <c r="D745" s="4">
        <f>IF(IFERROR(VLOOKUP($B745,LINCE!$A$5:$D$4000,4,FALSE),"")=0,"",IFERROR(VLOOKUP($B745,LINCE!$A$5:$D$4000,4,FALSE),""))</f>
        <v>2970</v>
      </c>
      <c r="E745" s="14">
        <f>IF(IFERROR(VLOOKUP($B745,LINCE!$A$5:$E$4000,5,FALSE),"")=0,"",IFERROR(VLOOKUP($B745,LINCE!$A$5:$E$4000,5,FALSE),""))</f>
        <v>109</v>
      </c>
    </row>
    <row r="746" spans="1:5" ht="129.94999999999999" hidden="1" customHeight="1" x14ac:dyDescent="0.25">
      <c r="A746" s="1"/>
      <c r="B746" s="3">
        <v>1120875</v>
      </c>
      <c r="C746" s="4" t="str">
        <f>IF(IFERROR(VLOOKUP($B746,LINCE!$A$5:$D$4000,3,FALSE),"")=0,"",IFERROR(VLOOKUP($B746,LINCE!$A$5:$D$4000,3,FALSE),""))</f>
        <v>BOMB CLAS RIP INFANTERIA 34/48 RER</v>
      </c>
      <c r="D746" s="4">
        <f>IF(IFERROR(VLOOKUP($B746,LINCE!$A$5:$D$4000,4,FALSE),"")=0,"",IFERROR(VLOOKUP($B746,LINCE!$A$5:$D$4000,4,FALSE),""))</f>
        <v>3509</v>
      </c>
      <c r="E746" s="14">
        <f>IF(IFERROR(VLOOKUP($B746,LINCE!$A$5:$E$4000,5,FALSE),"")=0,"",IFERROR(VLOOKUP($B746,LINCE!$A$5:$E$4000,5,FALSE),""))</f>
        <v>78</v>
      </c>
    </row>
    <row r="747" spans="1:5" ht="129.94999999999999" hidden="1" customHeight="1" x14ac:dyDescent="0.25">
      <c r="A747" s="1"/>
      <c r="B747" s="3">
        <v>1120750</v>
      </c>
      <c r="C747" s="4" t="str">
        <f>IF(IFERROR(VLOOKUP($B747,LINCE!$A$5:$D$4000,3,FALSE),"")=0,"",IFERROR(VLOOKUP($B747,LINCE!$A$5:$D$4000,3,FALSE),""))</f>
        <v>BOMB CLAS RIP GRIS 34/48 RER</v>
      </c>
      <c r="D747" s="4">
        <f>IF(IFERROR(VLOOKUP($B747,LINCE!$A$5:$D$4000,4,FALSE),"")=0,"",IFERROR(VLOOKUP($B747,LINCE!$A$5:$D$4000,4,FALSE),""))</f>
        <v>2970</v>
      </c>
      <c r="E747" s="14">
        <f>IF(IFERROR(VLOOKUP($B747,LINCE!$A$5:$E$4000,5,FALSE),"")=0,"",IFERROR(VLOOKUP($B747,LINCE!$A$5:$E$4000,5,FALSE),""))</f>
        <v>30</v>
      </c>
    </row>
    <row r="748" spans="1:5" ht="129.94999999999999" hidden="1" customHeight="1" x14ac:dyDescent="0.25">
      <c r="A748" s="1"/>
      <c r="B748" s="3">
        <v>1120330</v>
      </c>
      <c r="C748" s="4" t="str">
        <f>IF(IFERROR(VLOOKUP($B748,LINCE!$A$5:$D$4000,3,FALSE),"")=0,"",IFERROR(VLOOKUP($B748,LINCE!$A$5:$D$4000,3,FALSE),""))</f>
        <v>BOMB CLAS RIP GN VERDE 34/48 EM</v>
      </c>
      <c r="D748" s="4">
        <f>IF(IFERROR(VLOOKUP($B748,LINCE!$A$5:$D$4000,4,FALSE),"")=0,"",IFERROR(VLOOKUP($B748,LINCE!$A$5:$D$4000,4,FALSE),""))</f>
        <v>3267</v>
      </c>
      <c r="E748" s="14">
        <f>IF(IFERROR(VLOOKUP($B748,LINCE!$A$5:$E$4000,5,FALSE),"")=0,"",IFERROR(VLOOKUP($B748,LINCE!$A$5:$E$4000,5,FALSE),""))</f>
        <v>20</v>
      </c>
    </row>
    <row r="749" spans="1:5" ht="129.94999999999999" hidden="1" customHeight="1" x14ac:dyDescent="0.25">
      <c r="A749" s="1"/>
      <c r="B749" s="3">
        <v>1120333</v>
      </c>
      <c r="C749" s="4" t="str">
        <f>IF(IFERROR(VLOOKUP($B749,LINCE!$A$5:$D$4000,3,FALSE),"")=0,"",IFERROR(VLOOKUP($B749,LINCE!$A$5:$D$4000,3,FALSE),""))</f>
        <v>BOMB CLAS RIP EJERCITO 34/48 RER</v>
      </c>
      <c r="D749" s="4">
        <f>IF(IFERROR(VLOOKUP($B749,LINCE!$A$5:$D$4000,4,FALSE),"")=0,"",IFERROR(VLOOKUP($B749,LINCE!$A$5:$D$4000,4,FALSE),""))</f>
        <v>3508.99</v>
      </c>
      <c r="E749" s="14">
        <f>IF(IFERROR(VLOOKUP($B749,LINCE!$A$5:$E$4000,5,FALSE),"")=0,"",IFERROR(VLOOKUP($B749,LINCE!$A$5:$E$4000,5,FALSE),""))</f>
        <v>4</v>
      </c>
    </row>
    <row r="750" spans="1:5" ht="129.94999999999999" hidden="1" customHeight="1" x14ac:dyDescent="0.25">
      <c r="A750" s="1"/>
      <c r="B750" s="3">
        <v>1120666</v>
      </c>
      <c r="C750" s="4" t="str">
        <f>IF(IFERROR(VLOOKUP($B750,LINCE!$A$5:$D$4000,3,FALSE),"")=0,"",IFERROR(VLOOKUP($B750,LINCE!$A$5:$D$4000,3,FALSE),""))</f>
        <v>BOMB CLAS RIP DIGITAL BEIGE 34/48 RER</v>
      </c>
      <c r="D750" s="4">
        <f>IF(IFERROR(VLOOKUP($B750,LINCE!$A$5:$D$4000,4,FALSE),"")=0,"",IFERROR(VLOOKUP($B750,LINCE!$A$5:$D$4000,4,FALSE),""))</f>
        <v>3508.99</v>
      </c>
      <c r="E750" s="14">
        <f>IF(IFERROR(VLOOKUP($B750,LINCE!$A$5:$E$4000,5,FALSE),"")=0,"",IFERROR(VLOOKUP($B750,LINCE!$A$5:$E$4000,5,FALSE),""))</f>
        <v>2</v>
      </c>
    </row>
    <row r="751" spans="1:5" ht="129.94999999999999" hidden="1" customHeight="1" x14ac:dyDescent="0.25">
      <c r="A751" s="1"/>
      <c r="B751" s="3">
        <v>1120315</v>
      </c>
      <c r="C751" s="4" t="str">
        <f>IF(IFERROR(VLOOKUP($B751,LINCE!$A$5:$D$4000,3,FALSE),"")=0,"",IFERROR(VLOOKUP($B751,LINCE!$A$5:$D$4000,3,FALSE),""))</f>
        <v/>
      </c>
      <c r="D751" s="4" t="str">
        <f>IF(IFERROR(VLOOKUP($B751,LINCE!$A$5:$D$4000,4,FALSE),"")=0,"",IFERROR(VLOOKUP($B751,LINCE!$A$5:$D$4000,4,FALSE),""))</f>
        <v/>
      </c>
      <c r="E751" s="14" t="str">
        <f>IF(IFERROR(VLOOKUP($B751,LINCE!$A$5:$E$4000,5,FALSE),"")=0,"",IFERROR(VLOOKUP($B751,LINCE!$A$5:$E$4000,5,FALSE),""))</f>
        <v/>
      </c>
    </row>
    <row r="752" spans="1:5" ht="129.94999999999999" hidden="1" customHeight="1" x14ac:dyDescent="0.25">
      <c r="A752" s="1"/>
      <c r="B752" s="3">
        <v>1200900</v>
      </c>
      <c r="C752" s="4" t="str">
        <f>IF(IFERROR(VLOOKUP($B752,LINCE!$A$5:$D$4000,3,FALSE),"")=0,"",IFERROR(VLOOKUP($B752,LINCE!$A$5:$D$4000,3,FALSE),""))</f>
        <v>BOMB CLAS RIP DAMA NEGRA 36/48 RER</v>
      </c>
      <c r="D752" s="4">
        <f>IF(IFERROR(VLOOKUP($B752,LINCE!$A$5:$D$4000,4,FALSE),"")=0,"",IFERROR(VLOOKUP($B752,LINCE!$A$5:$D$4000,4,FALSE),""))</f>
        <v>2970</v>
      </c>
      <c r="E752" s="14">
        <f>IF(IFERROR(VLOOKUP($B752,LINCE!$A$5:$E$4000,5,FALSE),"")=0,"",IFERROR(VLOOKUP($B752,LINCE!$A$5:$E$4000,5,FALSE),""))</f>
        <v>76</v>
      </c>
    </row>
    <row r="753" spans="1:5" ht="129.94999999999999" hidden="1" customHeight="1" x14ac:dyDescent="0.25">
      <c r="A753" s="1"/>
      <c r="B753" s="3">
        <v>1200001</v>
      </c>
      <c r="C753" s="4" t="str">
        <f>IF(IFERROR(VLOOKUP($B753,LINCE!$A$5:$D$4000,3,FALSE),"")=0,"",IFERROR(VLOOKUP($B753,LINCE!$A$5:$D$4000,3,FALSE),""))</f>
        <v>BOMB CLAS RIP DAMA AZUL 34/48 RER</v>
      </c>
      <c r="D753" s="4">
        <f>IF(IFERROR(VLOOKUP($B753,LINCE!$A$5:$D$4000,4,FALSE),"")=0,"",IFERROR(VLOOKUP($B753,LINCE!$A$5:$D$4000,4,FALSE),""))</f>
        <v>2970</v>
      </c>
      <c r="E753" s="14">
        <f>IF(IFERROR(VLOOKUP($B753,LINCE!$A$5:$E$4000,5,FALSE),"")=0,"",IFERROR(VLOOKUP($B753,LINCE!$A$5:$E$4000,5,FALSE),""))</f>
        <v>136</v>
      </c>
    </row>
    <row r="754" spans="1:5" ht="129.94999999999999" hidden="1" customHeight="1" x14ac:dyDescent="0.25">
      <c r="A754" s="1"/>
      <c r="B754" s="3">
        <v>1120800</v>
      </c>
      <c r="C754" s="4" t="str">
        <f>IF(IFERROR(VLOOKUP($B754,LINCE!$A$5:$D$4000,3,FALSE),"")=0,"",IFERROR(VLOOKUP($B754,LINCE!$A$5:$D$4000,3,FALSE),""))</f>
        <v>BOMB CLAS RIP BEIGE 34/48 RER</v>
      </c>
      <c r="D754" s="4">
        <f>IF(IFERROR(VLOOKUP($B754,LINCE!$A$5:$D$4000,4,FALSE),"")=0,"",IFERROR(VLOOKUP($B754,LINCE!$A$5:$D$4000,4,FALSE),""))</f>
        <v>2970</v>
      </c>
      <c r="E754" s="14">
        <f>IF(IFERROR(VLOOKUP($B754,LINCE!$A$5:$E$4000,5,FALSE),"")=0,"",IFERROR(VLOOKUP($B754,LINCE!$A$5:$E$4000,5,FALSE),""))</f>
        <v>9</v>
      </c>
    </row>
    <row r="755" spans="1:5" ht="129.94999999999999" hidden="1" customHeight="1" x14ac:dyDescent="0.25">
      <c r="A755" s="1"/>
      <c r="B755" s="3">
        <v>1120182</v>
      </c>
      <c r="C755" s="4" t="str">
        <f>IF(IFERROR(VLOOKUP($B755,LINCE!$A$5:$D$4000,3,FALSE),"")=0,"",IFERROR(VLOOKUP($B755,LINCE!$A$5:$D$4000,3,FALSE),""))</f>
        <v>BOMB CLAS RIP AZUL NEUQUEN 34/48 RER</v>
      </c>
      <c r="D755" s="4">
        <f>IF(IFERROR(VLOOKUP($B755,LINCE!$A$5:$D$4000,4,FALSE),"")=0,"",IFERROR(VLOOKUP($B755,LINCE!$A$5:$D$4000,4,FALSE),""))</f>
        <v>2970</v>
      </c>
      <c r="E755" s="14">
        <f>IF(IFERROR(VLOOKUP($B755,LINCE!$A$5:$E$4000,5,FALSE),"")=0,"",IFERROR(VLOOKUP($B755,LINCE!$A$5:$E$4000,5,FALSE),""))</f>
        <v>58</v>
      </c>
    </row>
    <row r="756" spans="1:5" ht="129.94999999999999" hidden="1" customHeight="1" x14ac:dyDescent="0.25">
      <c r="A756" s="1"/>
      <c r="B756" s="3">
        <v>1120499</v>
      </c>
      <c r="C756" s="4" t="str">
        <f>IF(IFERROR(VLOOKUP($B756,LINCE!$A$5:$D$4000,3,FALSE),"")=0,"",IFERROR(VLOOKUP($B756,LINCE!$A$5:$D$4000,3,FALSE),""))</f>
        <v>BOMB CLAS RIP AZUL 36/48 RER</v>
      </c>
      <c r="D756" s="4">
        <f>IF(IFERROR(VLOOKUP($B756,LINCE!$A$5:$D$4000,4,FALSE),"")=0,"",IFERROR(VLOOKUP($B756,LINCE!$A$5:$D$4000,4,FALSE),""))</f>
        <v>3025</v>
      </c>
      <c r="E756" s="14">
        <f>IF(IFERROR(VLOOKUP($B756,LINCE!$A$5:$E$4000,5,FALSE),"")=0,"",IFERROR(VLOOKUP($B756,LINCE!$A$5:$E$4000,5,FALSE),""))</f>
        <v>142</v>
      </c>
    </row>
    <row r="757" spans="1:5" ht="129.94999999999999" hidden="1" customHeight="1" x14ac:dyDescent="0.25">
      <c r="A757" s="1"/>
      <c r="B757" s="3">
        <v>1120286</v>
      </c>
      <c r="C757" s="4" t="str">
        <f>IF(IFERROR(VLOOKUP($B757,LINCE!$A$5:$D$4000,3,FALSE),"")=0,"",IFERROR(VLOOKUP($B757,LINCE!$A$5:$D$4000,3,FALSE),""))</f>
        <v/>
      </c>
      <c r="D757" s="4" t="str">
        <f>IF(IFERROR(VLOOKUP($B757,LINCE!$A$5:$D$4000,4,FALSE),"")=0,"",IFERROR(VLOOKUP($B757,LINCE!$A$5:$D$4000,4,FALSE),""))</f>
        <v/>
      </c>
      <c r="E757" s="14" t="str">
        <f>IF(IFERROR(VLOOKUP($B757,LINCE!$A$5:$E$4000,5,FALSE),"")=0,"",IFERROR(VLOOKUP($B757,LINCE!$A$5:$E$4000,5,FALSE),""))</f>
        <v/>
      </c>
    </row>
    <row r="758" spans="1:5" ht="129.94999999999999" hidden="1" customHeight="1" x14ac:dyDescent="0.25">
      <c r="A758" s="1"/>
      <c r="B758" s="3">
        <v>1120130</v>
      </c>
      <c r="C758" s="4" t="str">
        <f>IF(IFERROR(VLOOKUP($B758,LINCE!$A$5:$D$4000,3,FALSE),"")=0,"",IFERROR(VLOOKUP($B758,LINCE!$A$5:$D$4000,3,FALSE),""))</f>
        <v>BOMB CLAS GAB PENIT FEDERAL 34/48 RER</v>
      </c>
      <c r="D758" s="4">
        <f>IF(IFERROR(VLOOKUP($B758,LINCE!$A$5:$D$4000,4,FALSE),"")=0,"",IFERROR(VLOOKUP($B758,LINCE!$A$5:$D$4000,4,FALSE),""))</f>
        <v>3024.99</v>
      </c>
      <c r="E758" s="14">
        <f>IF(IFERROR(VLOOKUP($B758,LINCE!$A$5:$E$4000,5,FALSE),"")=0,"",IFERROR(VLOOKUP($B758,LINCE!$A$5:$E$4000,5,FALSE),""))</f>
        <v>18</v>
      </c>
    </row>
    <row r="759" spans="1:5" ht="129.94999999999999" hidden="1" customHeight="1" x14ac:dyDescent="0.25">
      <c r="A759" s="1"/>
      <c r="B759" s="3">
        <v>1120170</v>
      </c>
      <c r="C759" s="4" t="str">
        <f>IF(IFERROR(VLOOKUP($B759,LINCE!$A$5:$D$4000,3,FALSE),"")=0,"",IFERROR(VLOOKUP($B759,LINCE!$A$5:$D$4000,3,FALSE),""))</f>
        <v>BOMB CLAS GAB NEGRA 34/48 RER</v>
      </c>
      <c r="D759" s="4">
        <f>IF(IFERROR(VLOOKUP($B759,LINCE!$A$5:$D$4000,4,FALSE),"")=0,"",IFERROR(VLOOKUP($B759,LINCE!$A$5:$D$4000,4,FALSE),""))</f>
        <v>3024.99</v>
      </c>
      <c r="E759" s="14">
        <f>IF(IFERROR(VLOOKUP($B759,LINCE!$A$5:$E$4000,5,FALSE),"")=0,"",IFERROR(VLOOKUP($B759,LINCE!$A$5:$E$4000,5,FALSE),""))</f>
        <v>56</v>
      </c>
    </row>
    <row r="760" spans="1:5" ht="129.94999999999999" hidden="1" customHeight="1" x14ac:dyDescent="0.25">
      <c r="A760" s="1"/>
      <c r="B760" s="3">
        <v>1120140</v>
      </c>
      <c r="C760" s="4" t="str">
        <f>IF(IFERROR(VLOOKUP($B760,LINCE!$A$5:$D$4000,3,FALSE),"")=0,"",IFERROR(VLOOKUP($B760,LINCE!$A$5:$D$4000,3,FALSE),""))</f>
        <v>BOMB CLAS GAB GRIS 34/48 RER</v>
      </c>
      <c r="D760" s="4">
        <f>IF(IFERROR(VLOOKUP($B760,LINCE!$A$5:$D$4000,4,FALSE),"")=0,"",IFERROR(VLOOKUP($B760,LINCE!$A$5:$D$4000,4,FALSE),""))</f>
        <v>3024.99</v>
      </c>
      <c r="E760" s="14">
        <f>IF(IFERROR(VLOOKUP($B760,LINCE!$A$5:$E$4000,5,FALSE),"")=0,"",IFERROR(VLOOKUP($B760,LINCE!$A$5:$E$4000,5,FALSE),""))</f>
        <v>100</v>
      </c>
    </row>
    <row r="761" spans="1:5" ht="129.94999999999999" hidden="1" customHeight="1" x14ac:dyDescent="0.25">
      <c r="A761" s="1"/>
      <c r="B761" s="3">
        <v>1120285</v>
      </c>
      <c r="C761" s="4" t="str">
        <f>IF(IFERROR(VLOOKUP($B761,LINCE!$A$5:$D$4000,3,FALSE),"")=0,"",IFERROR(VLOOKUP($B761,LINCE!$A$5:$D$4000,3,FALSE),""))</f>
        <v>BOMB CLAS GAB AZUL 36/48 RER</v>
      </c>
      <c r="D761" s="4">
        <f>IF(IFERROR(VLOOKUP($B761,LINCE!$A$5:$D$4000,4,FALSE),"")=0,"",IFERROR(VLOOKUP($B761,LINCE!$A$5:$D$4000,4,FALSE),""))</f>
        <v>3024.99</v>
      </c>
      <c r="E761" s="14">
        <f>IF(IFERROR(VLOOKUP($B761,LINCE!$A$5:$E$4000,5,FALSE),"")=0,"",IFERROR(VLOOKUP($B761,LINCE!$A$5:$E$4000,5,FALSE),""))</f>
        <v>64</v>
      </c>
    </row>
    <row r="762" spans="1:5" ht="129.94999999999999" hidden="1" customHeight="1" x14ac:dyDescent="0.25">
      <c r="A762" s="1"/>
      <c r="B762" s="3">
        <v>1120950</v>
      </c>
      <c r="C762" s="4" t="str">
        <f>IF(IFERROR(VLOOKUP($B762,LINCE!$A$5:$D$4000,3,FALSE),"")=0,"",IFERROR(VLOOKUP($B762,LINCE!$A$5:$D$4000,3,FALSE),""))</f>
        <v>BOMB AMER RIP REQUISA 34/48 RER</v>
      </c>
      <c r="D762" s="4">
        <f>IF(IFERROR(VLOOKUP($B762,LINCE!$A$5:$D$4000,4,FALSE),"")=0,"",IFERROR(VLOOKUP($B762,LINCE!$A$5:$D$4000,4,FALSE),""))</f>
        <v>3872</v>
      </c>
      <c r="E762" s="14">
        <f>IF(IFERROR(VLOOKUP($B762,LINCE!$A$5:$E$4000,5,FALSE),"")=0,"",IFERROR(VLOOKUP($B762,LINCE!$A$5:$E$4000,5,FALSE),""))</f>
        <v>25</v>
      </c>
    </row>
    <row r="763" spans="1:5" ht="129.94999999999999" hidden="1" customHeight="1" x14ac:dyDescent="0.25">
      <c r="A763" s="1"/>
      <c r="B763" s="3">
        <v>1120858</v>
      </c>
      <c r="C763" s="4" t="str">
        <f>IF(IFERROR(VLOOKUP($B763,LINCE!$A$5:$D$4000,3,FALSE),"")=0,"",IFERROR(VLOOKUP($B763,LINCE!$A$5:$D$4000,3,FALSE),""))</f>
        <v>BOMB AMER RIP NEGRA 34/48 RER</v>
      </c>
      <c r="D763" s="4">
        <f>IF(IFERROR(VLOOKUP($B763,LINCE!$A$5:$D$4000,4,FALSE),"")=0,"",IFERROR(VLOOKUP($B763,LINCE!$A$5:$D$4000,4,FALSE),""))</f>
        <v>3490</v>
      </c>
      <c r="E763" s="14">
        <f>IF(IFERROR(VLOOKUP($B763,LINCE!$A$5:$E$4000,5,FALSE),"")=0,"",IFERROR(VLOOKUP($B763,LINCE!$A$5:$E$4000,5,FALSE),""))</f>
        <v>63</v>
      </c>
    </row>
    <row r="764" spans="1:5" ht="129.94999999999999" hidden="1" customHeight="1" x14ac:dyDescent="0.25">
      <c r="A764" s="1"/>
      <c r="B764" s="3">
        <v>1120850</v>
      </c>
      <c r="C764" s="4" t="str">
        <f>IF(IFERROR(VLOOKUP($B764,LINCE!$A$5:$D$4000,3,FALSE),"")=0,"",IFERROR(VLOOKUP($B764,LINCE!$A$5:$D$4000,3,FALSE),""))</f>
        <v>BOMB AMER RIP INFANTERIA 34/48 RER</v>
      </c>
      <c r="D764" s="4">
        <f>IF(IFERROR(VLOOKUP($B764,LINCE!$A$5:$D$4000,4,FALSE),"")=0,"",IFERROR(VLOOKUP($B764,LINCE!$A$5:$D$4000,4,FALSE),""))</f>
        <v>3871.99</v>
      </c>
      <c r="E764" s="14">
        <f>IF(IFERROR(VLOOKUP($B764,LINCE!$A$5:$E$4000,5,FALSE),"")=0,"",IFERROR(VLOOKUP($B764,LINCE!$A$5:$E$4000,5,FALSE),""))</f>
        <v>51</v>
      </c>
    </row>
    <row r="765" spans="1:5" ht="129.94999999999999" hidden="1" customHeight="1" x14ac:dyDescent="0.25">
      <c r="A765" s="1"/>
      <c r="B765" s="3">
        <v>1120623</v>
      </c>
      <c r="C765" s="4" t="str">
        <f>IF(IFERROR(VLOOKUP($B765,LINCE!$A$5:$D$4000,3,FALSE),"")=0,"",IFERROR(VLOOKUP($B765,LINCE!$A$5:$D$4000,3,FALSE),""))</f>
        <v>BOMB AMER RIP GRIS 34/48 RER</v>
      </c>
      <c r="D765" s="4">
        <f>IF(IFERROR(VLOOKUP($B765,LINCE!$A$5:$D$4000,4,FALSE),"")=0,"",IFERROR(VLOOKUP($B765,LINCE!$A$5:$D$4000,4,FALSE),""))</f>
        <v>3490</v>
      </c>
      <c r="E765" s="14">
        <f>IF(IFERROR(VLOOKUP($B765,LINCE!$A$5:$E$4000,5,FALSE),"")=0,"",IFERROR(VLOOKUP($B765,LINCE!$A$5:$E$4000,5,FALSE),""))</f>
        <v>28</v>
      </c>
    </row>
    <row r="766" spans="1:5" ht="129.94999999999999" hidden="1" customHeight="1" x14ac:dyDescent="0.25">
      <c r="A766" s="1"/>
      <c r="B766" s="3">
        <v>1120640</v>
      </c>
      <c r="C766" s="4" t="str">
        <f>IF(IFERROR(VLOOKUP($B766,LINCE!$A$5:$D$4000,3,FALSE),"")=0,"",IFERROR(VLOOKUP($B766,LINCE!$A$5:$D$4000,3,FALSE),""))</f>
        <v>BOMB AMER RIP DIGITAL GRIS 34/48 RER</v>
      </c>
      <c r="D766" s="4">
        <f>IF(IFERROR(VLOOKUP($B766,LINCE!$A$5:$D$4000,4,FALSE),"")=0,"",IFERROR(VLOOKUP($B766,LINCE!$A$5:$D$4000,4,FALSE),""))</f>
        <v>3871.99</v>
      </c>
      <c r="E766" s="14">
        <f>IF(IFERROR(VLOOKUP($B766,LINCE!$A$5:$E$4000,5,FALSE),"")=0,"",IFERROR(VLOOKUP($B766,LINCE!$A$5:$E$4000,5,FALSE),""))</f>
        <v>38</v>
      </c>
    </row>
    <row r="767" spans="1:5" ht="129.94999999999999" hidden="1" customHeight="1" x14ac:dyDescent="0.25">
      <c r="A767" s="1"/>
      <c r="B767" s="3">
        <v>1120165</v>
      </c>
      <c r="C767" s="4" t="str">
        <f>IF(IFERROR(VLOOKUP($B767,LINCE!$A$5:$D$4000,3,FALSE),"")=0,"",IFERROR(VLOOKUP($B767,LINCE!$A$5:$D$4000,3,FALSE),""))</f>
        <v/>
      </c>
      <c r="D767" s="4" t="str">
        <f>IF(IFERROR(VLOOKUP($B767,LINCE!$A$5:$D$4000,4,FALSE),"")=0,"",IFERROR(VLOOKUP($B767,LINCE!$A$5:$D$4000,4,FALSE),""))</f>
        <v/>
      </c>
      <c r="E767" s="14" t="str">
        <f>IF(IFERROR(VLOOKUP($B767,LINCE!$A$5:$E$4000,5,FALSE),"")=0,"",IFERROR(VLOOKUP($B767,LINCE!$A$5:$E$4000,5,FALSE),""))</f>
        <v/>
      </c>
    </row>
    <row r="768" spans="1:5" ht="129.94999999999999" hidden="1" customHeight="1" x14ac:dyDescent="0.25">
      <c r="A768" s="1"/>
      <c r="B768" s="3">
        <v>1120445</v>
      </c>
      <c r="C768" s="4" t="str">
        <f>IF(IFERROR(VLOOKUP($B768,LINCE!$A$5:$D$4000,3,FALSE),"")=0,"",IFERROR(VLOOKUP($B768,LINCE!$A$5:$D$4000,3,FALSE),""))</f>
        <v>BOMB AMER RIP AZUL NOCHE 34/48 RER</v>
      </c>
      <c r="D768" s="4">
        <f>IF(IFERROR(VLOOKUP($B768,LINCE!$A$5:$D$4000,4,FALSE),"")=0,"",IFERROR(VLOOKUP($B768,LINCE!$A$5:$D$4000,4,FALSE),""))</f>
        <v>3490</v>
      </c>
      <c r="E768" s="14">
        <f>IF(IFERROR(VLOOKUP($B768,LINCE!$A$5:$E$4000,5,FALSE),"")=0,"",IFERROR(VLOOKUP($B768,LINCE!$A$5:$E$4000,5,FALSE),""))</f>
        <v>79</v>
      </c>
    </row>
    <row r="769" spans="1:5" ht="129.94999999999999" hidden="1" customHeight="1" x14ac:dyDescent="0.25">
      <c r="A769" s="1"/>
      <c r="B769" s="3">
        <v>1120856</v>
      </c>
      <c r="C769" s="4" t="str">
        <f>IF(IFERROR(VLOOKUP($B769,LINCE!$A$5:$D$4000,3,FALSE),"")=0,"",IFERROR(VLOOKUP($B769,LINCE!$A$5:$D$4000,3,FALSE),""))</f>
        <v>BOMB AMER RIP AZUL 34/48 RER</v>
      </c>
      <c r="D769" s="4">
        <f>IF(IFERROR(VLOOKUP($B769,LINCE!$A$5:$D$4000,4,FALSE),"")=0,"",IFERROR(VLOOKUP($B769,LINCE!$A$5:$D$4000,4,FALSE),""))</f>
        <v>3490</v>
      </c>
      <c r="E769" s="14">
        <f>IF(IFERROR(VLOOKUP($B769,LINCE!$A$5:$E$4000,5,FALSE),"")=0,"",IFERROR(VLOOKUP($B769,LINCE!$A$5:$E$4000,5,FALSE),""))</f>
        <v>154</v>
      </c>
    </row>
    <row r="770" spans="1:5" ht="129.94999999999999" hidden="1" customHeight="1" x14ac:dyDescent="0.25">
      <c r="A770" s="1"/>
      <c r="B770" s="3">
        <v>1120250</v>
      </c>
      <c r="C770" s="4" t="str">
        <f>IF(IFERROR(VLOOKUP($B770,LINCE!$A$5:$D$4000,3,FALSE),"")=0,"",IFERROR(VLOOKUP($B770,LINCE!$A$5:$D$4000,3,FALSE),""))</f>
        <v/>
      </c>
      <c r="D770" s="4" t="str">
        <f>IF(IFERROR(VLOOKUP($B770,LINCE!$A$5:$D$4000,4,FALSE),"")=0,"",IFERROR(VLOOKUP($B770,LINCE!$A$5:$D$4000,4,FALSE),""))</f>
        <v/>
      </c>
      <c r="E770" s="14" t="str">
        <f>IF(IFERROR(VLOOKUP($B770,LINCE!$A$5:$E$4000,5,FALSE),"")=0,"",IFERROR(VLOOKUP($B770,LINCE!$A$5:$E$4000,5,FALSE),""))</f>
        <v/>
      </c>
    </row>
    <row r="771" spans="1:5" ht="129.94999999999999" hidden="1" customHeight="1" x14ac:dyDescent="0.25">
      <c r="A771" s="1"/>
      <c r="B771" s="3">
        <v>1120206</v>
      </c>
      <c r="C771" s="4" t="str">
        <f>IF(IFERROR(VLOOKUP($B771,LINCE!$A$5:$D$4000,3,FALSE),"")=0,"",IFERROR(VLOOKUP($B771,LINCE!$A$5:$D$4000,3,FALSE),""))</f>
        <v>BOMB AMER GAB NEGRA 34/48 RER</v>
      </c>
      <c r="D771" s="4">
        <f>IF(IFERROR(VLOOKUP($B771,LINCE!$A$5:$D$4000,4,FALSE),"")=0,"",IFERROR(VLOOKUP($B771,LINCE!$A$5:$D$4000,4,FALSE),""))</f>
        <v>3790</v>
      </c>
      <c r="E771" s="14">
        <f>IF(IFERROR(VLOOKUP($B771,LINCE!$A$5:$E$4000,5,FALSE),"")=0,"",IFERROR(VLOOKUP($B771,LINCE!$A$5:$E$4000,5,FALSE),""))</f>
        <v>106</v>
      </c>
    </row>
    <row r="772" spans="1:5" ht="129.94999999999999" hidden="1" customHeight="1" x14ac:dyDescent="0.25">
      <c r="A772" s="1"/>
      <c r="B772" s="3">
        <v>1120106</v>
      </c>
      <c r="C772" s="4" t="str">
        <f>IF(IFERROR(VLOOKUP($B772,LINCE!$A$5:$D$4000,3,FALSE),"")=0,"",IFERROR(VLOOKUP($B772,LINCE!$A$5:$D$4000,3,FALSE),""))</f>
        <v>BOMB AMER GAB GRIS 34/48 RER</v>
      </c>
      <c r="D772" s="4">
        <f>IF(IFERROR(VLOOKUP($B772,LINCE!$A$5:$D$4000,4,FALSE),"")=0,"",IFERROR(VLOOKUP($B772,LINCE!$A$5:$D$4000,4,FALSE),""))</f>
        <v>3790</v>
      </c>
      <c r="E772" s="14">
        <f>IF(IFERROR(VLOOKUP($B772,LINCE!$A$5:$E$4000,5,FALSE),"")=0,"",IFERROR(VLOOKUP($B772,LINCE!$A$5:$E$4000,5,FALSE),""))</f>
        <v>103</v>
      </c>
    </row>
    <row r="773" spans="1:5" ht="129.94999999999999" hidden="1" customHeight="1" x14ac:dyDescent="0.25">
      <c r="A773" s="1"/>
      <c r="B773" s="3">
        <v>1120003</v>
      </c>
      <c r="C773" s="4" t="str">
        <f>IF(IFERROR(VLOOKUP($B773,LINCE!$A$5:$D$4000,3,FALSE),"")=0,"",IFERROR(VLOOKUP($B773,LINCE!$A$5:$D$4000,3,FALSE),""))</f>
        <v>BOMB AMER GAB AZUL 34/48 RER</v>
      </c>
      <c r="D773" s="4">
        <f>IF(IFERROR(VLOOKUP($B773,LINCE!$A$5:$D$4000,4,FALSE),"")=0,"",IFERROR(VLOOKUP($B773,LINCE!$A$5:$D$4000,4,FALSE),""))</f>
        <v>3790</v>
      </c>
      <c r="E773" s="14">
        <f>IF(IFERROR(VLOOKUP($B773,LINCE!$A$5:$E$4000,5,FALSE),"")=0,"",IFERROR(VLOOKUP($B773,LINCE!$A$5:$E$4000,5,FALSE),""))</f>
        <v>128</v>
      </c>
    </row>
    <row r="774" spans="1:5" ht="129.94999999999999" hidden="1" customHeight="1" x14ac:dyDescent="0.25">
      <c r="A774" s="1"/>
      <c r="B774" s="3">
        <v>8708099</v>
      </c>
      <c r="C774" s="4" t="str">
        <f>IF(IFERROR(VLOOKUP($B774,LINCE!$A$5:$D$4000,3,FALSE),"")=0,"",IFERROR(VLOOKUP($B774,LINCE!$A$5:$D$4000,3,FALSE),""))</f>
        <v/>
      </c>
      <c r="D774" s="4" t="str">
        <f>IF(IFERROR(VLOOKUP($B774,LINCE!$A$5:$D$4000,4,FALSE),"")=0,"",IFERROR(VLOOKUP($B774,LINCE!$A$5:$D$4000,4,FALSE),""))</f>
        <v/>
      </c>
      <c r="E774" s="14" t="str">
        <f>IF(IFERROR(VLOOKUP($B774,LINCE!$A$5:$E$4000,5,FALSE),"")=0,"",IFERROR(VLOOKUP($B774,LINCE!$A$5:$E$4000,5,FALSE),""))</f>
        <v/>
      </c>
    </row>
    <row r="775" spans="1:5" ht="129.94999999999999" hidden="1" customHeight="1" x14ac:dyDescent="0.25">
      <c r="A775" s="1"/>
      <c r="B775" s="3">
        <v>8708110</v>
      </c>
      <c r="C775" s="4" t="str">
        <f>IF(IFERROR(VLOOKUP($B775,LINCE!$A$5:$D$4000,3,FALSE),"")=0,"",IFERROR(VLOOKUP($B775,LINCE!$A$5:$D$4000,3,FALSE),""))</f>
        <v>BOLSO MATERO RRD37 BLK</v>
      </c>
      <c r="D775" s="4">
        <f>IF(IFERROR(VLOOKUP($B775,LINCE!$A$5:$D$4000,4,FALSE),"")=0,"",IFERROR(VLOOKUP($B775,LINCE!$A$5:$D$4000,4,FALSE),""))</f>
        <v>2800</v>
      </c>
      <c r="E775" s="14">
        <f>IF(IFERROR(VLOOKUP($B775,LINCE!$A$5:$E$4000,5,FALSE),"")=0,"",IFERROR(VLOOKUP($B775,LINCE!$A$5:$E$4000,5,FALSE),""))</f>
        <v>10</v>
      </c>
    </row>
    <row r="776" spans="1:5" ht="129.94999999999999" hidden="1" customHeight="1" x14ac:dyDescent="0.25">
      <c r="A776" s="1"/>
      <c r="B776" s="3">
        <v>8708104</v>
      </c>
      <c r="C776" s="4" t="str">
        <f>IF(IFERROR(VLOOKUP($B776,LINCE!$A$5:$D$4000,3,FALSE),"")=0,"",IFERROR(VLOOKUP($B776,LINCE!$A$5:$D$4000,3,FALSE),""))</f>
        <v>BOLSO MALETIN  PORTA PIST. RRD31 BLK</v>
      </c>
      <c r="D776" s="4">
        <f>IF(IFERROR(VLOOKUP($B776,LINCE!$A$5:$D$4000,4,FALSE),"")=0,"",IFERROR(VLOOKUP($B776,LINCE!$A$5:$D$4000,4,FALSE),""))</f>
        <v>400</v>
      </c>
      <c r="E776" s="14">
        <f>IF(IFERROR(VLOOKUP($B776,LINCE!$A$5:$E$4000,5,FALSE),"")=0,"",IFERROR(VLOOKUP($B776,LINCE!$A$5:$E$4000,5,FALSE),""))</f>
        <v>23</v>
      </c>
    </row>
    <row r="777" spans="1:5" ht="129.94999999999999" hidden="1" customHeight="1" x14ac:dyDescent="0.25">
      <c r="A777" s="1"/>
      <c r="B777" s="3">
        <v>8301008</v>
      </c>
      <c r="C777" s="4" t="str">
        <f>IF(IFERROR(VLOOKUP($B777,LINCE!$A$5:$D$4000,3,FALSE),"")=0,"",IFERROR(VLOOKUP($B777,LINCE!$A$5:$D$4000,3,FALSE),""))</f>
        <v>BOINA PANA BEIGE LMGE RER</v>
      </c>
      <c r="D777" s="4">
        <f>IF(IFERROR(VLOOKUP($B777,LINCE!$A$5:$D$4000,4,FALSE),"")=0,"",IFERROR(VLOOKUP($B777,LINCE!$A$5:$D$4000,4,FALSE),""))</f>
        <v>990</v>
      </c>
      <c r="E777" s="14">
        <f>IF(IFERROR(VLOOKUP($B777,LINCE!$A$5:$E$4000,5,FALSE),"")=0,"",IFERROR(VLOOKUP($B777,LINCE!$A$5:$E$4000,5,FALSE),""))</f>
        <v>15</v>
      </c>
    </row>
    <row r="778" spans="1:5" ht="129.94999999999999" hidden="1" customHeight="1" x14ac:dyDescent="0.25">
      <c r="A778" s="1"/>
      <c r="B778" s="3">
        <v>8301000</v>
      </c>
      <c r="C778" s="4" t="str">
        <f>IF(IFERROR(VLOOKUP($B778,LINCE!$A$5:$D$4000,3,FALSE),"")=0,"",IFERROR(VLOOKUP($B778,LINCE!$A$5:$D$4000,3,FALSE),""))</f>
        <v>BOINA PANA AZUL RER</v>
      </c>
      <c r="D778" s="4">
        <f>IF(IFERROR(VLOOKUP($B778,LINCE!$A$5:$D$4000,4,FALSE),"")=0,"",IFERROR(VLOOKUP($B778,LINCE!$A$5:$D$4000,4,FALSE),""))</f>
        <v>990</v>
      </c>
      <c r="E778" s="14">
        <f>IF(IFERROR(VLOOKUP($B778,LINCE!$A$5:$E$4000,5,FALSE),"")=0,"",IFERROR(VLOOKUP($B778,LINCE!$A$5:$E$4000,5,FALSE),""))</f>
        <v>44</v>
      </c>
    </row>
    <row r="779" spans="1:5" ht="129.94999999999999" hidden="1" customHeight="1" x14ac:dyDescent="0.25">
      <c r="A779" s="1"/>
      <c r="B779" s="3">
        <v>8301900</v>
      </c>
      <c r="C779" s="4" t="str">
        <f>IF(IFERROR(VLOOKUP($B779,LINCE!$A$5:$D$4000,3,FALSE),"")=0,"",IFERROR(VLOOKUP($B779,LINCE!$A$5:$D$4000,3,FALSE),""))</f>
        <v>BOINA PA¥O NEGRA RER</v>
      </c>
      <c r="D779" s="4">
        <f>IF(IFERROR(VLOOKUP($B779,LINCE!$A$5:$D$4000,4,FALSE),"")=0,"",IFERROR(VLOOKUP($B779,LINCE!$A$5:$D$4000,4,FALSE),""))</f>
        <v>1197.9000000000001</v>
      </c>
      <c r="E779" s="14">
        <f>IF(IFERROR(VLOOKUP($B779,LINCE!$A$5:$E$4000,5,FALSE),"")=0,"",IFERROR(VLOOKUP($B779,LINCE!$A$5:$E$4000,5,FALSE),""))</f>
        <v>4</v>
      </c>
    </row>
    <row r="780" spans="1:5" ht="129.94999999999999" hidden="1" customHeight="1" x14ac:dyDescent="0.25">
      <c r="A780" s="1"/>
      <c r="B780" s="3">
        <v>8301312</v>
      </c>
      <c r="C780" s="4" t="str">
        <f>IF(IFERROR(VLOOKUP($B780,LINCE!$A$5:$D$4000,3,FALSE),"")=0,"",IFERROR(VLOOKUP($B780,LINCE!$A$5:$D$4000,3,FALSE),""))</f>
        <v>BOINA LANA NEGRA S/COSTURAS C/BROCHES-26</v>
      </c>
      <c r="D780" s="4">
        <f>IF(IFERROR(VLOOKUP($B780,LINCE!$A$5:$D$4000,4,FALSE),"")=0,"",IFERROR(VLOOKUP($B780,LINCE!$A$5:$D$4000,4,FALSE),""))</f>
        <v>850</v>
      </c>
      <c r="E780" s="14" t="str">
        <f>IF(IFERROR(VLOOKUP($B780,LINCE!$A$5:$E$4000,5,FALSE),"")=0,"",IFERROR(VLOOKUP($B780,LINCE!$A$5:$E$4000,5,FALSE),""))</f>
        <v/>
      </c>
    </row>
    <row r="781" spans="1:5" ht="129.94999999999999" hidden="1" customHeight="1" x14ac:dyDescent="0.25">
      <c r="A781" s="1"/>
      <c r="B781" s="3">
        <v>8503168</v>
      </c>
      <c r="C781" s="4" t="str">
        <f>IF(IFERROR(VLOOKUP($B781,LINCE!$A$5:$D$4000,3,FALSE),"")=0,"",IFERROR(VLOOKUP($B781,LINCE!$A$5:$D$4000,3,FALSE),""))</f>
        <v>BASTON SEMIRIGIDO 45 CM ORF211</v>
      </c>
      <c r="D781" s="4" t="str">
        <f>IF(IFERROR(VLOOKUP($B781,LINCE!$A$5:$D$4000,4,FALSE),"")=0,"",IFERROR(VLOOKUP($B781,LINCE!$A$5:$D$4000,4,FALSE),""))</f>
        <v/>
      </c>
      <c r="E781" s="14" t="str">
        <f>IF(IFERROR(VLOOKUP($B781,LINCE!$A$5:$E$4000,5,FALSE),"")=0,"",IFERROR(VLOOKUP($B781,LINCE!$A$5:$E$4000,5,FALSE),""))</f>
        <v/>
      </c>
    </row>
    <row r="782" spans="1:5" ht="129.94999999999999" hidden="1" customHeight="1" x14ac:dyDescent="0.25">
      <c r="A782" s="1"/>
      <c r="B782" s="3">
        <v>8503402</v>
      </c>
      <c r="C782" s="4" t="str">
        <f>IF(IFERROR(VLOOKUP($B782,LINCE!$A$5:$D$4000,3,FALSE),"")=0,"",IFERROR(VLOOKUP($B782,LINCE!$A$5:$D$4000,3,FALSE),""))</f>
        <v>BASTON EXTENSIBLE POLICE NEGRO CROM IMP</v>
      </c>
      <c r="D782" s="4">
        <f>IF(IFERROR(VLOOKUP($B782,LINCE!$A$5:$D$4000,4,FALSE),"")=0,"",IFERROR(VLOOKUP($B782,LINCE!$A$5:$D$4000,4,FALSE),""))</f>
        <v>650</v>
      </c>
      <c r="E782" s="14">
        <f>IF(IFERROR(VLOOKUP($B782,LINCE!$A$5:$E$4000,5,FALSE),"")=0,"",IFERROR(VLOOKUP($B782,LINCE!$A$5:$E$4000,5,FALSE),""))</f>
        <v>210</v>
      </c>
    </row>
    <row r="783" spans="1:5" ht="129.94999999999999" hidden="1" customHeight="1" x14ac:dyDescent="0.25">
      <c r="A783" s="1"/>
      <c r="B783" s="3">
        <v>8503125</v>
      </c>
      <c r="C783" s="4" t="str">
        <f>IF(IFERROR(VLOOKUP($B783,LINCE!$A$5:$D$4000,3,FALSE),"")=0,"",IFERROR(VLOOKUP($B783,LINCE!$A$5:$D$4000,3,FALSE),""))</f>
        <v>BASTON EXTENSIBLE CROM. C/ROMPEVID 5736-</v>
      </c>
      <c r="D783" s="4">
        <f>IF(IFERROR(VLOOKUP($B783,LINCE!$A$5:$D$4000,4,FALSE),"")=0,"",IFERROR(VLOOKUP($B783,LINCE!$A$5:$D$4000,4,FALSE),""))</f>
        <v>1400</v>
      </c>
      <c r="E783" s="14">
        <f>IF(IFERROR(VLOOKUP($B783,LINCE!$A$5:$E$4000,5,FALSE),"")=0,"",IFERROR(VLOOKUP($B783,LINCE!$A$5:$E$4000,5,FALSE),""))</f>
        <v>91</v>
      </c>
    </row>
    <row r="784" spans="1:5" ht="15.75" x14ac:dyDescent="0.25">
      <c r="A784" s="5"/>
      <c r="B784" s="5"/>
      <c r="C784" s="5"/>
      <c r="D784" s="5"/>
      <c r="E784" s="5"/>
    </row>
    <row r="785" spans="1:5" ht="15.75" x14ac:dyDescent="0.25">
      <c r="A785" s="7"/>
      <c r="B785" s="8"/>
      <c r="C785" s="9"/>
      <c r="D785" s="5"/>
      <c r="E785" s="5"/>
    </row>
    <row r="786" spans="1:5" ht="15.75" x14ac:dyDescent="0.25">
      <c r="A786" s="7"/>
      <c r="B786" s="8"/>
      <c r="C786" s="9"/>
      <c r="D786" s="5"/>
      <c r="E786" s="5"/>
    </row>
    <row r="787" spans="1:5" ht="15.75" x14ac:dyDescent="0.25">
      <c r="A787" s="7"/>
      <c r="B787" s="8"/>
      <c r="C787" s="9"/>
      <c r="D787" s="5"/>
      <c r="E787" s="5"/>
    </row>
    <row r="788" spans="1:5" ht="15.75" x14ac:dyDescent="0.25">
      <c r="A788" s="7"/>
      <c r="B788" s="8"/>
      <c r="C788" s="9"/>
      <c r="D788" s="5"/>
      <c r="E788" s="5"/>
    </row>
    <row r="789" spans="1:5" ht="15.75" x14ac:dyDescent="0.25">
      <c r="A789" s="7"/>
      <c r="B789" s="8"/>
      <c r="C789" s="9"/>
      <c r="D789" s="5"/>
      <c r="E789" s="5"/>
    </row>
    <row r="790" spans="1:5" ht="15.75" x14ac:dyDescent="0.25">
      <c r="A790" s="7"/>
      <c r="B790" s="8"/>
      <c r="C790" s="9"/>
      <c r="D790" s="5"/>
      <c r="E790" s="5"/>
    </row>
    <row r="791" spans="1:5" ht="15.75" x14ac:dyDescent="0.25">
      <c r="A791" s="7"/>
      <c r="B791" s="8"/>
      <c r="C791" s="9"/>
      <c r="D791" s="5"/>
      <c r="E791" s="5"/>
    </row>
    <row r="792" spans="1:5" ht="15.75" x14ac:dyDescent="0.25">
      <c r="A792" s="7"/>
      <c r="B792" s="8"/>
      <c r="C792" s="9"/>
      <c r="D792" s="5"/>
      <c r="E792" s="5"/>
    </row>
    <row r="793" spans="1:5" ht="15.75" x14ac:dyDescent="0.25">
      <c r="A793" s="7"/>
      <c r="B793" s="8"/>
      <c r="C793" s="9"/>
      <c r="D793" s="5"/>
      <c r="E793" s="5"/>
    </row>
    <row r="794" spans="1:5" ht="15.75" x14ac:dyDescent="0.25">
      <c r="A794" s="7"/>
      <c r="B794" s="8"/>
      <c r="C794" s="9"/>
      <c r="D794" s="5"/>
      <c r="E794" s="5"/>
    </row>
    <row r="795" spans="1:5" ht="15.75" x14ac:dyDescent="0.25">
      <c r="A795" s="7"/>
      <c r="B795" s="8"/>
      <c r="C795" s="9"/>
      <c r="D795" s="5"/>
      <c r="E795" s="5"/>
    </row>
    <row r="796" spans="1:5" ht="15.75" x14ac:dyDescent="0.25">
      <c r="A796" s="7"/>
      <c r="B796" s="8"/>
      <c r="C796" s="9"/>
      <c r="D796" s="5"/>
      <c r="E796" s="5"/>
    </row>
    <row r="797" spans="1:5" ht="15.75" x14ac:dyDescent="0.25">
      <c r="A797" s="7"/>
      <c r="B797" s="8"/>
      <c r="C797" s="9"/>
      <c r="D797" s="5"/>
      <c r="E797" s="5"/>
    </row>
    <row r="798" spans="1:5" ht="15.75" x14ac:dyDescent="0.25">
      <c r="A798" s="7"/>
      <c r="B798" s="8"/>
      <c r="C798" s="9"/>
      <c r="D798" s="5"/>
      <c r="E798" s="5"/>
    </row>
    <row r="799" spans="1:5" ht="15.75" x14ac:dyDescent="0.25">
      <c r="A799" s="7"/>
      <c r="B799" s="8"/>
      <c r="C799" s="9"/>
      <c r="D799" s="5"/>
      <c r="E799" s="5"/>
    </row>
    <row r="800" spans="1:5" ht="15.75" x14ac:dyDescent="0.25">
      <c r="A800" s="7"/>
      <c r="B800" s="8"/>
      <c r="C800" s="9"/>
      <c r="D800" s="5"/>
      <c r="E800" s="5"/>
    </row>
    <row r="801" spans="1:5" ht="15.75" x14ac:dyDescent="0.25">
      <c r="A801" s="7"/>
      <c r="B801" s="8"/>
      <c r="C801" s="9"/>
      <c r="D801" s="5"/>
      <c r="E801" s="5"/>
    </row>
    <row r="802" spans="1:5" ht="15.75" x14ac:dyDescent="0.25">
      <c r="A802" s="7"/>
      <c r="B802" s="8"/>
      <c r="C802" s="9"/>
      <c r="D802" s="5"/>
      <c r="E802" s="5"/>
    </row>
    <row r="803" spans="1:5" ht="15.75" x14ac:dyDescent="0.25">
      <c r="A803" s="7"/>
      <c r="B803" s="8"/>
      <c r="C803" s="9"/>
      <c r="D803" s="5"/>
      <c r="E803" s="5"/>
    </row>
    <row r="804" spans="1:5" ht="15.75" x14ac:dyDescent="0.25">
      <c r="A804" s="7"/>
      <c r="B804" s="8"/>
      <c r="C804" s="9"/>
      <c r="D804" s="5"/>
      <c r="E804" s="5"/>
    </row>
    <row r="805" spans="1:5" ht="15.75" x14ac:dyDescent="0.25">
      <c r="A805" s="7"/>
      <c r="B805" s="8"/>
      <c r="C805" s="9"/>
      <c r="D805" s="5"/>
      <c r="E805" s="5"/>
    </row>
    <row r="806" spans="1:5" ht="15.75" x14ac:dyDescent="0.25">
      <c r="A806" s="7"/>
      <c r="B806" s="8"/>
      <c r="C806" s="9"/>
      <c r="D806" s="5"/>
      <c r="E806" s="5"/>
    </row>
    <row r="807" spans="1:5" ht="15.75" x14ac:dyDescent="0.25">
      <c r="A807" s="7"/>
      <c r="B807" s="8"/>
      <c r="C807" s="9"/>
      <c r="D807" s="5"/>
      <c r="E807" s="5"/>
    </row>
    <row r="808" spans="1:5" ht="15.75" x14ac:dyDescent="0.25">
      <c r="A808" s="7"/>
      <c r="B808" s="8"/>
      <c r="C808" s="9"/>
      <c r="D808" s="5"/>
      <c r="E808" s="5"/>
    </row>
    <row r="809" spans="1:5" ht="15.75" x14ac:dyDescent="0.25">
      <c r="A809" s="7"/>
      <c r="B809" s="8"/>
      <c r="C809" s="9"/>
      <c r="D809" s="5"/>
      <c r="E809" s="5"/>
    </row>
    <row r="810" spans="1:5" ht="15.75" x14ac:dyDescent="0.25">
      <c r="A810" s="7"/>
      <c r="B810" s="8"/>
      <c r="C810" s="9"/>
      <c r="D810" s="5"/>
      <c r="E810" s="5"/>
    </row>
    <row r="811" spans="1:5" ht="15.75" x14ac:dyDescent="0.25">
      <c r="A811" s="7"/>
      <c r="B811" s="8"/>
      <c r="C811" s="9"/>
      <c r="D811" s="5"/>
      <c r="E811" s="5"/>
    </row>
    <row r="812" spans="1:5" ht="15.75" x14ac:dyDescent="0.25">
      <c r="A812" s="7"/>
      <c r="B812" s="8"/>
      <c r="C812" s="9"/>
      <c r="D812" s="5"/>
      <c r="E812" s="5"/>
    </row>
    <row r="813" spans="1:5" ht="15.75" x14ac:dyDescent="0.25">
      <c r="A813" s="7"/>
      <c r="B813" s="8"/>
      <c r="C813" s="9"/>
      <c r="D813" s="5"/>
      <c r="E813" s="5"/>
    </row>
    <row r="814" spans="1:5" ht="15.75" x14ac:dyDescent="0.25">
      <c r="A814" s="7"/>
      <c r="B814" s="8"/>
      <c r="C814" s="9"/>
      <c r="D814" s="5"/>
      <c r="E814" s="5"/>
    </row>
    <row r="815" spans="1:5" ht="15.75" x14ac:dyDescent="0.25">
      <c r="A815" s="7"/>
      <c r="B815" s="8"/>
      <c r="C815" s="9"/>
      <c r="D815" s="5"/>
      <c r="E815" s="5"/>
    </row>
    <row r="816" spans="1:5" ht="15.75" x14ac:dyDescent="0.25">
      <c r="A816" s="7"/>
      <c r="B816" s="8"/>
      <c r="C816" s="9"/>
      <c r="D816" s="5"/>
      <c r="E816" s="5"/>
    </row>
    <row r="817" spans="1:5" ht="15.75" x14ac:dyDescent="0.25">
      <c r="A817" s="7"/>
      <c r="B817" s="8"/>
      <c r="C817" s="9"/>
      <c r="D817" s="5"/>
      <c r="E817" s="5"/>
    </row>
    <row r="818" spans="1:5" ht="15.75" x14ac:dyDescent="0.25">
      <c r="A818" s="7"/>
      <c r="B818" s="8"/>
      <c r="C818" s="9"/>
      <c r="D818" s="5"/>
      <c r="E818" s="5"/>
    </row>
    <row r="819" spans="1:5" ht="15.75" x14ac:dyDescent="0.25">
      <c r="A819" s="7"/>
      <c r="B819" s="8"/>
      <c r="C819" s="9"/>
      <c r="D819" s="5"/>
      <c r="E819" s="5"/>
    </row>
    <row r="820" spans="1:5" ht="15.75" x14ac:dyDescent="0.25">
      <c r="A820" s="7"/>
      <c r="B820" s="8"/>
      <c r="C820" s="9"/>
      <c r="D820" s="5"/>
      <c r="E820" s="5"/>
    </row>
    <row r="821" spans="1:5" ht="15.75" x14ac:dyDescent="0.25">
      <c r="A821" s="7"/>
      <c r="B821" s="8"/>
      <c r="C821" s="9"/>
      <c r="D821" s="5"/>
      <c r="E821" s="5"/>
    </row>
    <row r="822" spans="1:5" ht="15.75" x14ac:dyDescent="0.25">
      <c r="A822" s="7"/>
      <c r="B822" s="8"/>
      <c r="C822" s="9"/>
      <c r="D822" s="5"/>
      <c r="E822" s="5"/>
    </row>
    <row r="823" spans="1:5" ht="15.75" x14ac:dyDescent="0.25">
      <c r="A823" s="7"/>
      <c r="B823" s="8"/>
      <c r="C823" s="9"/>
      <c r="D823" s="5"/>
      <c r="E823" s="5"/>
    </row>
    <row r="824" spans="1:5" ht="15.75" x14ac:dyDescent="0.25">
      <c r="A824" s="7"/>
      <c r="B824" s="8"/>
      <c r="C824" s="9"/>
      <c r="D824" s="5"/>
      <c r="E824" s="5"/>
    </row>
    <row r="825" spans="1:5" ht="15.75" x14ac:dyDescent="0.25">
      <c r="A825" s="7"/>
      <c r="B825" s="8"/>
      <c r="C825" s="9"/>
      <c r="D825" s="5"/>
      <c r="E825" s="5"/>
    </row>
    <row r="826" spans="1:5" ht="15.75" x14ac:dyDescent="0.25">
      <c r="A826" s="7"/>
      <c r="B826" s="8"/>
      <c r="C826" s="9"/>
      <c r="D826" s="5"/>
      <c r="E826" s="5"/>
    </row>
    <row r="827" spans="1:5" ht="15.75" x14ac:dyDescent="0.25">
      <c r="A827" s="7"/>
      <c r="B827" s="8"/>
      <c r="C827" s="9"/>
      <c r="D827" s="5"/>
      <c r="E827" s="5"/>
    </row>
    <row r="828" spans="1:5" ht="15.75" x14ac:dyDescent="0.25">
      <c r="A828" s="7"/>
      <c r="B828" s="8"/>
      <c r="C828" s="9"/>
      <c r="D828" s="5"/>
      <c r="E828" s="5"/>
    </row>
    <row r="829" spans="1:5" ht="15.75" x14ac:dyDescent="0.25">
      <c r="A829" s="7"/>
      <c r="B829" s="8"/>
      <c r="C829" s="9"/>
      <c r="D829" s="5"/>
      <c r="E829" s="5"/>
    </row>
    <row r="830" spans="1:5" ht="15.75" x14ac:dyDescent="0.25">
      <c r="A830" s="7"/>
      <c r="B830" s="8"/>
      <c r="C830" s="9"/>
      <c r="D830" s="5"/>
      <c r="E830" s="5"/>
    </row>
    <row r="831" spans="1:5" ht="15.75" x14ac:dyDescent="0.25">
      <c r="A831" s="7"/>
      <c r="B831" s="8"/>
      <c r="C831" s="9"/>
      <c r="D831" s="5"/>
      <c r="E831" s="5"/>
    </row>
    <row r="832" spans="1:5" ht="15.75" x14ac:dyDescent="0.25">
      <c r="A832" s="7"/>
      <c r="B832" s="8"/>
      <c r="C832" s="9"/>
      <c r="D832" s="5"/>
      <c r="E832" s="5"/>
    </row>
    <row r="833" spans="1:5" ht="15.75" x14ac:dyDescent="0.25">
      <c r="A833" s="7"/>
      <c r="B833" s="8"/>
      <c r="C833" s="9"/>
      <c r="D833" s="5"/>
      <c r="E833" s="5"/>
    </row>
    <row r="834" spans="1:5" ht="15.75" x14ac:dyDescent="0.25">
      <c r="A834" s="7"/>
      <c r="B834" s="8"/>
      <c r="C834" s="9"/>
      <c r="D834" s="5"/>
      <c r="E834" s="5"/>
    </row>
    <row r="835" spans="1:5" ht="15.75" x14ac:dyDescent="0.25">
      <c r="A835" s="7"/>
      <c r="B835" s="8"/>
      <c r="C835" s="9"/>
      <c r="D835" s="5"/>
      <c r="E835" s="5"/>
    </row>
    <row r="836" spans="1:5" ht="15.75" x14ac:dyDescent="0.25">
      <c r="A836" s="7"/>
      <c r="B836" s="8"/>
      <c r="C836" s="9"/>
      <c r="D836" s="5"/>
      <c r="E836" s="5"/>
    </row>
    <row r="837" spans="1:5" ht="15.75" x14ac:dyDescent="0.25">
      <c r="A837" s="7"/>
      <c r="B837" s="8"/>
      <c r="C837" s="9"/>
      <c r="D837" s="5"/>
      <c r="E837" s="5"/>
    </row>
    <row r="838" spans="1:5" ht="15.75" x14ac:dyDescent="0.25">
      <c r="A838" s="7"/>
      <c r="B838" s="8"/>
      <c r="C838" s="9"/>
      <c r="D838" s="5"/>
      <c r="E838" s="5"/>
    </row>
    <row r="839" spans="1:5" ht="15.75" x14ac:dyDescent="0.25">
      <c r="A839" s="7"/>
      <c r="B839" s="8"/>
      <c r="C839" s="9"/>
      <c r="D839" s="5"/>
      <c r="E839" s="5"/>
    </row>
    <row r="840" spans="1:5" ht="15.75" x14ac:dyDescent="0.25">
      <c r="A840" s="7"/>
      <c r="B840" s="8"/>
      <c r="C840" s="9"/>
      <c r="D840" s="5"/>
      <c r="E840" s="5"/>
    </row>
    <row r="841" spans="1:5" ht="15.75" x14ac:dyDescent="0.25">
      <c r="A841" s="7"/>
      <c r="B841" s="8"/>
      <c r="C841" s="9"/>
      <c r="D841" s="5"/>
      <c r="E841" s="5"/>
    </row>
    <row r="842" spans="1:5" ht="15.75" x14ac:dyDescent="0.25">
      <c r="A842" s="7"/>
      <c r="B842" s="8"/>
      <c r="C842" s="9"/>
      <c r="D842" s="5"/>
      <c r="E842" s="5"/>
    </row>
    <row r="843" spans="1:5" ht="15.75" x14ac:dyDescent="0.25">
      <c r="A843" s="7"/>
      <c r="B843" s="8"/>
      <c r="C843" s="9"/>
      <c r="D843" s="5"/>
      <c r="E843" s="5"/>
    </row>
    <row r="844" spans="1:5" ht="15.75" x14ac:dyDescent="0.25">
      <c r="A844" s="7"/>
      <c r="B844" s="8"/>
      <c r="C844" s="9"/>
      <c r="D844" s="5"/>
      <c r="E844" s="5"/>
    </row>
    <row r="845" spans="1:5" ht="15.75" x14ac:dyDescent="0.25">
      <c r="A845" s="7"/>
      <c r="B845" s="8"/>
      <c r="C845" s="9"/>
      <c r="D845" s="5"/>
      <c r="E845" s="5"/>
    </row>
    <row r="846" spans="1:5" ht="15.75" x14ac:dyDescent="0.25">
      <c r="A846" s="7"/>
      <c r="B846" s="8"/>
      <c r="C846" s="9"/>
      <c r="D846" s="5"/>
      <c r="E846" s="5"/>
    </row>
    <row r="847" spans="1:5" ht="15.75" x14ac:dyDescent="0.25">
      <c r="A847" s="7"/>
      <c r="B847" s="8"/>
      <c r="C847" s="9"/>
      <c r="D847" s="5"/>
      <c r="E847" s="5"/>
    </row>
    <row r="848" spans="1:5" ht="15.75" x14ac:dyDescent="0.25">
      <c r="A848" s="7"/>
      <c r="B848" s="8"/>
      <c r="C848" s="9"/>
      <c r="D848" s="5"/>
      <c r="E848" s="5"/>
    </row>
    <row r="849" spans="1:5" ht="15.75" x14ac:dyDescent="0.25">
      <c r="A849" s="7"/>
      <c r="B849" s="8"/>
      <c r="C849" s="9"/>
      <c r="D849" s="5"/>
      <c r="E849" s="5"/>
    </row>
    <row r="850" spans="1:5" ht="15.75" x14ac:dyDescent="0.25">
      <c r="A850" s="7"/>
      <c r="B850" s="8"/>
      <c r="C850" s="9"/>
      <c r="D850" s="5"/>
      <c r="E850" s="5"/>
    </row>
    <row r="851" spans="1:5" ht="15.75" x14ac:dyDescent="0.25">
      <c r="A851" s="7"/>
      <c r="B851" s="8"/>
      <c r="C851" s="9"/>
      <c r="D851" s="5"/>
      <c r="E851" s="5"/>
    </row>
    <row r="852" spans="1:5" ht="15.75" x14ac:dyDescent="0.25">
      <c r="A852" s="7"/>
      <c r="B852" s="8"/>
      <c r="C852" s="9"/>
      <c r="D852" s="5"/>
      <c r="E852" s="5"/>
    </row>
    <row r="853" spans="1:5" ht="15.75" x14ac:dyDescent="0.25">
      <c r="A853" s="7"/>
      <c r="B853" s="8"/>
      <c r="C853" s="9"/>
      <c r="D853" s="5"/>
      <c r="E853" s="5"/>
    </row>
    <row r="854" spans="1:5" ht="15.75" x14ac:dyDescent="0.25">
      <c r="A854" s="7"/>
      <c r="B854" s="8"/>
      <c r="C854" s="9"/>
      <c r="D854" s="5"/>
      <c r="E854" s="5"/>
    </row>
    <row r="855" spans="1:5" ht="15.75" x14ac:dyDescent="0.25">
      <c r="A855" s="7"/>
      <c r="B855" s="8"/>
      <c r="C855" s="9"/>
      <c r="D855" s="5"/>
      <c r="E855" s="5"/>
    </row>
    <row r="856" spans="1:5" ht="15.75" x14ac:dyDescent="0.25">
      <c r="A856" s="7"/>
      <c r="B856" s="8"/>
      <c r="C856" s="9"/>
      <c r="D856" s="5"/>
      <c r="E856" s="5"/>
    </row>
    <row r="857" spans="1:5" ht="15.75" x14ac:dyDescent="0.25">
      <c r="A857" s="7"/>
      <c r="B857" s="8"/>
      <c r="C857" s="9"/>
      <c r="D857" s="5"/>
      <c r="E857" s="5"/>
    </row>
    <row r="858" spans="1:5" ht="15.75" x14ac:dyDescent="0.25">
      <c r="A858" s="7"/>
      <c r="B858" s="8"/>
      <c r="C858" s="9"/>
      <c r="D858" s="5"/>
      <c r="E858" s="5"/>
    </row>
    <row r="859" spans="1:5" ht="15.75" x14ac:dyDescent="0.25">
      <c r="A859" s="7"/>
      <c r="B859" s="8"/>
      <c r="C859" s="9"/>
      <c r="D859" s="5"/>
      <c r="E859" s="5"/>
    </row>
    <row r="860" spans="1:5" ht="15.75" x14ac:dyDescent="0.25">
      <c r="A860" s="7"/>
      <c r="B860" s="8"/>
      <c r="C860" s="9"/>
      <c r="D860" s="5"/>
      <c r="E860" s="5"/>
    </row>
    <row r="861" spans="1:5" ht="15.75" x14ac:dyDescent="0.25">
      <c r="A861" s="7"/>
      <c r="B861" s="8"/>
      <c r="C861" s="9"/>
      <c r="D861" s="5"/>
      <c r="E861" s="5"/>
    </row>
    <row r="862" spans="1:5" ht="15.75" x14ac:dyDescent="0.25">
      <c r="A862" s="7"/>
      <c r="B862" s="8"/>
      <c r="C862" s="9"/>
      <c r="D862" s="5"/>
      <c r="E862" s="5"/>
    </row>
    <row r="863" spans="1:5" ht="15.75" x14ac:dyDescent="0.25">
      <c r="A863" s="7"/>
      <c r="B863" s="8"/>
      <c r="C863" s="9"/>
      <c r="D863" s="5"/>
      <c r="E863" s="5"/>
    </row>
    <row r="864" spans="1:5" ht="15.75" x14ac:dyDescent="0.25">
      <c r="A864" s="7"/>
      <c r="B864" s="8"/>
      <c r="C864" s="9"/>
      <c r="D864" s="5"/>
      <c r="E864" s="5"/>
    </row>
    <row r="865" spans="1:5" ht="15.75" x14ac:dyDescent="0.25">
      <c r="A865" s="7"/>
      <c r="B865" s="8"/>
      <c r="C865" s="9"/>
      <c r="D865" s="5"/>
      <c r="E865" s="5"/>
    </row>
    <row r="866" spans="1:5" ht="15.75" x14ac:dyDescent="0.25">
      <c r="A866" s="7"/>
      <c r="B866" s="8"/>
      <c r="C866" s="9"/>
      <c r="D866" s="5"/>
      <c r="E866" s="5"/>
    </row>
    <row r="867" spans="1:5" ht="15.75" x14ac:dyDescent="0.25">
      <c r="A867" s="7"/>
      <c r="B867" s="8"/>
      <c r="C867" s="9"/>
      <c r="D867" s="5"/>
      <c r="E867" s="5"/>
    </row>
    <row r="868" spans="1:5" ht="15.75" x14ac:dyDescent="0.25">
      <c r="A868" s="7"/>
      <c r="B868" s="8"/>
      <c r="C868" s="9"/>
      <c r="D868" s="5"/>
      <c r="E868" s="5"/>
    </row>
    <row r="869" spans="1:5" ht="15.75" x14ac:dyDescent="0.25">
      <c r="A869" s="7"/>
      <c r="B869" s="8"/>
      <c r="C869" s="9"/>
      <c r="D869" s="5"/>
      <c r="E869" s="5"/>
    </row>
    <row r="870" spans="1:5" ht="15.75" x14ac:dyDescent="0.25">
      <c r="A870" s="7"/>
      <c r="B870" s="8"/>
      <c r="C870" s="9"/>
      <c r="D870" s="5"/>
      <c r="E870" s="5"/>
    </row>
    <row r="871" spans="1:5" ht="15.75" x14ac:dyDescent="0.25">
      <c r="A871" s="7"/>
      <c r="B871" s="8"/>
      <c r="C871" s="9"/>
      <c r="D871" s="5"/>
      <c r="E871" s="5"/>
    </row>
    <row r="872" spans="1:5" ht="15.75" x14ac:dyDescent="0.25">
      <c r="A872" s="7"/>
      <c r="B872" s="8"/>
      <c r="C872" s="9"/>
      <c r="D872" s="5"/>
      <c r="E872" s="5"/>
    </row>
    <row r="873" spans="1:5" ht="15.75" x14ac:dyDescent="0.25">
      <c r="A873" s="7"/>
      <c r="B873" s="8"/>
      <c r="C873" s="9"/>
      <c r="D873" s="5"/>
      <c r="E873" s="5"/>
    </row>
    <row r="874" spans="1:5" ht="15.75" x14ac:dyDescent="0.25">
      <c r="A874" s="7"/>
      <c r="B874" s="8"/>
      <c r="C874" s="9"/>
      <c r="D874" s="5"/>
      <c r="E874" s="5"/>
    </row>
    <row r="875" spans="1:5" ht="15.75" x14ac:dyDescent="0.25">
      <c r="A875" s="7"/>
      <c r="B875" s="8"/>
      <c r="C875" s="9"/>
      <c r="D875" s="5"/>
      <c r="E875" s="5"/>
    </row>
    <row r="876" spans="1:5" ht="15.75" x14ac:dyDescent="0.25">
      <c r="A876" s="7"/>
      <c r="B876" s="8"/>
      <c r="C876" s="9"/>
      <c r="D876" s="5"/>
      <c r="E876" s="5"/>
    </row>
    <row r="877" spans="1:5" ht="15.75" x14ac:dyDescent="0.25">
      <c r="A877" s="7"/>
      <c r="B877" s="8"/>
      <c r="C877" s="9"/>
      <c r="D877" s="5"/>
      <c r="E877" s="5"/>
    </row>
    <row r="878" spans="1:5" ht="15.75" x14ac:dyDescent="0.25">
      <c r="A878" s="7"/>
      <c r="B878" s="8"/>
      <c r="C878" s="9"/>
      <c r="D878" s="5"/>
      <c r="E878" s="5"/>
    </row>
    <row r="879" spans="1:5" ht="15.75" x14ac:dyDescent="0.25">
      <c r="A879" s="7"/>
      <c r="B879" s="8"/>
      <c r="C879" s="9"/>
      <c r="D879" s="5"/>
      <c r="E879" s="5"/>
    </row>
    <row r="880" spans="1:5" ht="15.75" x14ac:dyDescent="0.25">
      <c r="A880" s="7"/>
      <c r="B880" s="8"/>
      <c r="C880" s="9"/>
      <c r="D880" s="5"/>
      <c r="E880" s="5"/>
    </row>
    <row r="881" spans="1:5" ht="15.75" x14ac:dyDescent="0.25">
      <c r="A881" s="7"/>
      <c r="B881" s="8"/>
      <c r="C881" s="9"/>
      <c r="D881" s="5"/>
      <c r="E881" s="5"/>
    </row>
    <row r="882" spans="1:5" ht="15.75" x14ac:dyDescent="0.25">
      <c r="A882" s="7"/>
      <c r="B882" s="8"/>
      <c r="C882" s="9"/>
      <c r="D882" s="5"/>
      <c r="E882" s="5"/>
    </row>
    <row r="883" spans="1:5" ht="15.75" x14ac:dyDescent="0.25">
      <c r="A883" s="7"/>
      <c r="B883" s="8"/>
      <c r="C883" s="9"/>
      <c r="D883" s="5"/>
      <c r="E883" s="5"/>
    </row>
    <row r="884" spans="1:5" ht="15.75" x14ac:dyDescent="0.25">
      <c r="A884" s="7"/>
      <c r="B884" s="8"/>
      <c r="C884" s="9"/>
      <c r="D884" s="5"/>
      <c r="E884" s="5"/>
    </row>
    <row r="885" spans="1:5" ht="15.75" x14ac:dyDescent="0.25">
      <c r="A885" s="7"/>
      <c r="B885" s="8"/>
      <c r="C885" s="9"/>
      <c r="D885" s="5"/>
      <c r="E885" s="5"/>
    </row>
    <row r="886" spans="1:5" ht="15.75" x14ac:dyDescent="0.25">
      <c r="A886" s="7"/>
      <c r="B886" s="8"/>
      <c r="C886" s="9"/>
      <c r="D886" s="5"/>
      <c r="E886" s="5"/>
    </row>
    <row r="887" spans="1:5" ht="15.75" x14ac:dyDescent="0.25">
      <c r="A887" s="7"/>
      <c r="B887" s="8"/>
      <c r="C887" s="9"/>
      <c r="D887" s="5"/>
      <c r="E887" s="5"/>
    </row>
    <row r="888" spans="1:5" ht="15.75" x14ac:dyDescent="0.25">
      <c r="A888" s="7"/>
      <c r="B888" s="8"/>
      <c r="C888" s="9"/>
      <c r="D888" s="5"/>
      <c r="E888" s="5"/>
    </row>
    <row r="889" spans="1:5" ht="15.75" x14ac:dyDescent="0.25">
      <c r="A889" s="7"/>
      <c r="B889" s="8"/>
      <c r="C889" s="9"/>
      <c r="D889" s="5"/>
      <c r="E889" s="5"/>
    </row>
    <row r="890" spans="1:5" ht="15.75" x14ac:dyDescent="0.25">
      <c r="A890" s="7"/>
      <c r="B890" s="8"/>
      <c r="C890" s="9"/>
      <c r="D890" s="5"/>
      <c r="E890" s="5"/>
    </row>
    <row r="891" spans="1:5" ht="15.75" x14ac:dyDescent="0.25">
      <c r="A891" s="7"/>
      <c r="B891" s="8"/>
      <c r="C891" s="9"/>
      <c r="D891" s="5"/>
      <c r="E891" s="5"/>
    </row>
    <row r="892" spans="1:5" ht="15.75" x14ac:dyDescent="0.25">
      <c r="A892" s="7"/>
      <c r="B892" s="8"/>
      <c r="C892" s="9"/>
      <c r="D892" s="5"/>
      <c r="E892" s="5"/>
    </row>
    <row r="893" spans="1:5" ht="15.75" x14ac:dyDescent="0.25">
      <c r="A893" s="7"/>
      <c r="B893" s="8"/>
      <c r="C893" s="9"/>
      <c r="D893" s="5"/>
      <c r="E893" s="5"/>
    </row>
    <row r="894" spans="1:5" ht="15.75" x14ac:dyDescent="0.25">
      <c r="A894" s="7"/>
      <c r="B894" s="8"/>
      <c r="C894" s="9"/>
      <c r="D894" s="5"/>
      <c r="E894" s="5"/>
    </row>
    <row r="895" spans="1:5" ht="15.75" x14ac:dyDescent="0.25">
      <c r="A895" s="7"/>
      <c r="B895" s="8"/>
      <c r="C895" s="9"/>
      <c r="D895" s="5"/>
      <c r="E895" s="5"/>
    </row>
    <row r="896" spans="1:5" ht="15.75" x14ac:dyDescent="0.25">
      <c r="A896" s="7"/>
      <c r="B896" s="8"/>
      <c r="C896" s="9"/>
      <c r="D896" s="5"/>
      <c r="E896" s="5"/>
    </row>
    <row r="897" spans="1:5" ht="15.75" x14ac:dyDescent="0.25">
      <c r="A897" s="7"/>
      <c r="B897" s="8"/>
      <c r="C897" s="9"/>
      <c r="D897" s="5"/>
      <c r="E897" s="5"/>
    </row>
    <row r="898" spans="1:5" ht="15.75" x14ac:dyDescent="0.25">
      <c r="A898" s="7"/>
      <c r="B898" s="8"/>
      <c r="C898" s="9"/>
      <c r="D898" s="5"/>
      <c r="E898" s="5"/>
    </row>
    <row r="899" spans="1:5" ht="15.75" x14ac:dyDescent="0.25">
      <c r="A899" s="7"/>
      <c r="B899" s="8"/>
      <c r="C899" s="9"/>
      <c r="D899" s="5"/>
      <c r="E899" s="5"/>
    </row>
    <row r="900" spans="1:5" ht="15.75" x14ac:dyDescent="0.25">
      <c r="A900" s="7"/>
      <c r="B900" s="8"/>
      <c r="C900" s="9"/>
      <c r="D900" s="5"/>
      <c r="E900" s="5"/>
    </row>
    <row r="901" spans="1:5" ht="15.75" x14ac:dyDescent="0.25">
      <c r="A901" s="7"/>
      <c r="B901" s="8"/>
      <c r="C901" s="9"/>
      <c r="D901" s="5"/>
      <c r="E901" s="5"/>
    </row>
    <row r="902" spans="1:5" ht="15.75" x14ac:dyDescent="0.25">
      <c r="A902" s="7"/>
      <c r="B902" s="8"/>
      <c r="C902" s="9"/>
      <c r="D902" s="5"/>
      <c r="E902" s="5"/>
    </row>
    <row r="903" spans="1:5" ht="15.75" x14ac:dyDescent="0.25">
      <c r="A903" s="7"/>
      <c r="B903" s="8"/>
      <c r="C903" s="9"/>
      <c r="D903" s="5"/>
      <c r="E903" s="5"/>
    </row>
    <row r="904" spans="1:5" ht="15.75" x14ac:dyDescent="0.25">
      <c r="A904" s="7"/>
      <c r="B904" s="8"/>
      <c r="C904" s="9"/>
      <c r="D904" s="5"/>
      <c r="E904" s="5"/>
    </row>
    <row r="905" spans="1:5" ht="15.75" x14ac:dyDescent="0.25">
      <c r="A905" s="7"/>
      <c r="B905" s="8"/>
      <c r="C905" s="9"/>
      <c r="D905" s="5"/>
      <c r="E905" s="5"/>
    </row>
    <row r="906" spans="1:5" ht="15.75" x14ac:dyDescent="0.25">
      <c r="A906" s="7"/>
      <c r="B906" s="8"/>
      <c r="C906" s="9"/>
      <c r="D906" s="5"/>
      <c r="E906" s="5"/>
    </row>
    <row r="907" spans="1:5" ht="15.75" x14ac:dyDescent="0.25">
      <c r="A907" s="7"/>
      <c r="B907" s="8"/>
      <c r="C907" s="9"/>
      <c r="D907" s="5"/>
      <c r="E907" s="5"/>
    </row>
    <row r="908" spans="1:5" ht="15.75" x14ac:dyDescent="0.25">
      <c r="A908" s="7"/>
      <c r="B908" s="8"/>
      <c r="C908" s="9"/>
      <c r="D908" s="5"/>
      <c r="E908" s="5"/>
    </row>
    <row r="909" spans="1:5" ht="15.75" x14ac:dyDescent="0.25">
      <c r="A909" s="7"/>
      <c r="B909" s="8"/>
      <c r="C909" s="9"/>
      <c r="D909" s="5"/>
      <c r="E909" s="5"/>
    </row>
    <row r="910" spans="1:5" ht="15.75" x14ac:dyDescent="0.25">
      <c r="A910" s="7"/>
      <c r="B910" s="8"/>
      <c r="C910" s="9"/>
      <c r="D910" s="5"/>
      <c r="E910" s="5"/>
    </row>
    <row r="911" spans="1:5" ht="15.75" x14ac:dyDescent="0.25">
      <c r="A911" s="7"/>
      <c r="B911" s="8"/>
      <c r="C911" s="9"/>
      <c r="D911" s="5"/>
      <c r="E911" s="5"/>
    </row>
    <row r="912" spans="1:5" ht="15.75" x14ac:dyDescent="0.25">
      <c r="A912" s="7"/>
      <c r="B912" s="8"/>
      <c r="C912" s="9"/>
      <c r="D912" s="5"/>
      <c r="E912" s="5"/>
    </row>
    <row r="913" spans="1:5" ht="15.75" x14ac:dyDescent="0.25">
      <c r="A913" s="7"/>
      <c r="B913" s="8"/>
      <c r="C913" s="9"/>
      <c r="D913" s="5"/>
      <c r="E913" s="5"/>
    </row>
    <row r="914" spans="1:5" ht="15.75" x14ac:dyDescent="0.25">
      <c r="A914" s="7"/>
      <c r="B914" s="8"/>
      <c r="C914" s="9"/>
      <c r="D914" s="5"/>
      <c r="E914" s="5"/>
    </row>
    <row r="915" spans="1:5" ht="15.75" x14ac:dyDescent="0.25">
      <c r="A915" s="7"/>
      <c r="B915" s="8"/>
      <c r="C915" s="9"/>
      <c r="D915" s="5"/>
      <c r="E915" s="5"/>
    </row>
    <row r="916" spans="1:5" ht="15.75" x14ac:dyDescent="0.25">
      <c r="A916" s="7"/>
      <c r="B916" s="8"/>
      <c r="C916" s="9"/>
      <c r="D916" s="5"/>
      <c r="E916" s="5"/>
    </row>
    <row r="917" spans="1:5" ht="15.75" x14ac:dyDescent="0.25">
      <c r="A917" s="7"/>
      <c r="B917" s="8"/>
      <c r="C917" s="9"/>
      <c r="D917" s="5"/>
      <c r="E917" s="5"/>
    </row>
    <row r="918" spans="1:5" ht="15.75" x14ac:dyDescent="0.25">
      <c r="A918" s="7"/>
      <c r="B918" s="8"/>
      <c r="C918" s="9"/>
      <c r="D918" s="5"/>
      <c r="E918" s="5"/>
    </row>
    <row r="919" spans="1:5" ht="15.75" x14ac:dyDescent="0.25">
      <c r="A919" s="7"/>
      <c r="B919" s="8"/>
      <c r="C919" s="9"/>
      <c r="D919" s="5"/>
      <c r="E919" s="5"/>
    </row>
    <row r="920" spans="1:5" ht="15.75" x14ac:dyDescent="0.25">
      <c r="A920" s="7"/>
      <c r="B920" s="8"/>
      <c r="C920" s="9"/>
      <c r="D920" s="5"/>
      <c r="E920" s="5"/>
    </row>
    <row r="921" spans="1:5" ht="15.75" x14ac:dyDescent="0.25">
      <c r="A921" s="7"/>
      <c r="B921" s="8"/>
      <c r="C921" s="9"/>
      <c r="D921" s="5"/>
      <c r="E921" s="5"/>
    </row>
    <row r="922" spans="1:5" ht="15.75" x14ac:dyDescent="0.25">
      <c r="A922" s="7"/>
      <c r="B922" s="8"/>
      <c r="C922" s="9"/>
      <c r="D922" s="5"/>
      <c r="E922" s="5"/>
    </row>
    <row r="923" spans="1:5" ht="15.75" x14ac:dyDescent="0.25">
      <c r="A923" s="7"/>
      <c r="B923" s="8"/>
      <c r="C923" s="9"/>
      <c r="D923" s="5"/>
      <c r="E923" s="5"/>
    </row>
    <row r="924" spans="1:5" ht="15.75" x14ac:dyDescent="0.25">
      <c r="A924" s="7"/>
      <c r="B924" s="8"/>
      <c r="C924" s="9"/>
      <c r="D924" s="5"/>
      <c r="E924" s="5"/>
    </row>
    <row r="925" spans="1:5" ht="15.75" x14ac:dyDescent="0.25">
      <c r="A925" s="7"/>
      <c r="B925" s="8"/>
      <c r="C925" s="9"/>
      <c r="D925" s="5"/>
      <c r="E925" s="5"/>
    </row>
    <row r="926" spans="1:5" ht="15.75" x14ac:dyDescent="0.25">
      <c r="A926" s="7"/>
      <c r="B926" s="8"/>
      <c r="C926" s="9"/>
      <c r="D926" s="5"/>
      <c r="E926" s="5"/>
    </row>
    <row r="927" spans="1:5" ht="15.75" x14ac:dyDescent="0.25">
      <c r="A927" s="7"/>
      <c r="B927" s="8"/>
      <c r="C927" s="9"/>
      <c r="D927" s="5"/>
      <c r="E927" s="5"/>
    </row>
    <row r="928" spans="1:5" ht="15.75" x14ac:dyDescent="0.25">
      <c r="A928" s="7"/>
      <c r="B928" s="8"/>
      <c r="C928" s="9"/>
      <c r="D928" s="5"/>
      <c r="E928" s="5"/>
    </row>
    <row r="929" spans="1:5" ht="15.75" x14ac:dyDescent="0.25">
      <c r="A929" s="7"/>
      <c r="B929" s="8"/>
      <c r="C929" s="9"/>
      <c r="D929" s="5"/>
      <c r="E929" s="5"/>
    </row>
    <row r="930" spans="1:5" ht="15.75" x14ac:dyDescent="0.25">
      <c r="A930" s="7"/>
      <c r="B930" s="8"/>
      <c r="C930" s="9"/>
      <c r="D930" s="5"/>
      <c r="E930" s="5"/>
    </row>
    <row r="931" spans="1:5" ht="15.75" x14ac:dyDescent="0.25">
      <c r="A931" s="7"/>
      <c r="B931" s="8"/>
      <c r="C931" s="9"/>
      <c r="D931" s="5"/>
      <c r="E931" s="5"/>
    </row>
    <row r="932" spans="1:5" ht="15.75" x14ac:dyDescent="0.25">
      <c r="A932" s="7"/>
      <c r="B932" s="8"/>
      <c r="C932" s="9"/>
      <c r="D932" s="5"/>
      <c r="E932" s="5"/>
    </row>
    <row r="933" spans="1:5" ht="15.75" x14ac:dyDescent="0.25">
      <c r="A933" s="7"/>
      <c r="B933" s="8"/>
      <c r="C933" s="9"/>
      <c r="D933" s="5"/>
      <c r="E933" s="5"/>
    </row>
    <row r="934" spans="1:5" ht="15.75" x14ac:dyDescent="0.25">
      <c r="A934" s="7"/>
      <c r="B934" s="8"/>
      <c r="C934" s="9"/>
      <c r="D934" s="5"/>
      <c r="E934" s="5"/>
    </row>
    <row r="935" spans="1:5" ht="15.75" x14ac:dyDescent="0.25">
      <c r="A935" s="7"/>
      <c r="B935" s="8"/>
      <c r="C935" s="9"/>
      <c r="D935" s="5"/>
      <c r="E935" s="5"/>
    </row>
    <row r="936" spans="1:5" ht="15.75" x14ac:dyDescent="0.25">
      <c r="A936" s="7"/>
      <c r="B936" s="8"/>
      <c r="C936" s="9"/>
      <c r="D936" s="5"/>
      <c r="E936" s="5"/>
    </row>
    <row r="937" spans="1:5" ht="15.75" x14ac:dyDescent="0.25">
      <c r="A937" s="7"/>
      <c r="B937" s="8"/>
      <c r="C937" s="9"/>
      <c r="D937" s="5"/>
      <c r="E937" s="5"/>
    </row>
    <row r="938" spans="1:5" ht="15.75" x14ac:dyDescent="0.25">
      <c r="A938" s="7"/>
      <c r="B938" s="8"/>
      <c r="C938" s="9"/>
      <c r="D938" s="5"/>
      <c r="E938" s="5"/>
    </row>
    <row r="939" spans="1:5" ht="15.75" x14ac:dyDescent="0.25">
      <c r="A939" s="7"/>
      <c r="B939" s="8"/>
      <c r="C939" s="9"/>
      <c r="D939" s="5"/>
      <c r="E939" s="5"/>
    </row>
    <row r="940" spans="1:5" ht="15.75" x14ac:dyDescent="0.25">
      <c r="A940" s="7"/>
      <c r="B940" s="8"/>
      <c r="C940" s="9"/>
      <c r="D940" s="5"/>
      <c r="E940" s="5"/>
    </row>
    <row r="941" spans="1:5" ht="15.75" x14ac:dyDescent="0.25">
      <c r="A941" s="7"/>
      <c r="B941" s="8"/>
      <c r="C941" s="9"/>
      <c r="D941" s="5"/>
      <c r="E941" s="5"/>
    </row>
    <row r="942" spans="1:5" ht="15.75" x14ac:dyDescent="0.25">
      <c r="A942" s="7"/>
      <c r="B942" s="8"/>
      <c r="C942" s="9"/>
      <c r="D942" s="5"/>
      <c r="E942" s="5"/>
    </row>
    <row r="943" spans="1:5" ht="15.75" x14ac:dyDescent="0.25">
      <c r="A943" s="7"/>
      <c r="B943" s="8"/>
      <c r="C943" s="9"/>
      <c r="D943" s="5"/>
      <c r="E943" s="5"/>
    </row>
    <row r="944" spans="1:5" ht="15.75" x14ac:dyDescent="0.25">
      <c r="A944" s="7"/>
      <c r="B944" s="8"/>
      <c r="C944" s="9"/>
      <c r="D944" s="5"/>
      <c r="E944" s="5"/>
    </row>
    <row r="945" spans="1:5" ht="15.75" x14ac:dyDescent="0.25">
      <c r="A945" s="7"/>
      <c r="B945" s="8"/>
      <c r="C945" s="9"/>
      <c r="D945" s="5"/>
      <c r="E945" s="5"/>
    </row>
    <row r="946" spans="1:5" ht="15.75" x14ac:dyDescent="0.25">
      <c r="A946" s="7"/>
      <c r="B946" s="8"/>
      <c r="C946" s="9"/>
      <c r="D946" s="5"/>
      <c r="E946" s="5"/>
    </row>
    <row r="947" spans="1:5" ht="15.75" x14ac:dyDescent="0.25">
      <c r="A947" s="7"/>
      <c r="B947" s="8"/>
      <c r="C947" s="9"/>
      <c r="D947" s="5"/>
      <c r="E947" s="5"/>
    </row>
    <row r="948" spans="1:5" ht="15.75" x14ac:dyDescent="0.25">
      <c r="A948" s="7"/>
      <c r="B948" s="8"/>
      <c r="C948" s="9"/>
      <c r="D948" s="5"/>
      <c r="E948" s="5"/>
    </row>
    <row r="949" spans="1:5" ht="15.75" x14ac:dyDescent="0.25">
      <c r="A949" s="7"/>
      <c r="B949" s="8"/>
      <c r="C949" s="9"/>
      <c r="D949" s="5"/>
      <c r="E949" s="5"/>
    </row>
    <row r="950" spans="1:5" ht="15.75" x14ac:dyDescent="0.25">
      <c r="A950" s="7"/>
      <c r="B950" s="8"/>
      <c r="C950" s="9"/>
      <c r="D950" s="5"/>
      <c r="E950" s="5"/>
    </row>
    <row r="951" spans="1:5" ht="15.75" x14ac:dyDescent="0.25">
      <c r="A951" s="7"/>
      <c r="B951" s="8"/>
      <c r="C951" s="9"/>
      <c r="D951" s="5"/>
      <c r="E951" s="5"/>
    </row>
    <row r="952" spans="1:5" ht="15.75" x14ac:dyDescent="0.25">
      <c r="A952" s="7"/>
      <c r="B952" s="8"/>
      <c r="C952" s="9"/>
      <c r="D952" s="5"/>
      <c r="E952" s="5"/>
    </row>
    <row r="953" spans="1:5" ht="15.75" x14ac:dyDescent="0.25">
      <c r="A953" s="7"/>
      <c r="B953" s="8"/>
      <c r="C953" s="9"/>
      <c r="D953" s="5"/>
      <c r="E953" s="5"/>
    </row>
    <row r="954" spans="1:5" ht="15.75" x14ac:dyDescent="0.25">
      <c r="A954" s="7"/>
      <c r="B954" s="8"/>
      <c r="C954" s="9"/>
      <c r="D954" s="5"/>
      <c r="E954" s="5"/>
    </row>
    <row r="955" spans="1:5" ht="15.75" x14ac:dyDescent="0.25">
      <c r="A955" s="7"/>
      <c r="B955" s="8"/>
      <c r="C955" s="9"/>
      <c r="D955" s="5"/>
      <c r="E955" s="5"/>
    </row>
    <row r="956" spans="1:5" ht="15.75" x14ac:dyDescent="0.25">
      <c r="A956" s="7"/>
      <c r="B956" s="8"/>
      <c r="C956" s="9"/>
      <c r="D956" s="5"/>
      <c r="E956" s="5"/>
    </row>
    <row r="957" spans="1:5" ht="15.75" x14ac:dyDescent="0.25">
      <c r="A957" s="7"/>
      <c r="B957" s="8"/>
      <c r="C957" s="9"/>
      <c r="D957" s="5"/>
      <c r="E957" s="5"/>
    </row>
    <row r="958" spans="1:5" ht="15.75" x14ac:dyDescent="0.25">
      <c r="A958" s="7"/>
      <c r="B958" s="8"/>
      <c r="C958" s="9"/>
      <c r="D958" s="5"/>
      <c r="E958" s="5"/>
    </row>
    <row r="959" spans="1:5" ht="15.75" x14ac:dyDescent="0.25">
      <c r="A959" s="7"/>
      <c r="B959" s="8"/>
      <c r="C959" s="9"/>
      <c r="D959" s="5"/>
      <c r="E959" s="5"/>
    </row>
    <row r="960" spans="1:5" ht="15.75" x14ac:dyDescent="0.25">
      <c r="A960" s="7"/>
      <c r="B960" s="8"/>
      <c r="C960" s="9"/>
      <c r="D960" s="5"/>
      <c r="E960" s="5"/>
    </row>
    <row r="961" spans="1:5" ht="15.75" x14ac:dyDescent="0.25">
      <c r="A961" s="7"/>
      <c r="B961" s="8"/>
      <c r="C961" s="9"/>
      <c r="D961" s="5"/>
      <c r="E961" s="5"/>
    </row>
    <row r="962" spans="1:5" ht="15.75" x14ac:dyDescent="0.25">
      <c r="A962" s="7"/>
      <c r="B962" s="8"/>
      <c r="C962" s="9"/>
      <c r="D962" s="5"/>
      <c r="E962" s="5"/>
    </row>
    <row r="963" spans="1:5" ht="15.75" x14ac:dyDescent="0.25">
      <c r="A963" s="7"/>
      <c r="B963" s="8"/>
      <c r="C963" s="9"/>
      <c r="D963" s="5"/>
      <c r="E963" s="5"/>
    </row>
    <row r="964" spans="1:5" ht="15.75" x14ac:dyDescent="0.25">
      <c r="A964" s="7"/>
      <c r="B964" s="8"/>
      <c r="C964" s="9"/>
      <c r="D964" s="5"/>
      <c r="E964" s="5"/>
    </row>
    <row r="965" spans="1:5" ht="15.75" x14ac:dyDescent="0.25">
      <c r="A965" s="7"/>
      <c r="B965" s="8"/>
      <c r="C965" s="9"/>
      <c r="D965" s="5"/>
      <c r="E965" s="5"/>
    </row>
    <row r="966" spans="1:5" ht="15.75" x14ac:dyDescent="0.25">
      <c r="A966" s="7"/>
      <c r="B966" s="8"/>
      <c r="C966" s="9"/>
      <c r="D966" s="5"/>
      <c r="E966" s="5"/>
    </row>
    <row r="967" spans="1:5" ht="15.75" x14ac:dyDescent="0.25">
      <c r="A967" s="7"/>
      <c r="B967" s="8"/>
      <c r="C967" s="9"/>
      <c r="D967" s="5"/>
      <c r="E967" s="5"/>
    </row>
    <row r="968" spans="1:5" ht="15.75" x14ac:dyDescent="0.25">
      <c r="A968" s="7"/>
      <c r="B968" s="8"/>
      <c r="C968" s="9"/>
      <c r="D968" s="5"/>
      <c r="E968" s="5"/>
    </row>
    <row r="969" spans="1:5" ht="15.75" x14ac:dyDescent="0.25">
      <c r="A969" s="7"/>
      <c r="B969" s="8"/>
      <c r="C969" s="9"/>
      <c r="D969" s="5"/>
      <c r="E969" s="5"/>
    </row>
    <row r="970" spans="1:5" ht="15.75" x14ac:dyDescent="0.25">
      <c r="A970" s="7"/>
      <c r="B970" s="8"/>
      <c r="C970" s="9"/>
      <c r="D970" s="5"/>
      <c r="E970" s="5"/>
    </row>
    <row r="971" spans="1:5" ht="15.75" x14ac:dyDescent="0.25">
      <c r="A971" s="7"/>
      <c r="B971" s="8"/>
      <c r="C971" s="9"/>
      <c r="D971" s="5"/>
      <c r="E971" s="5"/>
    </row>
    <row r="972" spans="1:5" ht="15.75" x14ac:dyDescent="0.25">
      <c r="A972" s="7"/>
      <c r="B972" s="8"/>
      <c r="C972" s="9"/>
      <c r="D972" s="5"/>
      <c r="E972" s="5"/>
    </row>
    <row r="973" spans="1:5" ht="15.75" x14ac:dyDescent="0.25">
      <c r="A973" s="7"/>
      <c r="B973" s="8"/>
      <c r="C973" s="9"/>
      <c r="D973" s="5"/>
      <c r="E973" s="5"/>
    </row>
    <row r="974" spans="1:5" ht="15.75" x14ac:dyDescent="0.25">
      <c r="A974" s="7"/>
      <c r="B974" s="8"/>
      <c r="C974" s="9"/>
      <c r="D974" s="5"/>
      <c r="E974" s="5"/>
    </row>
    <row r="975" spans="1:5" ht="15.75" x14ac:dyDescent="0.25">
      <c r="A975" s="7"/>
      <c r="B975" s="8"/>
      <c r="C975" s="9"/>
      <c r="D975" s="5"/>
      <c r="E975" s="5"/>
    </row>
    <row r="976" spans="1:5" ht="15.75" x14ac:dyDescent="0.25">
      <c r="A976" s="7"/>
      <c r="B976" s="8"/>
      <c r="C976" s="9"/>
      <c r="D976" s="5"/>
      <c r="E976" s="5"/>
    </row>
    <row r="977" spans="1:5" ht="15.75" x14ac:dyDescent="0.25">
      <c r="A977" s="7"/>
      <c r="B977" s="8"/>
      <c r="C977" s="9"/>
      <c r="D977" s="5"/>
      <c r="E977" s="5"/>
    </row>
    <row r="978" spans="1:5" ht="15.75" x14ac:dyDescent="0.25">
      <c r="A978" s="7"/>
      <c r="B978" s="8"/>
      <c r="C978" s="9"/>
      <c r="D978" s="5"/>
      <c r="E978" s="5"/>
    </row>
    <row r="979" spans="1:5" ht="15.75" x14ac:dyDescent="0.25">
      <c r="A979" s="7"/>
      <c r="B979" s="8"/>
      <c r="C979" s="9"/>
      <c r="D979" s="5"/>
      <c r="E979" s="5"/>
    </row>
    <row r="980" spans="1:5" ht="15.75" x14ac:dyDescent="0.25">
      <c r="A980" s="7"/>
      <c r="B980" s="8"/>
      <c r="C980" s="9"/>
      <c r="D980" s="5"/>
      <c r="E980" s="5"/>
    </row>
    <row r="981" spans="1:5" ht="15.75" x14ac:dyDescent="0.25">
      <c r="A981" s="7"/>
      <c r="B981" s="8"/>
      <c r="C981" s="9"/>
      <c r="D981" s="5"/>
      <c r="E981" s="5"/>
    </row>
    <row r="982" spans="1:5" ht="15.75" x14ac:dyDescent="0.25">
      <c r="A982" s="7"/>
      <c r="B982" s="8"/>
      <c r="C982" s="9"/>
      <c r="D982" s="5"/>
      <c r="E982" s="5"/>
    </row>
    <row r="983" spans="1:5" ht="15.75" x14ac:dyDescent="0.25">
      <c r="A983" s="7"/>
      <c r="B983" s="8"/>
      <c r="C983" s="9"/>
      <c r="D983" s="5"/>
      <c r="E983" s="5"/>
    </row>
    <row r="984" spans="1:5" ht="15.75" x14ac:dyDescent="0.25">
      <c r="A984" s="7"/>
      <c r="B984" s="8"/>
      <c r="C984" s="9"/>
      <c r="D984" s="5"/>
      <c r="E984" s="5"/>
    </row>
    <row r="985" spans="1:5" ht="15.75" x14ac:dyDescent="0.25">
      <c r="A985" s="7"/>
      <c r="B985" s="8"/>
      <c r="C985" s="9"/>
      <c r="D985" s="5"/>
      <c r="E985" s="5"/>
    </row>
    <row r="986" spans="1:5" ht="15.75" x14ac:dyDescent="0.25">
      <c r="A986" s="7"/>
      <c r="B986" s="8"/>
      <c r="C986" s="9"/>
      <c r="D986" s="5"/>
      <c r="E986" s="5"/>
    </row>
    <row r="987" spans="1:5" ht="15.75" x14ac:dyDescent="0.25">
      <c r="A987" s="7"/>
      <c r="B987" s="8"/>
      <c r="C987" s="9"/>
      <c r="D987" s="5"/>
      <c r="E987" s="5"/>
    </row>
    <row r="988" spans="1:5" ht="15.75" x14ac:dyDescent="0.25">
      <c r="A988" s="7"/>
      <c r="B988" s="8"/>
      <c r="C988" s="9"/>
      <c r="D988" s="5"/>
      <c r="E988" s="5"/>
    </row>
    <row r="989" spans="1:5" ht="15.75" x14ac:dyDescent="0.25">
      <c r="A989" s="7"/>
      <c r="B989" s="8"/>
      <c r="C989" s="9"/>
      <c r="D989" s="5"/>
      <c r="E989" s="5"/>
    </row>
    <row r="990" spans="1:5" ht="15.75" x14ac:dyDescent="0.25">
      <c r="A990" s="7"/>
      <c r="B990" s="8"/>
      <c r="C990" s="9"/>
      <c r="D990" s="5"/>
      <c r="E990" s="5"/>
    </row>
    <row r="991" spans="1:5" ht="15.75" x14ac:dyDescent="0.25">
      <c r="A991" s="7"/>
      <c r="B991" s="8"/>
      <c r="C991" s="9"/>
      <c r="D991" s="5"/>
      <c r="E991" s="5"/>
    </row>
    <row r="992" spans="1:5" ht="15.75" x14ac:dyDescent="0.25">
      <c r="A992" s="7"/>
      <c r="B992" s="8"/>
      <c r="C992" s="9"/>
      <c r="D992" s="5"/>
      <c r="E992" s="5"/>
    </row>
    <row r="993" spans="1:5" ht="15.75" x14ac:dyDescent="0.25">
      <c r="A993" s="7"/>
      <c r="B993" s="8"/>
      <c r="C993" s="9"/>
      <c r="D993" s="5"/>
      <c r="E993" s="5"/>
    </row>
    <row r="994" spans="1:5" ht="15.75" x14ac:dyDescent="0.25">
      <c r="A994" s="7"/>
      <c r="B994" s="8"/>
      <c r="C994" s="9"/>
      <c r="D994" s="5"/>
      <c r="E994" s="5"/>
    </row>
    <row r="995" spans="1:5" ht="15.75" x14ac:dyDescent="0.25">
      <c r="A995" s="7"/>
      <c r="B995" s="8"/>
      <c r="C995" s="9"/>
      <c r="D995" s="5"/>
      <c r="E995" s="5"/>
    </row>
    <row r="996" spans="1:5" ht="15.75" x14ac:dyDescent="0.25">
      <c r="A996" s="7"/>
      <c r="B996" s="8"/>
      <c r="C996" s="9"/>
      <c r="D996" s="5"/>
      <c r="E996" s="5"/>
    </row>
    <row r="997" spans="1:5" ht="15.75" x14ac:dyDescent="0.25">
      <c r="A997" s="7"/>
      <c r="B997" s="8"/>
      <c r="C997" s="9"/>
      <c r="D997" s="5"/>
      <c r="E997" s="5"/>
    </row>
    <row r="998" spans="1:5" ht="15.75" x14ac:dyDescent="0.25">
      <c r="A998" s="7"/>
      <c r="B998" s="8"/>
      <c r="C998" s="9"/>
      <c r="D998" s="5"/>
      <c r="E998" s="5"/>
    </row>
    <row r="999" spans="1:5" ht="15.75" x14ac:dyDescent="0.25">
      <c r="A999" s="7"/>
      <c r="B999" s="8"/>
      <c r="C999" s="9"/>
      <c r="D999" s="5"/>
      <c r="E999" s="5"/>
    </row>
    <row r="1000" spans="1:5" ht="15.75" x14ac:dyDescent="0.25">
      <c r="A1000" s="7"/>
      <c r="B1000" s="8"/>
      <c r="C1000" s="9"/>
      <c r="D1000" s="5"/>
      <c r="E1000" s="5"/>
    </row>
    <row r="1001" spans="1:5" ht="15.75" x14ac:dyDescent="0.25">
      <c r="A1001" s="7"/>
      <c r="B1001" s="8"/>
      <c r="C1001" s="9"/>
      <c r="D1001" s="5"/>
      <c r="E1001" s="5"/>
    </row>
    <row r="1002" spans="1:5" ht="15.75" x14ac:dyDescent="0.25">
      <c r="A1002" s="7"/>
      <c r="B1002" s="8"/>
      <c r="C1002" s="9"/>
      <c r="D1002" s="5"/>
      <c r="E1002" s="5"/>
    </row>
    <row r="1003" spans="1:5" ht="15.75" x14ac:dyDescent="0.25">
      <c r="A1003" s="7"/>
      <c r="B1003" s="8"/>
      <c r="C1003" s="9"/>
      <c r="D1003" s="5"/>
      <c r="E1003" s="5"/>
    </row>
    <row r="1004" spans="1:5" ht="15.75" x14ac:dyDescent="0.25">
      <c r="A1004" s="7"/>
      <c r="B1004" s="8"/>
      <c r="C1004" s="9"/>
      <c r="D1004" s="5"/>
      <c r="E1004" s="5"/>
    </row>
    <row r="1005" spans="1:5" ht="15.75" x14ac:dyDescent="0.25">
      <c r="A1005" s="7"/>
      <c r="B1005" s="8"/>
      <c r="C1005" s="9"/>
      <c r="D1005" s="5"/>
      <c r="E1005" s="5"/>
    </row>
    <row r="1006" spans="1:5" ht="15.75" x14ac:dyDescent="0.25">
      <c r="A1006" s="7"/>
      <c r="B1006" s="8"/>
      <c r="C1006" s="9"/>
      <c r="D1006" s="5"/>
      <c r="E1006" s="5"/>
    </row>
    <row r="1007" spans="1:5" ht="15.75" x14ac:dyDescent="0.25">
      <c r="A1007" s="7"/>
      <c r="B1007" s="8"/>
      <c r="C1007" s="9"/>
      <c r="D1007" s="5"/>
      <c r="E1007" s="5"/>
    </row>
    <row r="1008" spans="1:5" ht="15.75" x14ac:dyDescent="0.25">
      <c r="A1008" s="7"/>
      <c r="B1008" s="8"/>
      <c r="C1008" s="9"/>
      <c r="D1008" s="5"/>
      <c r="E1008" s="5"/>
    </row>
    <row r="1009" spans="1:5" ht="15.75" x14ac:dyDescent="0.25">
      <c r="A1009" s="7"/>
      <c r="B1009" s="8"/>
      <c r="C1009" s="9"/>
      <c r="D1009" s="5"/>
      <c r="E1009" s="5"/>
    </row>
    <row r="1010" spans="1:5" ht="15.75" x14ac:dyDescent="0.25">
      <c r="A1010" s="7"/>
      <c r="B1010" s="8"/>
      <c r="C1010" s="9"/>
      <c r="D1010" s="5"/>
      <c r="E1010" s="5"/>
    </row>
    <row r="1011" spans="1:5" ht="15.75" x14ac:dyDescent="0.25">
      <c r="A1011" s="7"/>
      <c r="B1011" s="8"/>
      <c r="C1011" s="9"/>
      <c r="D1011" s="5"/>
      <c r="E1011" s="5"/>
    </row>
    <row r="1012" spans="1:5" ht="15.75" x14ac:dyDescent="0.25">
      <c r="A1012" s="7"/>
      <c r="B1012" s="8"/>
      <c r="C1012" s="9"/>
      <c r="D1012" s="5"/>
      <c r="E1012" s="5"/>
    </row>
    <row r="1013" spans="1:5" ht="15.75" x14ac:dyDescent="0.25">
      <c r="A1013" s="7"/>
      <c r="B1013" s="8"/>
      <c r="C1013" s="9"/>
      <c r="D1013" s="5"/>
      <c r="E1013" s="5"/>
    </row>
    <row r="1014" spans="1:5" ht="15.75" x14ac:dyDescent="0.25">
      <c r="A1014" s="7"/>
      <c r="B1014" s="8"/>
      <c r="C1014" s="9"/>
      <c r="D1014" s="5"/>
      <c r="E1014" s="5"/>
    </row>
    <row r="1015" spans="1:5" ht="15.75" x14ac:dyDescent="0.25">
      <c r="A1015" s="7"/>
      <c r="B1015" s="8"/>
      <c r="C1015" s="9"/>
      <c r="D1015" s="5"/>
      <c r="E1015" s="5"/>
    </row>
    <row r="1016" spans="1:5" ht="15.75" x14ac:dyDescent="0.25">
      <c r="A1016" s="7"/>
      <c r="B1016" s="8"/>
      <c r="C1016" s="9"/>
      <c r="D1016" s="5"/>
      <c r="E1016" s="5"/>
    </row>
    <row r="1017" spans="1:5" ht="15.75" x14ac:dyDescent="0.25">
      <c r="A1017" s="7"/>
      <c r="B1017" s="8"/>
      <c r="C1017" s="9"/>
      <c r="D1017" s="5"/>
      <c r="E1017" s="5"/>
    </row>
    <row r="1018" spans="1:5" ht="15.75" x14ac:dyDescent="0.25">
      <c r="A1018" s="7"/>
      <c r="B1018" s="8"/>
      <c r="C1018" s="9"/>
      <c r="D1018" s="5"/>
      <c r="E1018" s="5"/>
    </row>
    <row r="1019" spans="1:5" ht="15.75" x14ac:dyDescent="0.25">
      <c r="A1019" s="7"/>
      <c r="B1019" s="8"/>
      <c r="C1019" s="9"/>
      <c r="D1019" s="5"/>
      <c r="E1019" s="5"/>
    </row>
    <row r="1020" spans="1:5" ht="15.75" x14ac:dyDescent="0.25">
      <c r="A1020" s="7"/>
      <c r="B1020" s="8"/>
      <c r="C1020" s="9"/>
      <c r="D1020" s="5"/>
      <c r="E1020" s="5"/>
    </row>
    <row r="1021" spans="1:5" ht="15.75" x14ac:dyDescent="0.25">
      <c r="A1021" s="7"/>
      <c r="B1021" s="8"/>
      <c r="C1021" s="9"/>
      <c r="D1021" s="5"/>
      <c r="E1021" s="5"/>
    </row>
    <row r="1022" spans="1:5" ht="15.75" x14ac:dyDescent="0.25">
      <c r="A1022" s="7"/>
      <c r="B1022" s="8"/>
      <c r="C1022" s="9"/>
      <c r="D1022" s="5"/>
      <c r="E1022" s="5"/>
    </row>
    <row r="1023" spans="1:5" ht="15.75" x14ac:dyDescent="0.25">
      <c r="A1023" s="7"/>
      <c r="B1023" s="8"/>
      <c r="C1023" s="9"/>
      <c r="D1023" s="5"/>
      <c r="E1023" s="5"/>
    </row>
    <row r="1024" spans="1:5" ht="15.75" x14ac:dyDescent="0.25">
      <c r="A1024" s="7"/>
      <c r="B1024" s="8"/>
      <c r="C1024" s="9"/>
      <c r="D1024" s="5"/>
      <c r="E1024" s="5"/>
    </row>
    <row r="1025" spans="1:5" ht="15.75" x14ac:dyDescent="0.25">
      <c r="A1025" s="7"/>
      <c r="B1025" s="8"/>
      <c r="C1025" s="9"/>
      <c r="D1025" s="5"/>
      <c r="E1025" s="5"/>
    </row>
    <row r="1026" spans="1:5" ht="15.75" x14ac:dyDescent="0.25">
      <c r="A1026" s="7"/>
      <c r="B1026" s="8"/>
      <c r="C1026" s="9"/>
      <c r="D1026" s="5"/>
      <c r="E1026" s="5"/>
    </row>
    <row r="1027" spans="1:5" ht="15.75" x14ac:dyDescent="0.25">
      <c r="A1027" s="7"/>
      <c r="B1027" s="8"/>
      <c r="C1027" s="9"/>
      <c r="D1027" s="5"/>
      <c r="E1027" s="5"/>
    </row>
    <row r="1028" spans="1:5" ht="15.75" x14ac:dyDescent="0.25">
      <c r="A1028" s="7"/>
      <c r="B1028" s="8"/>
      <c r="C1028" s="9"/>
      <c r="D1028" s="5"/>
      <c r="E1028" s="5"/>
    </row>
    <row r="1029" spans="1:5" ht="15.75" x14ac:dyDescent="0.25">
      <c r="A1029" s="7"/>
      <c r="B1029" s="8"/>
      <c r="C1029" s="9"/>
      <c r="D1029" s="5"/>
      <c r="E1029" s="5"/>
    </row>
    <row r="1030" spans="1:5" ht="15.75" x14ac:dyDescent="0.25">
      <c r="A1030" s="7"/>
      <c r="B1030" s="8"/>
      <c r="C1030" s="9"/>
      <c r="D1030" s="5"/>
      <c r="E1030" s="5"/>
    </row>
    <row r="1031" spans="1:5" ht="15.75" x14ac:dyDescent="0.25">
      <c r="A1031" s="7"/>
      <c r="B1031" s="8"/>
      <c r="C1031" s="9"/>
      <c r="D1031" s="5"/>
      <c r="E1031" s="5"/>
    </row>
    <row r="1032" spans="1:5" ht="15.75" x14ac:dyDescent="0.25">
      <c r="A1032" s="7"/>
      <c r="B1032" s="8"/>
      <c r="C1032" s="9"/>
      <c r="D1032" s="5"/>
      <c r="E1032" s="5"/>
    </row>
    <row r="1033" spans="1:5" ht="15.75" x14ac:dyDescent="0.25">
      <c r="A1033" s="7"/>
      <c r="B1033" s="8"/>
      <c r="C1033" s="9"/>
      <c r="D1033" s="5"/>
      <c r="E1033" s="5"/>
    </row>
    <row r="1034" spans="1:5" ht="15.75" x14ac:dyDescent="0.25">
      <c r="A1034" s="7"/>
      <c r="B1034" s="8"/>
      <c r="C1034" s="9"/>
      <c r="D1034" s="5"/>
      <c r="E1034" s="5"/>
    </row>
    <row r="1035" spans="1:5" ht="15.75" x14ac:dyDescent="0.25">
      <c r="A1035" s="7"/>
      <c r="B1035" s="8"/>
      <c r="C1035" s="9"/>
      <c r="D1035" s="5"/>
      <c r="E1035" s="5"/>
    </row>
    <row r="1036" spans="1:5" ht="15.75" x14ac:dyDescent="0.25">
      <c r="A1036" s="7"/>
      <c r="B1036" s="8"/>
      <c r="C1036" s="9"/>
      <c r="D1036" s="5"/>
      <c r="E1036" s="5"/>
    </row>
    <row r="1037" spans="1:5" ht="15.75" x14ac:dyDescent="0.25">
      <c r="A1037" s="7"/>
      <c r="B1037" s="8"/>
      <c r="C1037" s="9"/>
      <c r="D1037" s="5"/>
      <c r="E1037" s="5"/>
    </row>
    <row r="1038" spans="1:5" ht="15.75" x14ac:dyDescent="0.25">
      <c r="A1038" s="7"/>
      <c r="B1038" s="8"/>
      <c r="C1038" s="9"/>
      <c r="D1038" s="5"/>
      <c r="E1038" s="5"/>
    </row>
    <row r="1039" spans="1:5" ht="15.75" x14ac:dyDescent="0.25">
      <c r="A1039" s="7"/>
      <c r="B1039" s="8"/>
      <c r="C1039" s="9"/>
      <c r="D1039" s="5"/>
      <c r="E1039" s="5"/>
    </row>
    <row r="1040" spans="1:5" ht="15.75" x14ac:dyDescent="0.25">
      <c r="A1040" s="7"/>
      <c r="B1040" s="8"/>
      <c r="C1040" s="9"/>
      <c r="D1040" s="5"/>
      <c r="E1040" s="5"/>
    </row>
    <row r="1041" spans="1:5" ht="15.75" x14ac:dyDescent="0.25">
      <c r="A1041" s="7"/>
      <c r="B1041" s="8"/>
      <c r="C1041" s="9"/>
      <c r="D1041" s="5"/>
      <c r="E1041" s="5"/>
    </row>
    <row r="1042" spans="1:5" ht="15.75" x14ac:dyDescent="0.25">
      <c r="A1042" s="7"/>
      <c r="B1042" s="8"/>
      <c r="C1042" s="9"/>
      <c r="D1042" s="5"/>
      <c r="E1042" s="5"/>
    </row>
    <row r="1043" spans="1:5" ht="15.75" x14ac:dyDescent="0.25">
      <c r="A1043" s="7"/>
      <c r="B1043" s="8"/>
      <c r="C1043" s="9"/>
      <c r="D1043" s="5"/>
      <c r="E1043" s="5"/>
    </row>
    <row r="1044" spans="1:5" ht="15.75" x14ac:dyDescent="0.25">
      <c r="A1044" s="7"/>
      <c r="B1044" s="8"/>
      <c r="C1044" s="9"/>
      <c r="D1044" s="5"/>
      <c r="E1044" s="5"/>
    </row>
    <row r="1045" spans="1:5" ht="15.75" x14ac:dyDescent="0.25">
      <c r="A1045" s="7"/>
      <c r="B1045" s="8"/>
      <c r="C1045" s="9"/>
      <c r="D1045" s="5"/>
      <c r="E1045" s="5"/>
    </row>
    <row r="1046" spans="1:5" ht="15.75" x14ac:dyDescent="0.25">
      <c r="A1046" s="7"/>
      <c r="B1046" s="8"/>
      <c r="C1046" s="9"/>
      <c r="D1046" s="5"/>
      <c r="E1046" s="5"/>
    </row>
    <row r="1047" spans="1:5" ht="15.75" x14ac:dyDescent="0.25">
      <c r="A1047" s="7"/>
      <c r="B1047" s="8"/>
      <c r="C1047" s="9"/>
      <c r="D1047" s="5"/>
      <c r="E1047" s="5"/>
    </row>
    <row r="1048" spans="1:5" ht="15.75" x14ac:dyDescent="0.25">
      <c r="A1048" s="7"/>
      <c r="B1048" s="8"/>
      <c r="C1048" s="9"/>
      <c r="D1048" s="5"/>
      <c r="E1048" s="5"/>
    </row>
    <row r="1049" spans="1:5" ht="15.75" x14ac:dyDescent="0.25">
      <c r="A1049" s="7"/>
      <c r="B1049" s="8"/>
      <c r="C1049" s="9"/>
      <c r="D1049" s="5"/>
      <c r="E1049" s="5"/>
    </row>
    <row r="1050" spans="1:5" ht="15.75" x14ac:dyDescent="0.25">
      <c r="A1050" s="7"/>
      <c r="B1050" s="8"/>
      <c r="C1050" s="9"/>
      <c r="D1050" s="5"/>
      <c r="E1050" s="5"/>
    </row>
    <row r="1051" spans="1:5" ht="15.75" x14ac:dyDescent="0.25">
      <c r="A1051" s="7"/>
      <c r="B1051" s="8"/>
      <c r="C1051" s="9"/>
      <c r="D1051" s="5"/>
      <c r="E1051" s="5"/>
    </row>
    <row r="1052" spans="1:5" ht="15.75" x14ac:dyDescent="0.25">
      <c r="A1052" s="7"/>
      <c r="B1052" s="8"/>
      <c r="C1052" s="9"/>
      <c r="D1052" s="5"/>
      <c r="E1052" s="5"/>
    </row>
    <row r="1053" spans="1:5" ht="15.75" x14ac:dyDescent="0.25">
      <c r="A1053" s="7"/>
      <c r="B1053" s="8"/>
      <c r="C1053" s="9"/>
      <c r="D1053" s="5"/>
      <c r="E1053" s="5"/>
    </row>
    <row r="1054" spans="1:5" ht="15.75" x14ac:dyDescent="0.25">
      <c r="A1054" s="7"/>
      <c r="B1054" s="8"/>
      <c r="C1054" s="9"/>
      <c r="D1054" s="5"/>
      <c r="E1054" s="5"/>
    </row>
    <row r="1055" spans="1:5" ht="15.75" x14ac:dyDescent="0.25">
      <c r="A1055" s="7"/>
      <c r="B1055" s="8"/>
      <c r="C1055" s="9"/>
      <c r="D1055" s="5"/>
      <c r="E1055" s="5"/>
    </row>
    <row r="1056" spans="1:5" ht="15.75" x14ac:dyDescent="0.25">
      <c r="A1056" s="7"/>
      <c r="B1056" s="8"/>
      <c r="C1056" s="9"/>
      <c r="D1056" s="5"/>
      <c r="E1056" s="5"/>
    </row>
    <row r="1057" spans="1:5" ht="15.75" x14ac:dyDescent="0.25">
      <c r="A1057" s="7"/>
      <c r="B1057" s="8"/>
      <c r="C1057" s="9"/>
      <c r="D1057" s="5"/>
      <c r="E1057" s="5"/>
    </row>
    <row r="1058" spans="1:5" ht="15.75" x14ac:dyDescent="0.25">
      <c r="A1058" s="7"/>
      <c r="B1058" s="8"/>
      <c r="C1058" s="9"/>
      <c r="D1058" s="5"/>
      <c r="E1058" s="5"/>
    </row>
    <row r="1059" spans="1:5" ht="15.75" x14ac:dyDescent="0.25">
      <c r="A1059" s="7"/>
      <c r="B1059" s="8"/>
      <c r="C1059" s="9"/>
      <c r="D1059" s="5"/>
      <c r="E1059" s="5"/>
    </row>
    <row r="1060" spans="1:5" ht="15.75" x14ac:dyDescent="0.25">
      <c r="A1060" s="7"/>
      <c r="B1060" s="8"/>
      <c r="C1060" s="9"/>
      <c r="D1060" s="5"/>
      <c r="E1060" s="5"/>
    </row>
    <row r="1061" spans="1:5" ht="15.75" x14ac:dyDescent="0.25">
      <c r="A1061" s="7"/>
      <c r="B1061" s="8"/>
      <c r="C1061" s="9"/>
      <c r="D1061" s="5"/>
      <c r="E1061" s="5"/>
    </row>
    <row r="1062" spans="1:5" ht="15.75" x14ac:dyDescent="0.25">
      <c r="A1062" s="7"/>
      <c r="B1062" s="8"/>
      <c r="C1062" s="9"/>
      <c r="D1062" s="5"/>
      <c r="E1062" s="5"/>
    </row>
    <row r="1063" spans="1:5" ht="15.75" x14ac:dyDescent="0.25">
      <c r="A1063" s="7"/>
      <c r="B1063" s="8"/>
      <c r="C1063" s="9"/>
      <c r="D1063" s="5"/>
      <c r="E1063" s="5"/>
    </row>
    <row r="1064" spans="1:5" ht="15.75" x14ac:dyDescent="0.25">
      <c r="A1064" s="7"/>
      <c r="B1064" s="8"/>
      <c r="C1064" s="9"/>
      <c r="D1064" s="5"/>
      <c r="E1064" s="5"/>
    </row>
    <row r="1065" spans="1:5" ht="15.75" x14ac:dyDescent="0.25">
      <c r="A1065" s="7"/>
      <c r="B1065" s="8"/>
      <c r="C1065" s="9"/>
      <c r="D1065" s="5"/>
      <c r="E1065" s="5"/>
    </row>
    <row r="1066" spans="1:5" ht="15.75" x14ac:dyDescent="0.25">
      <c r="A1066" s="7"/>
      <c r="B1066" s="8"/>
      <c r="C1066" s="9"/>
      <c r="D1066" s="5"/>
      <c r="E1066" s="5"/>
    </row>
    <row r="1067" spans="1:5" ht="15.75" x14ac:dyDescent="0.25">
      <c r="A1067" s="7"/>
      <c r="B1067" s="8"/>
      <c r="C1067" s="9"/>
      <c r="D1067" s="5"/>
      <c r="E1067" s="5"/>
    </row>
    <row r="1068" spans="1:5" ht="15.75" x14ac:dyDescent="0.25">
      <c r="A1068" s="7"/>
      <c r="B1068" s="8"/>
      <c r="C1068" s="9"/>
      <c r="D1068" s="5"/>
      <c r="E1068" s="5"/>
    </row>
    <row r="1069" spans="1:5" ht="15.75" x14ac:dyDescent="0.25">
      <c r="A1069" s="7"/>
      <c r="B1069" s="8"/>
      <c r="C1069" s="9"/>
      <c r="D1069" s="5"/>
      <c r="E1069" s="5"/>
    </row>
    <row r="1070" spans="1:5" ht="15.75" x14ac:dyDescent="0.25">
      <c r="A1070" s="7"/>
      <c r="B1070" s="8"/>
      <c r="C1070" s="9"/>
      <c r="D1070" s="5"/>
      <c r="E1070" s="5"/>
    </row>
    <row r="1071" spans="1:5" ht="15.75" x14ac:dyDescent="0.25">
      <c r="A1071" s="7"/>
      <c r="B1071" s="8"/>
      <c r="C1071" s="9"/>
      <c r="D1071" s="5"/>
      <c r="E1071" s="5"/>
    </row>
    <row r="1072" spans="1:5" ht="15.75" x14ac:dyDescent="0.25">
      <c r="A1072" s="7"/>
      <c r="B1072" s="8"/>
      <c r="C1072" s="9"/>
      <c r="D1072" s="5"/>
      <c r="E1072" s="5"/>
    </row>
    <row r="1073" spans="1:5" ht="15.75" x14ac:dyDescent="0.25">
      <c r="A1073" s="7"/>
      <c r="B1073" s="8"/>
      <c r="C1073" s="9"/>
      <c r="D1073" s="5"/>
      <c r="E1073" s="5"/>
    </row>
    <row r="1074" spans="1:5" ht="15.75" x14ac:dyDescent="0.25">
      <c r="A1074" s="7"/>
      <c r="B1074" s="8"/>
      <c r="C1074" s="9"/>
      <c r="D1074" s="5"/>
      <c r="E1074" s="5"/>
    </row>
    <row r="1075" spans="1:5" ht="15.75" x14ac:dyDescent="0.25">
      <c r="A1075" s="7"/>
      <c r="B1075" s="8"/>
      <c r="C1075" s="9"/>
      <c r="D1075" s="5"/>
      <c r="E1075" s="5"/>
    </row>
    <row r="1076" spans="1:5" ht="15.75" x14ac:dyDescent="0.25">
      <c r="A1076" s="7"/>
      <c r="B1076" s="8"/>
      <c r="C1076" s="9"/>
      <c r="D1076" s="5"/>
      <c r="E1076" s="5"/>
    </row>
    <row r="1077" spans="1:5" ht="15.75" x14ac:dyDescent="0.25">
      <c r="A1077" s="7"/>
      <c r="B1077" s="8"/>
      <c r="C1077" s="9"/>
      <c r="D1077" s="5"/>
      <c r="E1077" s="5"/>
    </row>
    <row r="1078" spans="1:5" ht="15.75" x14ac:dyDescent="0.25">
      <c r="A1078" s="7"/>
      <c r="B1078" s="8"/>
      <c r="C1078" s="9"/>
      <c r="D1078" s="5"/>
      <c r="E1078" s="5"/>
    </row>
    <row r="1079" spans="1:5" ht="15.75" x14ac:dyDescent="0.25">
      <c r="A1079" s="7"/>
      <c r="B1079" s="8"/>
      <c r="C1079" s="9"/>
      <c r="D1079" s="5"/>
      <c r="E1079" s="5"/>
    </row>
    <row r="1080" spans="1:5" ht="15.75" x14ac:dyDescent="0.25">
      <c r="A1080" s="7"/>
      <c r="B1080" s="8"/>
      <c r="C1080" s="9"/>
      <c r="D1080" s="5"/>
      <c r="E1080" s="5"/>
    </row>
    <row r="1081" spans="1:5" ht="15.75" x14ac:dyDescent="0.25">
      <c r="A1081" s="7"/>
      <c r="B1081" s="8"/>
      <c r="C1081" s="9"/>
      <c r="D1081" s="5"/>
      <c r="E1081" s="5"/>
    </row>
    <row r="1082" spans="1:5" ht="15.75" x14ac:dyDescent="0.25">
      <c r="A1082" s="7"/>
      <c r="B1082" s="8"/>
      <c r="C1082" s="9"/>
      <c r="D1082" s="5"/>
      <c r="E1082" s="5"/>
    </row>
    <row r="1083" spans="1:5" ht="15.75" x14ac:dyDescent="0.25">
      <c r="A1083" s="7"/>
      <c r="B1083" s="8"/>
      <c r="C1083" s="9"/>
      <c r="D1083" s="5"/>
      <c r="E1083" s="5"/>
    </row>
    <row r="1084" spans="1:5" ht="15.75" x14ac:dyDescent="0.25">
      <c r="A1084" s="7"/>
      <c r="B1084" s="8"/>
      <c r="C1084" s="9"/>
      <c r="D1084" s="5"/>
      <c r="E1084" s="5"/>
    </row>
    <row r="1085" spans="1:5" ht="15.75" x14ac:dyDescent="0.25">
      <c r="A1085" s="7"/>
      <c r="B1085" s="8"/>
      <c r="C1085" s="9"/>
      <c r="D1085" s="5"/>
      <c r="E1085" s="5"/>
    </row>
    <row r="1086" spans="1:5" ht="15.75" x14ac:dyDescent="0.25">
      <c r="A1086" s="7"/>
      <c r="B1086" s="8"/>
      <c r="C1086" s="9"/>
      <c r="D1086" s="5"/>
      <c r="E1086" s="5"/>
    </row>
    <row r="1087" spans="1:5" ht="15.75" x14ac:dyDescent="0.25">
      <c r="A1087" s="7"/>
      <c r="B1087" s="8"/>
      <c r="C1087" s="9"/>
      <c r="D1087" s="5"/>
      <c r="E1087" s="5"/>
    </row>
    <row r="1088" spans="1:5" ht="15.75" x14ac:dyDescent="0.25">
      <c r="A1088" s="7"/>
      <c r="B1088" s="8"/>
      <c r="C1088" s="9"/>
      <c r="D1088" s="5"/>
      <c r="E1088" s="5"/>
    </row>
    <row r="1089" spans="1:5" ht="15.75" x14ac:dyDescent="0.25">
      <c r="A1089" s="7"/>
      <c r="B1089" s="8"/>
      <c r="C1089" s="9"/>
      <c r="D1089" s="5"/>
      <c r="E1089" s="5"/>
    </row>
    <row r="1090" spans="1:5" ht="15.75" x14ac:dyDescent="0.25">
      <c r="A1090" s="7"/>
      <c r="B1090" s="8"/>
      <c r="C1090" s="9"/>
      <c r="D1090" s="5"/>
      <c r="E1090" s="5"/>
    </row>
    <row r="1091" spans="1:5" ht="15.75" x14ac:dyDescent="0.25">
      <c r="A1091" s="7"/>
      <c r="B1091" s="8"/>
      <c r="C1091" s="9"/>
      <c r="D1091" s="5"/>
      <c r="E1091" s="5"/>
    </row>
    <row r="1092" spans="1:5" ht="15.75" x14ac:dyDescent="0.25">
      <c r="A1092" s="7"/>
      <c r="B1092" s="8"/>
      <c r="C1092" s="9"/>
      <c r="D1092" s="5"/>
      <c r="E1092" s="5"/>
    </row>
    <row r="1093" spans="1:5" ht="15.75" x14ac:dyDescent="0.25">
      <c r="A1093" s="7"/>
      <c r="B1093" s="8"/>
      <c r="C1093" s="9"/>
      <c r="D1093" s="5"/>
      <c r="E1093" s="5"/>
    </row>
    <row r="1094" spans="1:5" ht="15.75" x14ac:dyDescent="0.25">
      <c r="A1094" s="7"/>
      <c r="B1094" s="8"/>
      <c r="C1094" s="9"/>
      <c r="D1094" s="5"/>
      <c r="E1094" s="5"/>
    </row>
    <row r="1095" spans="1:5" ht="15.75" x14ac:dyDescent="0.25">
      <c r="A1095" s="7"/>
      <c r="B1095" s="8"/>
      <c r="C1095" s="9"/>
      <c r="D1095" s="5"/>
      <c r="E1095" s="5"/>
    </row>
    <row r="1096" spans="1:5" ht="15.75" x14ac:dyDescent="0.25">
      <c r="A1096" s="7"/>
      <c r="B1096" s="8"/>
      <c r="C1096" s="9"/>
      <c r="D1096" s="5"/>
      <c r="E1096" s="5"/>
    </row>
    <row r="1097" spans="1:5" ht="15.75" x14ac:dyDescent="0.25">
      <c r="A1097" s="7"/>
      <c r="B1097" s="8"/>
      <c r="C1097" s="9"/>
      <c r="D1097" s="5"/>
      <c r="E1097" s="5"/>
    </row>
    <row r="1098" spans="1:5" ht="15.75" x14ac:dyDescent="0.25">
      <c r="A1098" s="7"/>
      <c r="B1098" s="8"/>
      <c r="C1098" s="9"/>
      <c r="D1098" s="5"/>
      <c r="E1098" s="5"/>
    </row>
    <row r="1099" spans="1:5" ht="15.75" x14ac:dyDescent="0.25">
      <c r="A1099" s="7"/>
      <c r="B1099" s="8"/>
      <c r="C1099" s="9"/>
      <c r="D1099" s="5"/>
      <c r="E1099" s="5"/>
    </row>
    <row r="1100" spans="1:5" ht="15.75" x14ac:dyDescent="0.25">
      <c r="A1100" s="7"/>
      <c r="B1100" s="8"/>
      <c r="C1100" s="9"/>
      <c r="D1100" s="5"/>
      <c r="E1100" s="5"/>
    </row>
    <row r="1101" spans="1:5" ht="15.75" x14ac:dyDescent="0.25">
      <c r="A1101" s="7"/>
      <c r="B1101" s="8"/>
      <c r="C1101" s="9"/>
      <c r="D1101" s="5"/>
      <c r="E1101" s="5"/>
    </row>
    <row r="1102" spans="1:5" ht="15.75" x14ac:dyDescent="0.25">
      <c r="A1102" s="7"/>
      <c r="B1102" s="8"/>
      <c r="C1102" s="9"/>
      <c r="D1102" s="5"/>
      <c r="E1102" s="5"/>
    </row>
    <row r="1103" spans="1:5" ht="15.75" x14ac:dyDescent="0.25">
      <c r="A1103" s="7"/>
      <c r="B1103" s="8"/>
      <c r="C1103" s="9"/>
      <c r="D1103" s="5"/>
      <c r="E1103" s="5"/>
    </row>
    <row r="1104" spans="1:5" ht="15.75" x14ac:dyDescent="0.25">
      <c r="A1104" s="7"/>
      <c r="B1104" s="8"/>
      <c r="C1104" s="9"/>
      <c r="D1104" s="5"/>
      <c r="E1104" s="5"/>
    </row>
    <row r="1105" spans="1:5" ht="15.75" x14ac:dyDescent="0.25">
      <c r="A1105" s="7"/>
      <c r="B1105" s="8"/>
      <c r="C1105" s="9"/>
      <c r="D1105" s="5"/>
      <c r="E1105" s="5"/>
    </row>
    <row r="1106" spans="1:5" ht="15.75" x14ac:dyDescent="0.25">
      <c r="A1106" s="7"/>
      <c r="B1106" s="8"/>
      <c r="C1106" s="9"/>
      <c r="D1106" s="5"/>
      <c r="E1106" s="5"/>
    </row>
    <row r="1107" spans="1:5" ht="15.75" x14ac:dyDescent="0.25">
      <c r="A1107" s="7"/>
      <c r="B1107" s="8"/>
      <c r="C1107" s="9"/>
      <c r="D1107" s="5"/>
      <c r="E1107" s="5"/>
    </row>
    <row r="1108" spans="1:5" ht="15.75" x14ac:dyDescent="0.25">
      <c r="A1108" s="7"/>
      <c r="B1108" s="8"/>
      <c r="C1108" s="9"/>
      <c r="D1108" s="5"/>
      <c r="E1108" s="5"/>
    </row>
    <row r="1109" spans="1:5" ht="15.75" x14ac:dyDescent="0.25">
      <c r="A1109" s="7"/>
      <c r="B1109" s="8"/>
      <c r="C1109" s="9"/>
      <c r="D1109" s="5"/>
      <c r="E1109" s="5"/>
    </row>
    <row r="1110" spans="1:5" ht="15.75" x14ac:dyDescent="0.25">
      <c r="A1110" s="7"/>
      <c r="B1110" s="8"/>
      <c r="C1110" s="9"/>
      <c r="D1110" s="5"/>
      <c r="E1110" s="5"/>
    </row>
    <row r="1111" spans="1:5" ht="15.75" x14ac:dyDescent="0.25">
      <c r="A1111" s="7"/>
      <c r="B1111" s="8"/>
      <c r="C1111" s="9"/>
      <c r="D1111" s="5"/>
      <c r="E1111" s="5"/>
    </row>
    <row r="1112" spans="1:5" ht="15.75" x14ac:dyDescent="0.25">
      <c r="A1112" s="7"/>
      <c r="B1112" s="8"/>
      <c r="C1112" s="9"/>
      <c r="D1112" s="5"/>
      <c r="E1112" s="5"/>
    </row>
    <row r="1113" spans="1:5" ht="15.75" x14ac:dyDescent="0.25">
      <c r="A1113" s="7"/>
      <c r="B1113" s="8"/>
      <c r="C1113" s="9"/>
      <c r="D1113" s="5"/>
      <c r="E1113" s="5"/>
    </row>
    <row r="1114" spans="1:5" ht="15.75" x14ac:dyDescent="0.25">
      <c r="A1114" s="7"/>
      <c r="B1114" s="8"/>
      <c r="C1114" s="9"/>
      <c r="D1114" s="5"/>
      <c r="E1114" s="5"/>
    </row>
    <row r="1115" spans="1:5" ht="15.75" x14ac:dyDescent="0.25">
      <c r="A1115" s="7"/>
      <c r="B1115" s="8"/>
      <c r="C1115" s="9"/>
      <c r="D1115" s="5"/>
      <c r="E1115" s="5"/>
    </row>
    <row r="1116" spans="1:5" ht="15.75" x14ac:dyDescent="0.25">
      <c r="A1116" s="7"/>
      <c r="B1116" s="8"/>
      <c r="C1116" s="9"/>
      <c r="D1116" s="5"/>
      <c r="E1116" s="5"/>
    </row>
    <row r="1117" spans="1:5" ht="15.75" x14ac:dyDescent="0.25">
      <c r="A1117" s="7"/>
      <c r="B1117" s="8"/>
      <c r="C1117" s="9"/>
      <c r="D1117" s="5"/>
      <c r="E1117" s="5"/>
    </row>
    <row r="1118" spans="1:5" ht="15.75" x14ac:dyDescent="0.25">
      <c r="A1118" s="7"/>
      <c r="B1118" s="8"/>
      <c r="C1118" s="9"/>
      <c r="D1118" s="5"/>
      <c r="E1118" s="5"/>
    </row>
    <row r="1119" spans="1:5" ht="15.75" x14ac:dyDescent="0.25">
      <c r="A1119" s="7"/>
      <c r="B1119" s="8"/>
      <c r="C1119" s="9"/>
      <c r="D1119" s="5"/>
      <c r="E1119" s="5"/>
    </row>
    <row r="1120" spans="1:5" ht="15.75" x14ac:dyDescent="0.25">
      <c r="A1120" s="7"/>
      <c r="B1120" s="8"/>
      <c r="C1120" s="9"/>
      <c r="D1120" s="5"/>
      <c r="E1120" s="5"/>
    </row>
    <row r="1121" spans="1:5" ht="15.75" x14ac:dyDescent="0.25">
      <c r="A1121" s="7"/>
      <c r="B1121" s="8"/>
      <c r="C1121" s="9"/>
      <c r="D1121" s="5"/>
      <c r="E1121" s="5"/>
    </row>
    <row r="1122" spans="1:5" ht="15.75" x14ac:dyDescent="0.25">
      <c r="A1122" s="7"/>
      <c r="B1122" s="8"/>
      <c r="C1122" s="9"/>
      <c r="D1122" s="5"/>
      <c r="E1122" s="5"/>
    </row>
    <row r="1123" spans="1:5" ht="15.75" x14ac:dyDescent="0.25">
      <c r="A1123" s="7"/>
      <c r="B1123" s="8"/>
      <c r="C1123" s="9"/>
      <c r="D1123" s="5"/>
      <c r="E1123" s="5"/>
    </row>
    <row r="1124" spans="1:5" ht="15.75" x14ac:dyDescent="0.25">
      <c r="A1124" s="7"/>
      <c r="B1124" s="8"/>
      <c r="C1124" s="9"/>
      <c r="D1124" s="5"/>
      <c r="E1124" s="5"/>
    </row>
    <row r="1125" spans="1:5" ht="15.75" x14ac:dyDescent="0.25">
      <c r="A1125" s="7"/>
      <c r="B1125" s="8"/>
      <c r="C1125" s="9"/>
      <c r="D1125" s="5"/>
      <c r="E1125" s="5"/>
    </row>
    <row r="1126" spans="1:5" ht="15.75" x14ac:dyDescent="0.25">
      <c r="A1126" s="7"/>
      <c r="B1126" s="8"/>
      <c r="C1126" s="9"/>
      <c r="D1126" s="5"/>
      <c r="E1126" s="5"/>
    </row>
    <row r="1127" spans="1:5" ht="15.75" x14ac:dyDescent="0.25">
      <c r="A1127" s="7"/>
      <c r="B1127" s="8"/>
      <c r="C1127" s="9"/>
      <c r="D1127" s="5"/>
      <c r="E1127" s="5"/>
    </row>
    <row r="1128" spans="1:5" ht="15.75" x14ac:dyDescent="0.25">
      <c r="A1128" s="7"/>
      <c r="B1128" s="8"/>
      <c r="C1128" s="9"/>
      <c r="D1128" s="5"/>
      <c r="E1128" s="5"/>
    </row>
    <row r="1129" spans="1:5" ht="15.75" x14ac:dyDescent="0.25">
      <c r="A1129" s="7"/>
      <c r="B1129" s="8"/>
      <c r="C1129" s="9"/>
      <c r="D1129" s="5"/>
      <c r="E1129" s="5"/>
    </row>
    <row r="1130" spans="1:5" ht="15.75" x14ac:dyDescent="0.25">
      <c r="A1130" s="7"/>
      <c r="B1130" s="8"/>
      <c r="C1130" s="9"/>
      <c r="D1130" s="5"/>
      <c r="E1130" s="5"/>
    </row>
    <row r="1131" spans="1:5" ht="15.75" x14ac:dyDescent="0.25">
      <c r="A1131" s="7"/>
      <c r="B1131" s="8"/>
      <c r="C1131" s="9"/>
      <c r="D1131" s="5"/>
      <c r="E1131" s="5"/>
    </row>
    <row r="1132" spans="1:5" ht="15.75" x14ac:dyDescent="0.25">
      <c r="A1132" s="7"/>
      <c r="B1132" s="8"/>
      <c r="C1132" s="9"/>
      <c r="D1132" s="5"/>
      <c r="E1132" s="5"/>
    </row>
    <row r="1133" spans="1:5" ht="15.75" x14ac:dyDescent="0.25">
      <c r="A1133" s="7"/>
      <c r="B1133" s="8"/>
      <c r="C1133" s="9"/>
      <c r="D1133" s="5"/>
      <c r="E1133" s="5"/>
    </row>
    <row r="1134" spans="1:5" ht="15.75" x14ac:dyDescent="0.25">
      <c r="A1134" s="7"/>
      <c r="B1134" s="8"/>
      <c r="C1134" s="9"/>
      <c r="D1134" s="5"/>
      <c r="E1134" s="5"/>
    </row>
    <row r="1135" spans="1:5" ht="15.75" x14ac:dyDescent="0.25">
      <c r="A1135" s="7"/>
      <c r="B1135" s="8"/>
      <c r="C1135" s="9"/>
      <c r="D1135" s="5"/>
      <c r="E1135" s="5"/>
    </row>
    <row r="1136" spans="1:5" ht="15.75" x14ac:dyDescent="0.25">
      <c r="A1136" s="7"/>
      <c r="B1136" s="8"/>
      <c r="C1136" s="9"/>
      <c r="D1136" s="5"/>
      <c r="E1136" s="5"/>
    </row>
    <row r="1137" spans="1:5" ht="15.75" x14ac:dyDescent="0.25">
      <c r="A1137" s="7"/>
      <c r="B1137" s="8"/>
      <c r="C1137" s="9"/>
      <c r="D1137" s="5"/>
      <c r="E1137" s="5"/>
    </row>
    <row r="1138" spans="1:5" ht="15.75" x14ac:dyDescent="0.25">
      <c r="A1138" s="7"/>
      <c r="B1138" s="8"/>
      <c r="C1138" s="9"/>
      <c r="D1138" s="5"/>
      <c r="E1138" s="5"/>
    </row>
    <row r="1139" spans="1:5" ht="15.75" x14ac:dyDescent="0.25">
      <c r="A1139" s="7"/>
      <c r="B1139" s="8"/>
      <c r="C1139" s="9"/>
      <c r="D1139" s="5"/>
      <c r="E1139" s="5"/>
    </row>
    <row r="1140" spans="1:5" ht="15.75" x14ac:dyDescent="0.25">
      <c r="A1140" s="7"/>
      <c r="B1140" s="8"/>
      <c r="C1140" s="9"/>
      <c r="D1140" s="5"/>
      <c r="E1140" s="5"/>
    </row>
    <row r="1141" spans="1:5" ht="15.75" x14ac:dyDescent="0.25">
      <c r="A1141" s="7"/>
      <c r="B1141" s="8"/>
      <c r="C1141" s="9"/>
      <c r="D1141" s="5"/>
      <c r="E1141" s="5"/>
    </row>
    <row r="1142" spans="1:5" ht="15.75" x14ac:dyDescent="0.25">
      <c r="A1142" s="7"/>
      <c r="B1142" s="8"/>
      <c r="C1142" s="9"/>
      <c r="D1142" s="5"/>
      <c r="E1142" s="5"/>
    </row>
    <row r="1143" spans="1:5" ht="15.75" x14ac:dyDescent="0.25">
      <c r="A1143" s="7"/>
      <c r="B1143" s="8"/>
      <c r="C1143" s="9"/>
      <c r="D1143" s="5"/>
      <c r="E1143" s="5"/>
    </row>
    <row r="1144" spans="1:5" ht="15.75" x14ac:dyDescent="0.25">
      <c r="A1144" s="7"/>
      <c r="B1144" s="8"/>
      <c r="C1144" s="9"/>
      <c r="D1144" s="5"/>
      <c r="E1144" s="5"/>
    </row>
    <row r="1145" spans="1:5" ht="15.75" x14ac:dyDescent="0.25">
      <c r="A1145" s="7"/>
      <c r="B1145" s="8"/>
      <c r="C1145" s="9"/>
      <c r="D1145" s="5"/>
      <c r="E1145" s="5"/>
    </row>
    <row r="1146" spans="1:5" ht="15.75" x14ac:dyDescent="0.25">
      <c r="A1146" s="7"/>
      <c r="B1146" s="8"/>
      <c r="C1146" s="9"/>
      <c r="D1146" s="5"/>
      <c r="E1146" s="5"/>
    </row>
    <row r="1147" spans="1:5" ht="15.75" x14ac:dyDescent="0.25">
      <c r="A1147" s="7"/>
      <c r="B1147" s="8"/>
      <c r="C1147" s="9"/>
      <c r="D1147" s="5"/>
      <c r="E1147" s="5"/>
    </row>
    <row r="1148" spans="1:5" ht="15.75" x14ac:dyDescent="0.25">
      <c r="A1148" s="7"/>
      <c r="B1148" s="8"/>
      <c r="C1148" s="9"/>
      <c r="D1148" s="5"/>
      <c r="E1148" s="5"/>
    </row>
    <row r="1149" spans="1:5" ht="15.75" x14ac:dyDescent="0.25">
      <c r="A1149" s="7"/>
      <c r="B1149" s="8"/>
      <c r="C1149" s="9"/>
      <c r="D1149" s="5"/>
      <c r="E1149" s="5"/>
    </row>
    <row r="1150" spans="1:5" ht="15.75" x14ac:dyDescent="0.25">
      <c r="A1150" s="7"/>
      <c r="B1150" s="8"/>
      <c r="C1150" s="9"/>
      <c r="D1150" s="5"/>
      <c r="E1150" s="5"/>
    </row>
    <row r="1151" spans="1:5" ht="15.75" x14ac:dyDescent="0.25">
      <c r="A1151" s="7"/>
      <c r="B1151" s="8"/>
      <c r="C1151" s="9"/>
      <c r="D1151" s="5"/>
      <c r="E1151" s="5"/>
    </row>
    <row r="1152" spans="1:5" ht="15.75" x14ac:dyDescent="0.25">
      <c r="A1152" s="7"/>
      <c r="B1152" s="8"/>
      <c r="C1152" s="9"/>
      <c r="D1152" s="5"/>
      <c r="E1152" s="5"/>
    </row>
    <row r="1153" spans="1:5" ht="15.75" x14ac:dyDescent="0.25">
      <c r="A1153" s="7"/>
      <c r="B1153" s="8"/>
      <c r="C1153" s="9"/>
      <c r="D1153" s="5"/>
      <c r="E1153" s="5"/>
    </row>
    <row r="1154" spans="1:5" ht="15.75" x14ac:dyDescent="0.25">
      <c r="A1154" s="7"/>
      <c r="B1154" s="8"/>
      <c r="C1154" s="9"/>
      <c r="D1154" s="5"/>
      <c r="E1154" s="5"/>
    </row>
    <row r="1155" spans="1:5" ht="15.75" x14ac:dyDescent="0.25">
      <c r="A1155" s="7"/>
      <c r="B1155" s="8"/>
      <c r="C1155" s="9"/>
      <c r="D1155" s="5"/>
      <c r="E1155" s="5"/>
    </row>
    <row r="1156" spans="1:5" ht="15.75" x14ac:dyDescent="0.25">
      <c r="A1156" s="7"/>
      <c r="B1156" s="8"/>
      <c r="C1156" s="9"/>
      <c r="D1156" s="5"/>
      <c r="E1156" s="5"/>
    </row>
    <row r="1157" spans="1:5" ht="15.75" x14ac:dyDescent="0.25">
      <c r="A1157" s="7"/>
      <c r="B1157" s="8"/>
      <c r="C1157" s="9"/>
      <c r="D1157" s="5"/>
      <c r="E1157" s="5"/>
    </row>
    <row r="1158" spans="1:5" ht="15.75" x14ac:dyDescent="0.25">
      <c r="A1158" s="7"/>
      <c r="B1158" s="8"/>
      <c r="C1158" s="9"/>
      <c r="D1158" s="5"/>
      <c r="E1158" s="5"/>
    </row>
    <row r="1159" spans="1:5" ht="15.75" x14ac:dyDescent="0.25">
      <c r="A1159" s="7"/>
      <c r="B1159" s="8"/>
      <c r="C1159" s="9"/>
      <c r="D1159" s="5"/>
      <c r="E1159" s="5"/>
    </row>
    <row r="1160" spans="1:5" ht="15.75" x14ac:dyDescent="0.25">
      <c r="A1160" s="7"/>
      <c r="B1160" s="8"/>
      <c r="C1160" s="9"/>
      <c r="D1160" s="5"/>
      <c r="E1160" s="5"/>
    </row>
    <row r="1161" spans="1:5" ht="15.75" x14ac:dyDescent="0.25">
      <c r="A1161" s="7"/>
      <c r="B1161" s="8"/>
      <c r="C1161" s="9"/>
      <c r="D1161" s="5"/>
      <c r="E1161" s="5"/>
    </row>
    <row r="1162" spans="1:5" ht="15.75" x14ac:dyDescent="0.25">
      <c r="A1162" s="7"/>
      <c r="B1162" s="8"/>
      <c r="C1162" s="9"/>
      <c r="D1162" s="5"/>
      <c r="E1162" s="5"/>
    </row>
    <row r="1163" spans="1:5" ht="15.75" x14ac:dyDescent="0.25">
      <c r="A1163" s="7"/>
      <c r="B1163" s="8"/>
      <c r="C1163" s="9"/>
      <c r="D1163" s="5"/>
      <c r="E1163" s="5"/>
    </row>
    <row r="1164" spans="1:5" ht="15.75" x14ac:dyDescent="0.25">
      <c r="A1164" s="7"/>
      <c r="B1164" s="8"/>
      <c r="C1164" s="9"/>
      <c r="D1164" s="5"/>
      <c r="E1164" s="5"/>
    </row>
    <row r="1165" spans="1:5" ht="15.75" x14ac:dyDescent="0.25">
      <c r="A1165" s="7"/>
      <c r="B1165" s="8"/>
      <c r="C1165" s="9"/>
      <c r="D1165" s="5"/>
      <c r="E1165" s="5"/>
    </row>
    <row r="1166" spans="1:5" ht="15.75" x14ac:dyDescent="0.25">
      <c r="A1166" s="7"/>
      <c r="B1166" s="8"/>
      <c r="C1166" s="9"/>
      <c r="D1166" s="5"/>
      <c r="E1166" s="5"/>
    </row>
    <row r="1167" spans="1:5" ht="15.75" x14ac:dyDescent="0.25">
      <c r="A1167" s="7"/>
      <c r="B1167" s="8"/>
      <c r="C1167" s="9"/>
      <c r="D1167" s="5"/>
      <c r="E1167" s="5"/>
    </row>
    <row r="1168" spans="1:5" ht="15.75" x14ac:dyDescent="0.25">
      <c r="A1168" s="7"/>
      <c r="B1168" s="8"/>
      <c r="C1168" s="9"/>
      <c r="D1168" s="5"/>
      <c r="E1168" s="5"/>
    </row>
    <row r="1169" spans="1:5" ht="15.75" x14ac:dyDescent="0.25">
      <c r="A1169" s="7"/>
      <c r="B1169" s="8"/>
      <c r="C1169" s="9"/>
      <c r="D1169" s="5"/>
      <c r="E1169" s="5"/>
    </row>
    <row r="1170" spans="1:5" ht="15.75" x14ac:dyDescent="0.25">
      <c r="A1170" s="7"/>
      <c r="B1170" s="8"/>
      <c r="C1170" s="9"/>
      <c r="D1170" s="5"/>
      <c r="E1170" s="5"/>
    </row>
    <row r="1171" spans="1:5" ht="15.75" x14ac:dyDescent="0.25">
      <c r="A1171" s="7"/>
      <c r="B1171" s="8"/>
      <c r="C1171" s="9"/>
      <c r="D1171" s="5"/>
      <c r="E1171" s="5"/>
    </row>
    <row r="1172" spans="1:5" ht="15.75" x14ac:dyDescent="0.25">
      <c r="A1172" s="7"/>
      <c r="B1172" s="8"/>
      <c r="C1172" s="9"/>
      <c r="D1172" s="5"/>
      <c r="E1172" s="5"/>
    </row>
    <row r="1173" spans="1:5" ht="15.75" x14ac:dyDescent="0.25">
      <c r="A1173" s="7"/>
      <c r="B1173" s="8"/>
      <c r="C1173" s="9"/>
      <c r="D1173" s="5"/>
      <c r="E1173" s="5"/>
    </row>
    <row r="1174" spans="1:5" ht="15.75" x14ac:dyDescent="0.25">
      <c r="A1174" s="7"/>
      <c r="B1174" s="8"/>
      <c r="C1174" s="9"/>
      <c r="D1174" s="5"/>
      <c r="E1174" s="5"/>
    </row>
    <row r="1175" spans="1:5" ht="15.75" x14ac:dyDescent="0.25">
      <c r="A1175" s="7"/>
      <c r="B1175" s="8"/>
      <c r="C1175" s="9"/>
      <c r="D1175" s="5"/>
      <c r="E1175" s="5"/>
    </row>
    <row r="1176" spans="1:5" ht="15.75" x14ac:dyDescent="0.25">
      <c r="A1176" s="7"/>
      <c r="B1176" s="8"/>
      <c r="C1176" s="9"/>
      <c r="D1176" s="5"/>
      <c r="E1176" s="5"/>
    </row>
    <row r="1177" spans="1:5" ht="15.75" x14ac:dyDescent="0.25">
      <c r="A1177" s="7"/>
      <c r="B1177" s="8"/>
      <c r="C1177" s="9"/>
      <c r="D1177" s="5"/>
      <c r="E1177" s="5"/>
    </row>
    <row r="1178" spans="1:5" ht="15.75" x14ac:dyDescent="0.25">
      <c r="A1178" s="7"/>
      <c r="B1178" s="8"/>
      <c r="C1178" s="9"/>
      <c r="D1178" s="5"/>
      <c r="E1178" s="5"/>
    </row>
    <row r="1179" spans="1:5" ht="15.75" x14ac:dyDescent="0.25">
      <c r="A1179" s="7"/>
      <c r="B1179" s="8"/>
      <c r="C1179" s="9"/>
      <c r="D1179" s="5"/>
      <c r="E1179" s="5"/>
    </row>
    <row r="1180" spans="1:5" ht="15.75" x14ac:dyDescent="0.25">
      <c r="A1180" s="7"/>
      <c r="B1180" s="8"/>
      <c r="C1180" s="9"/>
      <c r="D1180" s="5"/>
      <c r="E1180" s="5"/>
    </row>
    <row r="1181" spans="1:5" ht="15.75" x14ac:dyDescent="0.25">
      <c r="A1181" s="7"/>
      <c r="B1181" s="8"/>
      <c r="C1181" s="9"/>
      <c r="D1181" s="5"/>
      <c r="E1181" s="5"/>
    </row>
    <row r="1182" spans="1:5" ht="15.75" x14ac:dyDescent="0.25">
      <c r="A1182" s="7"/>
      <c r="B1182" s="8"/>
      <c r="C1182" s="9"/>
      <c r="D1182" s="5"/>
      <c r="E1182" s="5"/>
    </row>
    <row r="1183" spans="1:5" ht="15.75" x14ac:dyDescent="0.25">
      <c r="A1183" s="7"/>
      <c r="B1183" s="8"/>
      <c r="C1183" s="9"/>
      <c r="D1183" s="5"/>
      <c r="E1183" s="5"/>
    </row>
    <row r="1184" spans="1:5" ht="15.75" x14ac:dyDescent="0.25">
      <c r="A1184" s="7"/>
      <c r="B1184" s="8"/>
      <c r="C1184" s="9"/>
      <c r="D1184" s="5"/>
      <c r="E1184" s="5"/>
    </row>
    <row r="1185" spans="1:5" ht="15.75" x14ac:dyDescent="0.25">
      <c r="A1185" s="7"/>
      <c r="B1185" s="8"/>
      <c r="C1185" s="9"/>
      <c r="D1185" s="5"/>
      <c r="E1185" s="5"/>
    </row>
    <row r="1186" spans="1:5" ht="15.75" x14ac:dyDescent="0.25">
      <c r="A1186" s="7"/>
      <c r="B1186" s="8"/>
      <c r="C1186" s="9"/>
      <c r="D1186" s="5"/>
      <c r="E1186" s="5"/>
    </row>
    <row r="1187" spans="1:5" ht="15.75" x14ac:dyDescent="0.25">
      <c r="A1187" s="7"/>
      <c r="B1187" s="8"/>
      <c r="C1187" s="9"/>
      <c r="D1187" s="5"/>
      <c r="E1187" s="5"/>
    </row>
    <row r="1188" spans="1:5" ht="15.75" x14ac:dyDescent="0.25">
      <c r="A1188" s="7"/>
      <c r="B1188" s="8"/>
      <c r="C1188" s="9"/>
      <c r="D1188" s="5"/>
      <c r="E1188" s="5"/>
    </row>
    <row r="1189" spans="1:5" ht="15.75" x14ac:dyDescent="0.25">
      <c r="A1189" s="7"/>
      <c r="B1189" s="8"/>
      <c r="C1189" s="9"/>
      <c r="D1189" s="5"/>
      <c r="E1189" s="5"/>
    </row>
    <row r="1190" spans="1:5" ht="15.75" x14ac:dyDescent="0.25">
      <c r="A1190" s="7"/>
      <c r="B1190" s="8"/>
      <c r="C1190" s="9"/>
      <c r="D1190" s="5"/>
      <c r="E1190" s="5"/>
    </row>
    <row r="1191" spans="1:5" ht="15.75" x14ac:dyDescent="0.25">
      <c r="A1191" s="7"/>
      <c r="B1191" s="8"/>
      <c r="C1191" s="9"/>
      <c r="D1191" s="5"/>
      <c r="E1191" s="5"/>
    </row>
    <row r="1192" spans="1:5" ht="15.75" x14ac:dyDescent="0.25">
      <c r="A1192" s="7"/>
      <c r="B1192" s="8"/>
      <c r="C1192" s="9"/>
      <c r="D1192" s="5"/>
      <c r="E1192" s="5"/>
    </row>
    <row r="1193" spans="1:5" ht="15.75" x14ac:dyDescent="0.25">
      <c r="A1193" s="7"/>
      <c r="B1193" s="8"/>
      <c r="C1193" s="9"/>
      <c r="D1193" s="5"/>
      <c r="E1193" s="5"/>
    </row>
    <row r="1194" spans="1:5" ht="15.75" x14ac:dyDescent="0.25">
      <c r="A1194" s="7"/>
      <c r="B1194" s="8"/>
      <c r="C1194" s="9"/>
      <c r="D1194" s="5"/>
      <c r="E1194" s="5"/>
    </row>
    <row r="1195" spans="1:5" ht="15.75" x14ac:dyDescent="0.25">
      <c r="A1195" s="7"/>
      <c r="B1195" s="8"/>
      <c r="C1195" s="9"/>
      <c r="D1195" s="5"/>
      <c r="E1195" s="5"/>
    </row>
    <row r="1196" spans="1:5" ht="15.75" x14ac:dyDescent="0.25">
      <c r="A1196" s="7"/>
      <c r="B1196" s="8"/>
      <c r="C1196" s="9"/>
      <c r="D1196" s="5"/>
      <c r="E1196" s="5"/>
    </row>
    <row r="1197" spans="1:5" ht="15.75" x14ac:dyDescent="0.25">
      <c r="A1197" s="7"/>
      <c r="B1197" s="8"/>
      <c r="C1197" s="9"/>
      <c r="D1197" s="5"/>
      <c r="E1197" s="5"/>
    </row>
    <row r="1198" spans="1:5" ht="15.75" x14ac:dyDescent="0.25">
      <c r="A1198" s="7"/>
      <c r="B1198" s="8"/>
      <c r="C1198" s="9"/>
      <c r="D1198" s="5"/>
      <c r="E1198" s="5"/>
    </row>
    <row r="1199" spans="1:5" ht="15.75" x14ac:dyDescent="0.25">
      <c r="A1199" s="7"/>
      <c r="B1199" s="8"/>
      <c r="C1199" s="9"/>
      <c r="D1199" s="5"/>
      <c r="E1199" s="5"/>
    </row>
    <row r="1200" spans="1:5" ht="15.75" x14ac:dyDescent="0.25">
      <c r="A1200" s="7"/>
      <c r="B1200" s="8"/>
      <c r="C1200" s="9"/>
      <c r="D1200" s="5"/>
      <c r="E1200" s="5"/>
    </row>
    <row r="1201" spans="1:5" ht="15.75" x14ac:dyDescent="0.25">
      <c r="A1201" s="7"/>
      <c r="B1201" s="8"/>
      <c r="C1201" s="9"/>
      <c r="D1201" s="5"/>
      <c r="E1201" s="5"/>
    </row>
    <row r="1202" spans="1:5" ht="15.75" x14ac:dyDescent="0.25">
      <c r="A1202" s="7"/>
      <c r="B1202" s="8"/>
      <c r="C1202" s="9"/>
      <c r="D1202" s="5"/>
      <c r="E1202" s="5"/>
    </row>
    <row r="1203" spans="1:5" ht="15.75" x14ac:dyDescent="0.25">
      <c r="A1203" s="7"/>
      <c r="B1203" s="8"/>
      <c r="C1203" s="9"/>
      <c r="D1203" s="5"/>
      <c r="E1203" s="5"/>
    </row>
    <row r="1204" spans="1:5" ht="15.75" x14ac:dyDescent="0.25">
      <c r="A1204" s="7"/>
      <c r="B1204" s="8"/>
      <c r="C1204" s="9"/>
      <c r="D1204" s="5"/>
      <c r="E1204" s="5"/>
    </row>
    <row r="1205" spans="1:5" ht="15.75" x14ac:dyDescent="0.25">
      <c r="A1205" s="7"/>
      <c r="B1205" s="8"/>
      <c r="C1205" s="9"/>
      <c r="D1205" s="5"/>
      <c r="E1205" s="5"/>
    </row>
    <row r="1206" spans="1:5" ht="15.75" x14ac:dyDescent="0.25">
      <c r="A1206" s="7"/>
      <c r="B1206" s="8"/>
      <c r="C1206" s="9"/>
      <c r="D1206" s="5"/>
      <c r="E1206" s="5"/>
    </row>
    <row r="1207" spans="1:5" ht="15.75" x14ac:dyDescent="0.25">
      <c r="A1207" s="7"/>
      <c r="B1207" s="8"/>
      <c r="C1207" s="9"/>
      <c r="D1207" s="5"/>
      <c r="E1207" s="5"/>
    </row>
    <row r="1208" spans="1:5" ht="15.75" x14ac:dyDescent="0.25">
      <c r="A1208" s="7"/>
      <c r="B1208" s="8"/>
      <c r="C1208" s="9"/>
      <c r="D1208" s="5"/>
      <c r="E1208" s="5"/>
    </row>
    <row r="1209" spans="1:5" ht="15.75" x14ac:dyDescent="0.25">
      <c r="A1209" s="7"/>
      <c r="B1209" s="8"/>
      <c r="C1209" s="9"/>
      <c r="D1209" s="5"/>
      <c r="E1209" s="5"/>
    </row>
    <row r="1210" spans="1:5" ht="15.75" x14ac:dyDescent="0.25">
      <c r="A1210" s="7"/>
      <c r="B1210" s="8"/>
      <c r="C1210" s="9"/>
      <c r="D1210" s="5"/>
      <c r="E1210" s="5"/>
    </row>
    <row r="1211" spans="1:5" ht="15.75" x14ac:dyDescent="0.25">
      <c r="A1211" s="7"/>
      <c r="B1211" s="8"/>
      <c r="C1211" s="9"/>
      <c r="D1211" s="5"/>
      <c r="E1211" s="5"/>
    </row>
    <row r="1212" spans="1:5" ht="15.75" x14ac:dyDescent="0.25">
      <c r="A1212" s="7"/>
      <c r="B1212" s="8"/>
      <c r="C1212" s="9"/>
      <c r="D1212" s="5"/>
      <c r="E1212" s="5"/>
    </row>
    <row r="1213" spans="1:5" ht="15.75" x14ac:dyDescent="0.25">
      <c r="A1213" s="7"/>
      <c r="B1213" s="8"/>
      <c r="C1213" s="9"/>
      <c r="D1213" s="5"/>
      <c r="E1213" s="5"/>
    </row>
    <row r="1214" spans="1:5" ht="15.75" x14ac:dyDescent="0.25">
      <c r="A1214" s="7"/>
      <c r="B1214" s="8"/>
      <c r="C1214" s="9"/>
      <c r="D1214" s="5"/>
      <c r="E1214" s="5"/>
    </row>
    <row r="1215" spans="1:5" ht="15.75" x14ac:dyDescent="0.25">
      <c r="A1215" s="7"/>
      <c r="B1215" s="8"/>
      <c r="C1215" s="9"/>
      <c r="D1215" s="5"/>
      <c r="E1215" s="5"/>
    </row>
    <row r="1216" spans="1:5" ht="15.75" x14ac:dyDescent="0.25">
      <c r="A1216" s="7"/>
      <c r="B1216" s="8"/>
      <c r="C1216" s="9"/>
      <c r="D1216" s="5"/>
      <c r="E1216" s="5"/>
    </row>
    <row r="1217" spans="1:5" ht="15.75" x14ac:dyDescent="0.25">
      <c r="A1217" s="7"/>
      <c r="B1217" s="8"/>
      <c r="C1217" s="9"/>
      <c r="D1217" s="5"/>
      <c r="E1217" s="5"/>
    </row>
    <row r="1218" spans="1:5" ht="15.75" x14ac:dyDescent="0.25">
      <c r="A1218" s="7"/>
      <c r="B1218" s="8"/>
      <c r="C1218" s="9"/>
      <c r="D1218" s="5"/>
      <c r="E1218" s="5"/>
    </row>
    <row r="1219" spans="1:5" ht="15.75" x14ac:dyDescent="0.25">
      <c r="A1219" s="7"/>
      <c r="B1219" s="8"/>
      <c r="C1219" s="9"/>
      <c r="D1219" s="5"/>
      <c r="E1219" s="5"/>
    </row>
    <row r="1220" spans="1:5" ht="15.75" x14ac:dyDescent="0.25">
      <c r="A1220" s="7"/>
      <c r="B1220" s="8"/>
      <c r="C1220" s="9"/>
      <c r="D1220" s="5"/>
      <c r="E1220" s="5"/>
    </row>
    <row r="1221" spans="1:5" ht="15.75" x14ac:dyDescent="0.25">
      <c r="A1221" s="7"/>
      <c r="B1221" s="8"/>
      <c r="C1221" s="9"/>
      <c r="D1221" s="5"/>
      <c r="E1221" s="5"/>
    </row>
    <row r="1222" spans="1:5" ht="15.75" x14ac:dyDescent="0.25">
      <c r="A1222" s="7"/>
      <c r="B1222" s="8"/>
      <c r="C1222" s="9"/>
      <c r="D1222" s="5"/>
      <c r="E1222" s="5"/>
    </row>
    <row r="1223" spans="1:5" ht="15.75" x14ac:dyDescent="0.25">
      <c r="A1223" s="7"/>
      <c r="B1223" s="8"/>
      <c r="C1223" s="9"/>
      <c r="D1223" s="5"/>
      <c r="E1223" s="5"/>
    </row>
    <row r="1224" spans="1:5" ht="15.75" x14ac:dyDescent="0.25">
      <c r="A1224" s="7"/>
      <c r="B1224" s="8"/>
      <c r="C1224" s="9"/>
      <c r="D1224" s="5"/>
      <c r="E1224" s="5"/>
    </row>
    <row r="1225" spans="1:5" ht="15.75" x14ac:dyDescent="0.25">
      <c r="A1225" s="7"/>
      <c r="B1225" s="8"/>
      <c r="C1225" s="9"/>
      <c r="D1225" s="5"/>
      <c r="E1225" s="5"/>
    </row>
    <row r="1226" spans="1:5" ht="15.75" x14ac:dyDescent="0.25">
      <c r="A1226" s="7"/>
      <c r="B1226" s="8"/>
      <c r="C1226" s="9"/>
      <c r="D1226" s="5"/>
      <c r="E1226" s="5"/>
    </row>
    <row r="1227" spans="1:5" ht="15.75" x14ac:dyDescent="0.25">
      <c r="A1227" s="7"/>
      <c r="B1227" s="8"/>
      <c r="C1227" s="9"/>
      <c r="D1227" s="5"/>
      <c r="E1227" s="5"/>
    </row>
    <row r="1228" spans="1:5" ht="15.75" x14ac:dyDescent="0.25">
      <c r="A1228" s="7"/>
      <c r="B1228" s="8"/>
      <c r="C1228" s="9"/>
      <c r="D1228" s="5"/>
      <c r="E1228" s="5"/>
    </row>
    <row r="1229" spans="1:5" ht="15.75" x14ac:dyDescent="0.25">
      <c r="A1229" s="7"/>
      <c r="B1229" s="8"/>
      <c r="C1229" s="9"/>
      <c r="D1229" s="5"/>
      <c r="E1229" s="5"/>
    </row>
    <row r="1230" spans="1:5" ht="15.75" x14ac:dyDescent="0.25">
      <c r="A1230" s="7"/>
      <c r="B1230" s="8"/>
      <c r="C1230" s="9"/>
      <c r="D1230" s="5"/>
      <c r="E1230" s="5"/>
    </row>
    <row r="1231" spans="1:5" ht="15.75" x14ac:dyDescent="0.25">
      <c r="A1231" s="7"/>
      <c r="B1231" s="8"/>
      <c r="C1231" s="9"/>
      <c r="D1231" s="5"/>
      <c r="E1231" s="5"/>
    </row>
    <row r="1232" spans="1:5" ht="15.75" x14ac:dyDescent="0.25">
      <c r="A1232" s="7"/>
      <c r="B1232" s="8"/>
      <c r="C1232" s="9"/>
      <c r="D1232" s="5"/>
      <c r="E1232" s="5"/>
    </row>
    <row r="1233" spans="1:5" ht="15.75" x14ac:dyDescent="0.25">
      <c r="A1233" s="7"/>
      <c r="B1233" s="8"/>
      <c r="C1233" s="9"/>
      <c r="D1233" s="5"/>
      <c r="E1233" s="5"/>
    </row>
    <row r="1234" spans="1:5" ht="15.75" x14ac:dyDescent="0.25">
      <c r="A1234" s="7"/>
      <c r="B1234" s="8"/>
      <c r="C1234" s="9"/>
      <c r="D1234" s="5"/>
      <c r="E1234" s="5"/>
    </row>
    <row r="1235" spans="1:5" ht="15.75" x14ac:dyDescent="0.25">
      <c r="A1235" s="7"/>
      <c r="B1235" s="8"/>
      <c r="C1235" s="9"/>
      <c r="D1235" s="5"/>
      <c r="E1235" s="5"/>
    </row>
    <row r="1236" spans="1:5" ht="15.75" x14ac:dyDescent="0.25">
      <c r="A1236" s="7"/>
      <c r="B1236" s="8"/>
      <c r="C1236" s="9"/>
      <c r="D1236" s="5"/>
      <c r="E1236" s="5"/>
    </row>
    <row r="1237" spans="1:5" ht="15.75" x14ac:dyDescent="0.25">
      <c r="A1237" s="7"/>
      <c r="B1237" s="8"/>
      <c r="C1237" s="9"/>
      <c r="D1237" s="5"/>
      <c r="E1237" s="5"/>
    </row>
    <row r="1238" spans="1:5" ht="15.75" x14ac:dyDescent="0.25">
      <c r="A1238" s="7"/>
      <c r="B1238" s="8"/>
      <c r="C1238" s="9"/>
      <c r="D1238" s="5"/>
      <c r="E1238" s="5"/>
    </row>
    <row r="1239" spans="1:5" ht="15.75" x14ac:dyDescent="0.25">
      <c r="A1239" s="7"/>
      <c r="B1239" s="8"/>
      <c r="C1239" s="9"/>
      <c r="D1239" s="5"/>
      <c r="E1239" s="5"/>
    </row>
    <row r="1240" spans="1:5" ht="15.75" x14ac:dyDescent="0.25">
      <c r="A1240" s="7"/>
      <c r="B1240" s="8"/>
      <c r="C1240" s="9"/>
      <c r="D1240" s="5"/>
      <c r="E1240" s="5"/>
    </row>
    <row r="1241" spans="1:5" ht="15.75" x14ac:dyDescent="0.25">
      <c r="A1241" s="7"/>
      <c r="B1241" s="8"/>
      <c r="C1241" s="9"/>
      <c r="D1241" s="5"/>
      <c r="E1241" s="5"/>
    </row>
    <row r="1242" spans="1:5" ht="15.75" x14ac:dyDescent="0.25">
      <c r="A1242" s="7"/>
      <c r="B1242" s="8"/>
      <c r="C1242" s="9"/>
      <c r="D1242" s="5"/>
      <c r="E1242" s="5"/>
    </row>
    <row r="1243" spans="1:5" ht="15.75" x14ac:dyDescent="0.25">
      <c r="A1243" s="7"/>
      <c r="B1243" s="8"/>
      <c r="C1243" s="9"/>
      <c r="D1243" s="5"/>
      <c r="E1243" s="5"/>
    </row>
    <row r="1244" spans="1:5" ht="15.75" x14ac:dyDescent="0.25">
      <c r="A1244" s="7"/>
      <c r="B1244" s="8"/>
      <c r="C1244" s="9"/>
      <c r="D1244" s="5"/>
      <c r="E1244" s="5"/>
    </row>
    <row r="1245" spans="1:5" ht="15.75" x14ac:dyDescent="0.25">
      <c r="A1245" s="7"/>
      <c r="B1245" s="8"/>
      <c r="C1245" s="9"/>
      <c r="D1245" s="5"/>
      <c r="E1245" s="5"/>
    </row>
    <row r="1246" spans="1:5" ht="15.75" x14ac:dyDescent="0.25">
      <c r="A1246" s="7"/>
      <c r="B1246" s="8"/>
      <c r="C1246" s="9"/>
      <c r="D1246" s="5"/>
      <c r="E1246" s="5"/>
    </row>
    <row r="1247" spans="1:5" ht="15.75" x14ac:dyDescent="0.25">
      <c r="A1247" s="7"/>
      <c r="B1247" s="8"/>
      <c r="C1247" s="9"/>
      <c r="D1247" s="5"/>
      <c r="E1247" s="5"/>
    </row>
    <row r="1248" spans="1:5" ht="15.75" x14ac:dyDescent="0.25">
      <c r="A1248" s="7"/>
      <c r="B1248" s="8"/>
      <c r="C1248" s="9"/>
      <c r="D1248" s="5"/>
      <c r="E1248" s="5"/>
    </row>
    <row r="1249" spans="1:5" ht="15.75" x14ac:dyDescent="0.25">
      <c r="A1249" s="7"/>
      <c r="B1249" s="8"/>
      <c r="C1249" s="9"/>
      <c r="D1249" s="5"/>
      <c r="E1249" s="5"/>
    </row>
    <row r="1250" spans="1:5" ht="15.75" x14ac:dyDescent="0.25">
      <c r="A1250" s="7"/>
      <c r="B1250" s="8"/>
      <c r="C1250" s="9"/>
      <c r="D1250" s="5"/>
      <c r="E1250" s="5"/>
    </row>
    <row r="1251" spans="1:5" ht="15.75" x14ac:dyDescent="0.25">
      <c r="A1251" s="7"/>
      <c r="B1251" s="8"/>
      <c r="C1251" s="9"/>
      <c r="D1251" s="5"/>
      <c r="E1251" s="5"/>
    </row>
    <row r="1252" spans="1:5" ht="15.75" x14ac:dyDescent="0.25">
      <c r="A1252" s="7"/>
      <c r="B1252" s="8"/>
      <c r="C1252" s="9"/>
      <c r="D1252" s="5"/>
      <c r="E1252" s="5"/>
    </row>
    <row r="1253" spans="1:5" ht="15.75" x14ac:dyDescent="0.25">
      <c r="A1253" s="7"/>
      <c r="B1253" s="8"/>
      <c r="C1253" s="9"/>
      <c r="D1253" s="5"/>
      <c r="E1253" s="5"/>
    </row>
    <row r="1254" spans="1:5" ht="15.75" x14ac:dyDescent="0.25">
      <c r="A1254" s="7"/>
      <c r="B1254" s="8"/>
      <c r="C1254" s="9"/>
      <c r="D1254" s="5"/>
      <c r="E1254" s="5"/>
    </row>
    <row r="1255" spans="1:5" ht="15.75" x14ac:dyDescent="0.25">
      <c r="A1255" s="7"/>
      <c r="B1255" s="8"/>
      <c r="C1255" s="9"/>
      <c r="D1255" s="5"/>
      <c r="E1255" s="5"/>
    </row>
    <row r="1256" spans="1:5" ht="15.75" x14ac:dyDescent="0.25">
      <c r="A1256" s="7"/>
      <c r="B1256" s="8"/>
      <c r="C1256" s="9"/>
      <c r="D1256" s="5"/>
      <c r="E1256" s="5"/>
    </row>
    <row r="1257" spans="1:5" ht="15.75" x14ac:dyDescent="0.25">
      <c r="A1257" s="7"/>
      <c r="B1257" s="8"/>
      <c r="C1257" s="9"/>
      <c r="D1257" s="5"/>
      <c r="E1257" s="5"/>
    </row>
    <row r="1258" spans="1:5" ht="15.75" x14ac:dyDescent="0.25">
      <c r="A1258" s="7"/>
      <c r="B1258" s="8"/>
      <c r="C1258" s="9"/>
      <c r="D1258" s="5"/>
      <c r="E1258" s="5"/>
    </row>
    <row r="1259" spans="1:5" ht="15.75" x14ac:dyDescent="0.25">
      <c r="A1259" s="7"/>
      <c r="B1259" s="8"/>
      <c r="C1259" s="9"/>
      <c r="D1259" s="5"/>
      <c r="E1259" s="5"/>
    </row>
    <row r="1260" spans="1:5" ht="15.75" x14ac:dyDescent="0.25">
      <c r="A1260" s="7"/>
      <c r="B1260" s="8"/>
      <c r="C1260" s="9"/>
      <c r="D1260" s="5"/>
      <c r="E1260" s="5"/>
    </row>
    <row r="1261" spans="1:5" ht="15.75" x14ac:dyDescent="0.25">
      <c r="A1261" s="7"/>
      <c r="B1261" s="8"/>
      <c r="C1261" s="9"/>
      <c r="D1261" s="5"/>
      <c r="E1261" s="5"/>
    </row>
    <row r="1262" spans="1:5" ht="15.75" x14ac:dyDescent="0.25">
      <c r="A1262" s="7"/>
      <c r="B1262" s="8"/>
      <c r="C1262" s="9"/>
      <c r="D1262" s="5"/>
      <c r="E1262" s="5"/>
    </row>
    <row r="1263" spans="1:5" ht="15.75" x14ac:dyDescent="0.25">
      <c r="A1263" s="7"/>
      <c r="B1263" s="8"/>
      <c r="C1263" s="9"/>
      <c r="D1263" s="5"/>
      <c r="E1263" s="5"/>
    </row>
    <row r="1264" spans="1:5" ht="15.75" x14ac:dyDescent="0.25">
      <c r="A1264" s="7"/>
      <c r="B1264" s="8"/>
      <c r="C1264" s="9"/>
      <c r="D1264" s="5"/>
      <c r="E1264" s="5"/>
    </row>
    <row r="1265" spans="1:5" ht="15.75" x14ac:dyDescent="0.25">
      <c r="A1265" s="7"/>
      <c r="B1265" s="8"/>
      <c r="C1265" s="9"/>
      <c r="D1265" s="5"/>
      <c r="E1265" s="5"/>
    </row>
    <row r="1266" spans="1:5" ht="15.75" x14ac:dyDescent="0.25">
      <c r="A1266" s="7"/>
      <c r="B1266" s="8"/>
      <c r="C1266" s="9"/>
      <c r="D1266" s="5"/>
      <c r="E1266" s="5"/>
    </row>
    <row r="1267" spans="1:5" ht="15.75" x14ac:dyDescent="0.25">
      <c r="A1267" s="7"/>
      <c r="B1267" s="8"/>
      <c r="C1267" s="9"/>
      <c r="D1267" s="5"/>
      <c r="E1267" s="5"/>
    </row>
    <row r="1268" spans="1:5" ht="15.75" x14ac:dyDescent="0.25">
      <c r="A1268" s="7"/>
      <c r="B1268" s="8"/>
      <c r="C1268" s="9"/>
      <c r="D1268" s="5"/>
      <c r="E1268" s="5"/>
    </row>
    <row r="1269" spans="1:5" ht="15.75" x14ac:dyDescent="0.25">
      <c r="A1269" s="7"/>
      <c r="B1269" s="8"/>
      <c r="C1269" s="9"/>
      <c r="D1269" s="5"/>
      <c r="E1269" s="5"/>
    </row>
    <row r="1270" spans="1:5" ht="15.75" x14ac:dyDescent="0.25">
      <c r="A1270" s="7"/>
      <c r="B1270" s="8"/>
      <c r="C1270" s="9"/>
      <c r="D1270" s="5"/>
      <c r="E1270" s="5"/>
    </row>
    <row r="1271" spans="1:5" ht="15.75" x14ac:dyDescent="0.25">
      <c r="A1271" s="7"/>
      <c r="B1271" s="8"/>
      <c r="C1271" s="9"/>
      <c r="D1271" s="5"/>
      <c r="E1271" s="5"/>
    </row>
    <row r="1272" spans="1:5" ht="15.75" x14ac:dyDescent="0.25">
      <c r="A1272" s="7"/>
      <c r="B1272" s="8"/>
      <c r="C1272" s="9"/>
      <c r="D1272" s="5"/>
      <c r="E1272" s="5"/>
    </row>
    <row r="1273" spans="1:5" ht="15.75" x14ac:dyDescent="0.25">
      <c r="A1273" s="7"/>
      <c r="B1273" s="8"/>
      <c r="C1273" s="9"/>
      <c r="D1273" s="5"/>
      <c r="E1273" s="5"/>
    </row>
    <row r="1274" spans="1:5" ht="15.75" x14ac:dyDescent="0.25">
      <c r="A1274" s="7"/>
      <c r="B1274" s="8"/>
      <c r="C1274" s="9"/>
      <c r="D1274" s="5"/>
      <c r="E1274" s="5"/>
    </row>
    <row r="1275" spans="1:5" ht="15.75" x14ac:dyDescent="0.25">
      <c r="A1275" s="7"/>
      <c r="B1275" s="8"/>
      <c r="C1275" s="9"/>
      <c r="D1275" s="5"/>
      <c r="E1275" s="5"/>
    </row>
    <row r="1276" spans="1:5" ht="15.75" x14ac:dyDescent="0.25">
      <c r="A1276" s="7"/>
      <c r="B1276" s="8"/>
      <c r="C1276" s="9"/>
      <c r="D1276" s="5"/>
      <c r="E1276" s="5"/>
    </row>
    <row r="1277" spans="1:5" ht="15.75" x14ac:dyDescent="0.25">
      <c r="A1277" s="7"/>
      <c r="B1277" s="8"/>
      <c r="C1277" s="9"/>
      <c r="D1277" s="5"/>
      <c r="E1277" s="5"/>
    </row>
    <row r="1278" spans="1:5" ht="15.75" x14ac:dyDescent="0.25">
      <c r="A1278" s="7"/>
      <c r="B1278" s="8"/>
      <c r="C1278" s="9"/>
      <c r="D1278" s="5"/>
      <c r="E1278" s="5"/>
    </row>
    <row r="1279" spans="1:5" ht="15.75" x14ac:dyDescent="0.25">
      <c r="A1279" s="7"/>
      <c r="B1279" s="8"/>
      <c r="C1279" s="9"/>
      <c r="D1279" s="5"/>
      <c r="E1279" s="5"/>
    </row>
    <row r="1280" spans="1:5" ht="15.75" x14ac:dyDescent="0.25">
      <c r="A1280" s="7"/>
      <c r="B1280" s="8"/>
      <c r="C1280" s="9"/>
      <c r="D1280" s="5"/>
      <c r="E1280" s="5"/>
    </row>
    <row r="1281" spans="1:5" ht="15.75" x14ac:dyDescent="0.25">
      <c r="A1281" s="7"/>
      <c r="B1281" s="8"/>
      <c r="C1281" s="9"/>
      <c r="D1281" s="5"/>
      <c r="E1281" s="5"/>
    </row>
    <row r="1282" spans="1:5" ht="15.75" x14ac:dyDescent="0.25">
      <c r="A1282" s="7"/>
      <c r="B1282" s="8"/>
      <c r="C1282" s="9"/>
      <c r="D1282" s="5"/>
      <c r="E1282" s="5"/>
    </row>
    <row r="1283" spans="1:5" ht="15.75" x14ac:dyDescent="0.25">
      <c r="A1283" s="7"/>
      <c r="B1283" s="8"/>
      <c r="C1283" s="9"/>
      <c r="D1283" s="5"/>
      <c r="E1283" s="5"/>
    </row>
    <row r="1284" spans="1:5" ht="15.75" x14ac:dyDescent="0.25">
      <c r="A1284" s="7"/>
      <c r="B1284" s="8"/>
      <c r="C1284" s="9"/>
      <c r="D1284" s="5"/>
      <c r="E1284" s="5"/>
    </row>
    <row r="1285" spans="1:5" ht="15.75" x14ac:dyDescent="0.25">
      <c r="A1285" s="7"/>
      <c r="B1285" s="8"/>
      <c r="C1285" s="9"/>
      <c r="D1285" s="5"/>
      <c r="E1285" s="5"/>
    </row>
    <row r="1286" spans="1:5" ht="15.75" x14ac:dyDescent="0.25">
      <c r="A1286" s="7"/>
      <c r="B1286" s="8"/>
      <c r="C1286" s="9"/>
      <c r="D1286" s="5"/>
      <c r="E1286" s="5"/>
    </row>
    <row r="1287" spans="1:5" ht="15.75" x14ac:dyDescent="0.25">
      <c r="A1287" s="7"/>
      <c r="B1287" s="8"/>
      <c r="C1287" s="9"/>
      <c r="D1287" s="5"/>
      <c r="E1287" s="5"/>
    </row>
    <row r="1288" spans="1:5" ht="15.75" x14ac:dyDescent="0.25">
      <c r="A1288" s="7"/>
      <c r="B1288" s="8"/>
      <c r="C1288" s="9"/>
      <c r="D1288" s="5"/>
      <c r="E1288" s="5"/>
    </row>
    <row r="1289" spans="1:5" ht="15.75" x14ac:dyDescent="0.25">
      <c r="A1289" s="7"/>
      <c r="B1289" s="8"/>
      <c r="C1289" s="9"/>
      <c r="D1289" s="5"/>
      <c r="E1289" s="5"/>
    </row>
    <row r="1290" spans="1:5" ht="15.75" x14ac:dyDescent="0.25">
      <c r="A1290" s="7"/>
      <c r="B1290" s="8"/>
      <c r="C1290" s="9"/>
      <c r="D1290" s="5"/>
      <c r="E1290" s="5"/>
    </row>
    <row r="1291" spans="1:5" ht="15.75" x14ac:dyDescent="0.25">
      <c r="A1291" s="7"/>
      <c r="B1291" s="8"/>
      <c r="C1291" s="9"/>
      <c r="D1291" s="5"/>
      <c r="E1291" s="5"/>
    </row>
    <row r="1292" spans="1:5" ht="15.75" x14ac:dyDescent="0.25">
      <c r="A1292" s="7"/>
      <c r="B1292" s="8"/>
      <c r="C1292" s="9"/>
      <c r="D1292" s="5"/>
      <c r="E1292" s="5"/>
    </row>
    <row r="1293" spans="1:5" ht="15.75" x14ac:dyDescent="0.25">
      <c r="A1293" s="7"/>
      <c r="B1293" s="8"/>
      <c r="C1293" s="9"/>
      <c r="D1293" s="5"/>
      <c r="E1293" s="5"/>
    </row>
    <row r="1294" spans="1:5" ht="15.75" x14ac:dyDescent="0.25">
      <c r="A1294" s="7"/>
      <c r="B1294" s="8"/>
      <c r="C1294" s="9"/>
      <c r="D1294" s="5"/>
      <c r="E1294" s="5"/>
    </row>
    <row r="1295" spans="1:5" ht="15.75" x14ac:dyDescent="0.25">
      <c r="A1295" s="7"/>
      <c r="B1295" s="8"/>
      <c r="C1295" s="9"/>
      <c r="D1295" s="5"/>
      <c r="E1295" s="5"/>
    </row>
    <row r="1296" spans="1:5" ht="15.75" x14ac:dyDescent="0.25">
      <c r="A1296" s="7"/>
      <c r="B1296" s="8"/>
      <c r="C1296" s="9"/>
      <c r="D1296" s="5"/>
      <c r="E1296" s="5"/>
    </row>
    <row r="1297" spans="1:5" ht="15.75" x14ac:dyDescent="0.25">
      <c r="A1297" s="7"/>
      <c r="B1297" s="8"/>
      <c r="C1297" s="9"/>
      <c r="D1297" s="5"/>
      <c r="E1297" s="5"/>
    </row>
    <row r="1298" spans="1:5" ht="15.75" x14ac:dyDescent="0.25">
      <c r="A1298" s="7"/>
      <c r="B1298" s="8"/>
      <c r="C1298" s="9"/>
      <c r="D1298" s="5"/>
      <c r="E1298" s="5"/>
    </row>
    <row r="1299" spans="1:5" ht="15.75" x14ac:dyDescent="0.25">
      <c r="A1299" s="7"/>
      <c r="B1299" s="8"/>
      <c r="C1299" s="9"/>
      <c r="D1299" s="5"/>
      <c r="E1299" s="5"/>
    </row>
    <row r="1300" spans="1:5" ht="15.75" x14ac:dyDescent="0.25">
      <c r="A1300" s="7"/>
      <c r="B1300" s="8"/>
      <c r="C1300" s="9"/>
      <c r="D1300" s="5"/>
      <c r="E1300" s="5"/>
    </row>
    <row r="1301" spans="1:5" ht="15.75" x14ac:dyDescent="0.25">
      <c r="A1301" s="7"/>
      <c r="B1301" s="8"/>
      <c r="C1301" s="9"/>
      <c r="D1301" s="5"/>
      <c r="E1301" s="5"/>
    </row>
    <row r="1302" spans="1:5" ht="15.75" x14ac:dyDescent="0.25">
      <c r="A1302" s="7"/>
      <c r="B1302" s="8"/>
      <c r="C1302" s="9"/>
      <c r="D1302" s="5"/>
      <c r="E1302" s="5"/>
    </row>
    <row r="1303" spans="1:5" ht="15.75" x14ac:dyDescent="0.25">
      <c r="A1303" s="7"/>
      <c r="B1303" s="8"/>
      <c r="C1303" s="9"/>
      <c r="D1303" s="5"/>
      <c r="E1303" s="5"/>
    </row>
    <row r="1304" spans="1:5" ht="15.75" x14ac:dyDescent="0.25">
      <c r="A1304" s="7"/>
      <c r="B1304" s="8"/>
      <c r="C1304" s="9"/>
      <c r="D1304" s="5"/>
      <c r="E1304" s="5"/>
    </row>
    <row r="1305" spans="1:5" ht="15.75" x14ac:dyDescent="0.25">
      <c r="A1305" s="7"/>
      <c r="B1305" s="8"/>
      <c r="C1305" s="9"/>
      <c r="D1305" s="5"/>
      <c r="E1305" s="5"/>
    </row>
    <row r="1306" spans="1:5" ht="15.75" x14ac:dyDescent="0.25">
      <c r="A1306" s="7"/>
      <c r="B1306" s="8"/>
      <c r="C1306" s="9"/>
      <c r="D1306" s="5"/>
      <c r="E1306" s="5"/>
    </row>
    <row r="1307" spans="1:5" ht="15.75" x14ac:dyDescent="0.25">
      <c r="A1307" s="7"/>
      <c r="B1307" s="8"/>
      <c r="C1307" s="9"/>
      <c r="D1307" s="5"/>
      <c r="E1307" s="5"/>
    </row>
    <row r="1308" spans="1:5" ht="15.75" x14ac:dyDescent="0.25">
      <c r="A1308" s="7"/>
      <c r="B1308" s="8"/>
      <c r="C1308" s="9"/>
      <c r="D1308" s="5"/>
      <c r="E1308" s="5"/>
    </row>
    <row r="1309" spans="1:5" ht="15.75" x14ac:dyDescent="0.25">
      <c r="A1309" s="7"/>
      <c r="B1309" s="8"/>
      <c r="C1309" s="9"/>
      <c r="D1309" s="5"/>
      <c r="E1309" s="5"/>
    </row>
    <row r="1310" spans="1:5" ht="15.75" x14ac:dyDescent="0.25">
      <c r="A1310" s="7"/>
      <c r="B1310" s="8"/>
      <c r="C1310" s="9"/>
      <c r="D1310" s="5"/>
      <c r="E1310" s="5"/>
    </row>
    <row r="1311" spans="1:5" ht="15.75" x14ac:dyDescent="0.25">
      <c r="A1311" s="7"/>
      <c r="B1311" s="8"/>
      <c r="C1311" s="9"/>
      <c r="D1311" s="5"/>
      <c r="E1311" s="5"/>
    </row>
    <row r="1312" spans="1:5" ht="15.75" x14ac:dyDescent="0.25">
      <c r="A1312" s="7"/>
      <c r="B1312" s="8"/>
      <c r="C1312" s="9"/>
      <c r="D1312" s="5"/>
      <c r="E1312" s="5"/>
    </row>
    <row r="1313" spans="1:5" ht="15.75" x14ac:dyDescent="0.25">
      <c r="A1313" s="7"/>
      <c r="B1313" s="8"/>
      <c r="C1313" s="9"/>
      <c r="D1313" s="5"/>
      <c r="E1313" s="5"/>
    </row>
    <row r="1314" spans="1:5" ht="15.75" x14ac:dyDescent="0.25">
      <c r="A1314" s="7"/>
      <c r="B1314" s="8"/>
      <c r="C1314" s="9"/>
      <c r="D1314" s="5"/>
      <c r="E1314" s="5"/>
    </row>
    <row r="1315" spans="1:5" ht="15.75" x14ac:dyDescent="0.25">
      <c r="A1315" s="7"/>
      <c r="B1315" s="8"/>
      <c r="C1315" s="9"/>
      <c r="D1315" s="5"/>
      <c r="E1315" s="5"/>
    </row>
    <row r="1316" spans="1:5" ht="15.75" x14ac:dyDescent="0.25">
      <c r="A1316" s="7"/>
      <c r="B1316" s="8"/>
      <c r="C1316" s="9"/>
      <c r="D1316" s="5"/>
      <c r="E1316" s="5"/>
    </row>
    <row r="1317" spans="1:5" ht="15.75" x14ac:dyDescent="0.25">
      <c r="A1317" s="7"/>
      <c r="B1317" s="8"/>
      <c r="C1317" s="9"/>
      <c r="D1317" s="5"/>
      <c r="E1317" s="5"/>
    </row>
    <row r="1318" spans="1:5" ht="15.75" x14ac:dyDescent="0.25">
      <c r="A1318" s="7"/>
      <c r="B1318" s="8"/>
      <c r="C1318" s="9"/>
      <c r="D1318" s="5"/>
      <c r="E1318" s="5"/>
    </row>
    <row r="1319" spans="1:5" ht="15.75" x14ac:dyDescent="0.25">
      <c r="A1319" s="7"/>
      <c r="B1319" s="8"/>
      <c r="C1319" s="9"/>
      <c r="D1319" s="5"/>
      <c r="E1319" s="5"/>
    </row>
    <row r="1320" spans="1:5" ht="15.75" x14ac:dyDescent="0.25">
      <c r="A1320" s="7"/>
      <c r="B1320" s="8"/>
      <c r="C1320" s="9"/>
      <c r="D1320" s="5"/>
      <c r="E1320" s="5"/>
    </row>
    <row r="1321" spans="1:5" ht="15.75" x14ac:dyDescent="0.25">
      <c r="A1321" s="7"/>
      <c r="B1321" s="8"/>
      <c r="C1321" s="9"/>
      <c r="D1321" s="5"/>
      <c r="E1321" s="5"/>
    </row>
    <row r="1322" spans="1:5" ht="15.75" x14ac:dyDescent="0.25">
      <c r="A1322" s="7"/>
      <c r="B1322" s="8"/>
      <c r="C1322" s="9"/>
      <c r="D1322" s="5"/>
      <c r="E1322" s="5"/>
    </row>
    <row r="1323" spans="1:5" ht="15.75" x14ac:dyDescent="0.25">
      <c r="A1323" s="7"/>
      <c r="B1323" s="8"/>
      <c r="C1323" s="9"/>
      <c r="D1323" s="5"/>
      <c r="E1323" s="5"/>
    </row>
    <row r="1324" spans="1:5" ht="15.75" x14ac:dyDescent="0.25">
      <c r="A1324" s="7"/>
      <c r="B1324" s="8"/>
      <c r="C1324" s="9"/>
      <c r="D1324" s="5"/>
      <c r="E1324" s="5"/>
    </row>
    <row r="1325" spans="1:5" ht="15.75" x14ac:dyDescent="0.25">
      <c r="A1325" s="7"/>
      <c r="B1325" s="8"/>
      <c r="C1325" s="9"/>
      <c r="D1325" s="5"/>
      <c r="E1325" s="5"/>
    </row>
    <row r="1326" spans="1:5" ht="15.75" x14ac:dyDescent="0.25">
      <c r="A1326" s="7"/>
      <c r="B1326" s="8"/>
      <c r="C1326" s="9"/>
      <c r="D1326" s="5"/>
      <c r="E1326" s="5"/>
    </row>
    <row r="1327" spans="1:5" ht="15.75" x14ac:dyDescent="0.25">
      <c r="A1327" s="7"/>
      <c r="B1327" s="8"/>
      <c r="C1327" s="9"/>
      <c r="D1327" s="5"/>
      <c r="E1327" s="5"/>
    </row>
    <row r="1328" spans="1:5" ht="15.75" x14ac:dyDescent="0.25">
      <c r="A1328" s="7"/>
      <c r="B1328" s="8"/>
      <c r="C1328" s="9"/>
      <c r="D1328" s="5"/>
      <c r="E1328" s="5"/>
    </row>
    <row r="1329" spans="1:5" ht="15.75" x14ac:dyDescent="0.25">
      <c r="A1329" s="7"/>
      <c r="B1329" s="8"/>
      <c r="C1329" s="9"/>
      <c r="D1329" s="5"/>
      <c r="E1329" s="5"/>
    </row>
    <row r="1330" spans="1:5" ht="15.75" x14ac:dyDescent="0.25">
      <c r="A1330" s="7"/>
      <c r="B1330" s="8"/>
      <c r="C1330" s="9"/>
      <c r="D1330" s="5"/>
      <c r="E1330" s="5"/>
    </row>
    <row r="1331" spans="1:5" ht="15.75" x14ac:dyDescent="0.25">
      <c r="A1331" s="7"/>
      <c r="B1331" s="8"/>
      <c r="C1331" s="9"/>
      <c r="D1331" s="5"/>
      <c r="E1331" s="5"/>
    </row>
    <row r="1332" spans="1:5" ht="15.75" x14ac:dyDescent="0.25">
      <c r="A1332" s="7"/>
      <c r="B1332" s="8"/>
      <c r="C1332" s="9"/>
      <c r="D1332" s="5"/>
      <c r="E1332" s="5"/>
    </row>
    <row r="1333" spans="1:5" ht="15.75" x14ac:dyDescent="0.25">
      <c r="A1333" s="7"/>
      <c r="B1333" s="8"/>
      <c r="C1333" s="9"/>
      <c r="D1333" s="5"/>
      <c r="E1333" s="5"/>
    </row>
    <row r="1334" spans="1:5" ht="15.75" x14ac:dyDescent="0.25">
      <c r="A1334" s="7"/>
      <c r="B1334" s="8"/>
      <c r="C1334" s="9"/>
      <c r="D1334" s="5"/>
      <c r="E1334" s="5"/>
    </row>
    <row r="1335" spans="1:5" ht="15.75" x14ac:dyDescent="0.25">
      <c r="A1335" s="7"/>
      <c r="B1335" s="8"/>
      <c r="C1335" s="9"/>
      <c r="D1335" s="5"/>
      <c r="E1335" s="5"/>
    </row>
    <row r="1336" spans="1:5" ht="15.75" x14ac:dyDescent="0.25">
      <c r="A1336" s="7"/>
      <c r="B1336" s="8"/>
      <c r="C1336" s="9"/>
      <c r="D1336" s="5"/>
      <c r="E1336" s="5"/>
    </row>
    <row r="1337" spans="1:5" ht="15.75" x14ac:dyDescent="0.25">
      <c r="A1337" s="7"/>
      <c r="B1337" s="8"/>
      <c r="C1337" s="9"/>
      <c r="D1337" s="5"/>
      <c r="E1337" s="5"/>
    </row>
    <row r="1338" spans="1:5" ht="15.75" x14ac:dyDescent="0.25">
      <c r="A1338" s="7"/>
      <c r="B1338" s="8"/>
      <c r="C1338" s="9"/>
      <c r="D1338" s="5"/>
      <c r="E1338" s="5"/>
    </row>
    <row r="1339" spans="1:5" ht="15.75" x14ac:dyDescent="0.25">
      <c r="A1339" s="7"/>
      <c r="B1339" s="8"/>
      <c r="C1339" s="9"/>
      <c r="D1339" s="5"/>
      <c r="E1339" s="5"/>
    </row>
    <row r="1340" spans="1:5" ht="15.75" x14ac:dyDescent="0.25">
      <c r="A1340" s="7"/>
      <c r="B1340" s="8"/>
      <c r="C1340" s="9"/>
      <c r="D1340" s="5"/>
      <c r="E1340" s="5"/>
    </row>
    <row r="1341" spans="1:5" ht="15.75" x14ac:dyDescent="0.25">
      <c r="A1341" s="7"/>
      <c r="B1341" s="8"/>
      <c r="C1341" s="9"/>
      <c r="D1341" s="5"/>
      <c r="E1341" s="5"/>
    </row>
    <row r="1342" spans="1:5" ht="15.75" x14ac:dyDescent="0.25">
      <c r="A1342" s="7"/>
      <c r="B1342" s="8"/>
      <c r="C1342" s="9"/>
      <c r="D1342" s="5"/>
      <c r="E1342" s="5"/>
    </row>
    <row r="1343" spans="1:5" ht="15.75" x14ac:dyDescent="0.25">
      <c r="A1343" s="7"/>
      <c r="B1343" s="8"/>
      <c r="C1343" s="9"/>
      <c r="D1343" s="5"/>
      <c r="E1343" s="5"/>
    </row>
    <row r="1344" spans="1:5" ht="15.75" x14ac:dyDescent="0.25">
      <c r="A1344" s="7"/>
      <c r="B1344" s="8"/>
      <c r="C1344" s="9"/>
      <c r="D1344" s="5"/>
      <c r="E1344" s="5"/>
    </row>
    <row r="1345" spans="1:5" ht="15.75" x14ac:dyDescent="0.25">
      <c r="A1345" s="7"/>
      <c r="B1345" s="8"/>
      <c r="C1345" s="9"/>
      <c r="D1345" s="5"/>
      <c r="E1345" s="5"/>
    </row>
    <row r="1346" spans="1:5" ht="15.75" x14ac:dyDescent="0.25">
      <c r="A1346" s="7"/>
      <c r="B1346" s="8"/>
      <c r="C1346" s="9"/>
      <c r="D1346" s="5"/>
      <c r="E1346" s="5"/>
    </row>
    <row r="1347" spans="1:5" ht="15.75" x14ac:dyDescent="0.25">
      <c r="A1347" s="7"/>
      <c r="B1347" s="8"/>
      <c r="C1347" s="9"/>
      <c r="D1347" s="5"/>
      <c r="E1347" s="5"/>
    </row>
    <row r="1348" spans="1:5" ht="15.75" x14ac:dyDescent="0.25">
      <c r="A1348" s="7"/>
      <c r="B1348" s="8"/>
      <c r="C1348" s="9"/>
      <c r="D1348" s="5"/>
      <c r="E1348" s="5"/>
    </row>
    <row r="1349" spans="1:5" ht="15.75" x14ac:dyDescent="0.25">
      <c r="A1349" s="7"/>
      <c r="B1349" s="8"/>
      <c r="C1349" s="9"/>
      <c r="D1349" s="5"/>
      <c r="E1349" s="5"/>
    </row>
    <row r="1350" spans="1:5" ht="15.75" x14ac:dyDescent="0.25">
      <c r="A1350" s="7"/>
      <c r="B1350" s="8"/>
      <c r="C1350" s="9"/>
      <c r="D1350" s="5"/>
      <c r="E1350" s="5"/>
    </row>
    <row r="1351" spans="1:5" ht="15.75" x14ac:dyDescent="0.25">
      <c r="A1351" s="7"/>
      <c r="B1351" s="8"/>
      <c r="C1351" s="9"/>
      <c r="D1351" s="5"/>
      <c r="E1351" s="5"/>
    </row>
    <row r="1352" spans="1:5" ht="15.75" x14ac:dyDescent="0.25">
      <c r="A1352" s="7"/>
      <c r="B1352" s="8"/>
      <c r="C1352" s="9"/>
      <c r="D1352" s="5"/>
      <c r="E1352" s="5"/>
    </row>
    <row r="1353" spans="1:5" ht="15.75" x14ac:dyDescent="0.25">
      <c r="A1353" s="7"/>
      <c r="B1353" s="8"/>
      <c r="C1353" s="9"/>
      <c r="D1353" s="5"/>
      <c r="E1353" s="5"/>
    </row>
    <row r="1354" spans="1:5" ht="15.75" x14ac:dyDescent="0.25">
      <c r="A1354" s="7"/>
      <c r="B1354" s="8"/>
      <c r="C1354" s="9"/>
      <c r="D1354" s="5"/>
      <c r="E1354" s="5"/>
    </row>
    <row r="1355" spans="1:5" ht="15.75" x14ac:dyDescent="0.25">
      <c r="A1355" s="7"/>
      <c r="B1355" s="8"/>
      <c r="C1355" s="9"/>
      <c r="D1355" s="5"/>
      <c r="E1355" s="5"/>
    </row>
    <row r="1356" spans="1:5" ht="15.75" x14ac:dyDescent="0.25">
      <c r="A1356" s="7"/>
      <c r="B1356" s="8"/>
      <c r="C1356" s="9"/>
      <c r="D1356" s="5"/>
      <c r="E1356" s="5"/>
    </row>
    <row r="1357" spans="1:5" ht="15.75" x14ac:dyDescent="0.25">
      <c r="A1357" s="7"/>
      <c r="B1357" s="8"/>
      <c r="C1357" s="9"/>
      <c r="D1357" s="5"/>
      <c r="E1357" s="5"/>
    </row>
    <row r="1358" spans="1:5" ht="15.75" x14ac:dyDescent="0.25">
      <c r="A1358" s="7"/>
      <c r="B1358" s="8"/>
      <c r="C1358" s="9"/>
      <c r="D1358" s="5"/>
      <c r="E1358" s="5"/>
    </row>
    <row r="1359" spans="1:5" ht="15.75" x14ac:dyDescent="0.25">
      <c r="A1359" s="7"/>
      <c r="B1359" s="8"/>
      <c r="C1359" s="9"/>
      <c r="D1359" s="5"/>
      <c r="E1359" s="5"/>
    </row>
    <row r="1360" spans="1:5" ht="15.75" x14ac:dyDescent="0.25">
      <c r="A1360" s="7"/>
      <c r="B1360" s="8"/>
      <c r="C1360" s="9"/>
      <c r="D1360" s="5"/>
      <c r="E1360" s="5"/>
    </row>
    <row r="1361" spans="1:5" ht="15.75" x14ac:dyDescent="0.25">
      <c r="A1361" s="7"/>
      <c r="B1361" s="8"/>
      <c r="C1361" s="9"/>
      <c r="D1361" s="5"/>
      <c r="E1361" s="5"/>
    </row>
    <row r="1362" spans="1:5" ht="15.75" x14ac:dyDescent="0.25">
      <c r="A1362" s="7"/>
      <c r="B1362" s="8"/>
      <c r="C1362" s="9"/>
      <c r="D1362" s="5"/>
      <c r="E1362" s="5"/>
    </row>
    <row r="1363" spans="1:5" ht="15.75" x14ac:dyDescent="0.25">
      <c r="A1363" s="7"/>
      <c r="B1363" s="8"/>
      <c r="C1363" s="9"/>
      <c r="D1363" s="5"/>
      <c r="E1363" s="5"/>
    </row>
    <row r="1364" spans="1:5" ht="15.75" x14ac:dyDescent="0.25">
      <c r="A1364" s="7"/>
      <c r="B1364" s="8"/>
      <c r="C1364" s="9"/>
      <c r="D1364" s="5"/>
      <c r="E1364" s="5"/>
    </row>
    <row r="1365" spans="1:5" ht="15.75" x14ac:dyDescent="0.25">
      <c r="A1365" s="7"/>
      <c r="B1365" s="8"/>
      <c r="C1365" s="9"/>
      <c r="D1365" s="5"/>
      <c r="E1365" s="5"/>
    </row>
    <row r="1366" spans="1:5" ht="15.75" x14ac:dyDescent="0.25">
      <c r="A1366" s="7"/>
      <c r="B1366" s="8"/>
      <c r="C1366" s="9"/>
      <c r="D1366" s="5"/>
      <c r="E1366" s="5"/>
    </row>
    <row r="1367" spans="1:5" ht="15.75" x14ac:dyDescent="0.25">
      <c r="A1367" s="7"/>
      <c r="B1367" s="8"/>
      <c r="C1367" s="9"/>
      <c r="D1367" s="5"/>
      <c r="E1367" s="5"/>
    </row>
    <row r="1368" spans="1:5" ht="15.75" x14ac:dyDescent="0.25">
      <c r="A1368" s="7"/>
      <c r="B1368" s="8"/>
      <c r="C1368" s="9"/>
      <c r="D1368" s="5"/>
      <c r="E1368" s="5"/>
    </row>
    <row r="1369" spans="1:5" ht="15.75" x14ac:dyDescent="0.25">
      <c r="A1369" s="7"/>
      <c r="B1369" s="8"/>
      <c r="C1369" s="9"/>
      <c r="D1369" s="5"/>
      <c r="E1369" s="5"/>
    </row>
    <row r="1370" spans="1:5" ht="15.75" x14ac:dyDescent="0.25">
      <c r="A1370" s="7"/>
      <c r="B1370" s="8"/>
      <c r="C1370" s="9"/>
      <c r="D1370" s="5"/>
      <c r="E1370" s="5"/>
    </row>
    <row r="1371" spans="1:5" ht="15.75" x14ac:dyDescent="0.25">
      <c r="A1371" s="7"/>
      <c r="B1371" s="8"/>
      <c r="C1371" s="9"/>
      <c r="D1371" s="5"/>
      <c r="E1371" s="5"/>
    </row>
    <row r="1372" spans="1:5" ht="15.75" x14ac:dyDescent="0.25">
      <c r="A1372" s="7"/>
      <c r="B1372" s="8"/>
      <c r="C1372" s="9"/>
      <c r="D1372" s="5"/>
      <c r="E1372" s="5"/>
    </row>
    <row r="1373" spans="1:5" ht="15.75" x14ac:dyDescent="0.25">
      <c r="A1373" s="7"/>
      <c r="B1373" s="8"/>
      <c r="C1373" s="9"/>
      <c r="D1373" s="5"/>
      <c r="E1373" s="5"/>
    </row>
    <row r="1374" spans="1:5" ht="15.75" x14ac:dyDescent="0.25">
      <c r="A1374" s="7"/>
      <c r="B1374" s="8"/>
      <c r="C1374" s="9"/>
      <c r="D1374" s="5"/>
      <c r="E1374" s="5"/>
    </row>
    <row r="1375" spans="1:5" ht="15.75" x14ac:dyDescent="0.25">
      <c r="A1375" s="7"/>
      <c r="B1375" s="8"/>
      <c r="C1375" s="9"/>
      <c r="D1375" s="5"/>
      <c r="E1375" s="5"/>
    </row>
    <row r="1376" spans="1:5" ht="15.75" x14ac:dyDescent="0.25">
      <c r="A1376" s="7"/>
      <c r="B1376" s="8"/>
      <c r="C1376" s="9"/>
      <c r="D1376" s="5"/>
      <c r="E1376" s="5"/>
    </row>
    <row r="1377" spans="1:5" ht="15.75" x14ac:dyDescent="0.25">
      <c r="A1377" s="7"/>
      <c r="B1377" s="8"/>
      <c r="C1377" s="9"/>
      <c r="D1377" s="5"/>
      <c r="E1377" s="5"/>
    </row>
    <row r="1378" spans="1:5" ht="15.75" x14ac:dyDescent="0.25">
      <c r="A1378" s="7"/>
      <c r="B1378" s="8"/>
      <c r="C1378" s="9"/>
      <c r="D1378" s="5"/>
      <c r="E1378" s="5"/>
    </row>
    <row r="1379" spans="1:5" ht="15.75" x14ac:dyDescent="0.25">
      <c r="A1379" s="7"/>
      <c r="B1379" s="8"/>
      <c r="C1379" s="9"/>
      <c r="D1379" s="5"/>
      <c r="E1379" s="5"/>
    </row>
    <row r="1380" spans="1:5" ht="15.75" x14ac:dyDescent="0.25">
      <c r="A1380" s="7"/>
      <c r="B1380" s="8"/>
      <c r="C1380" s="9"/>
      <c r="D1380" s="5"/>
      <c r="E1380" s="5"/>
    </row>
    <row r="1381" spans="1:5" ht="15.75" x14ac:dyDescent="0.25">
      <c r="A1381" s="7"/>
      <c r="B1381" s="8"/>
      <c r="C1381" s="9"/>
      <c r="D1381" s="5"/>
      <c r="E1381" s="5"/>
    </row>
    <row r="1382" spans="1:5" ht="15.75" x14ac:dyDescent="0.25">
      <c r="A1382" s="7"/>
      <c r="B1382" s="8"/>
      <c r="C1382" s="9"/>
      <c r="D1382" s="5"/>
      <c r="E1382" s="5"/>
    </row>
    <row r="1383" spans="1:5" ht="15.75" x14ac:dyDescent="0.25">
      <c r="A1383" s="7"/>
      <c r="B1383" s="8"/>
      <c r="C1383" s="9"/>
      <c r="D1383" s="5"/>
      <c r="E1383" s="5"/>
    </row>
    <row r="1384" spans="1:5" ht="15.75" x14ac:dyDescent="0.25">
      <c r="A1384" s="7"/>
      <c r="B1384" s="8"/>
      <c r="C1384" s="9"/>
      <c r="D1384" s="5"/>
      <c r="E1384" s="5"/>
    </row>
    <row r="1385" spans="1:5" ht="15.75" x14ac:dyDescent="0.25">
      <c r="A1385" s="7"/>
      <c r="B1385" s="8"/>
      <c r="C1385" s="9"/>
      <c r="D1385" s="5"/>
      <c r="E1385" s="5"/>
    </row>
    <row r="1386" spans="1:5" ht="15.75" x14ac:dyDescent="0.25">
      <c r="A1386" s="7"/>
      <c r="B1386" s="8"/>
      <c r="C1386" s="9"/>
      <c r="D1386" s="5"/>
      <c r="E1386" s="5"/>
    </row>
    <row r="1387" spans="1:5" ht="15.75" x14ac:dyDescent="0.25">
      <c r="A1387" s="7"/>
      <c r="B1387" s="8"/>
      <c r="C1387" s="9"/>
      <c r="D1387" s="5"/>
      <c r="E1387" s="5"/>
    </row>
    <row r="1388" spans="1:5" ht="15.75" x14ac:dyDescent="0.25">
      <c r="A1388" s="7"/>
      <c r="B1388" s="8"/>
      <c r="C1388" s="9"/>
      <c r="D1388" s="5"/>
      <c r="E1388" s="5"/>
    </row>
    <row r="1389" spans="1:5" ht="15.75" x14ac:dyDescent="0.25">
      <c r="A1389" s="7"/>
      <c r="B1389" s="8"/>
      <c r="C1389" s="9"/>
      <c r="D1389" s="5"/>
      <c r="E1389" s="5"/>
    </row>
    <row r="1390" spans="1:5" ht="15.75" x14ac:dyDescent="0.25">
      <c r="A1390" s="7"/>
      <c r="B1390" s="8"/>
      <c r="C1390" s="9"/>
      <c r="D1390" s="5"/>
      <c r="E1390" s="5"/>
    </row>
    <row r="1391" spans="1:5" ht="15.75" x14ac:dyDescent="0.25">
      <c r="A1391" s="7"/>
      <c r="B1391" s="8"/>
      <c r="C1391" s="9"/>
      <c r="D1391" s="5"/>
      <c r="E1391" s="5"/>
    </row>
    <row r="1392" spans="1:5" ht="15.75" x14ac:dyDescent="0.25">
      <c r="A1392" s="7"/>
      <c r="B1392" s="8"/>
      <c r="C1392" s="9"/>
      <c r="D1392" s="5"/>
      <c r="E1392" s="5"/>
    </row>
    <row r="1393" spans="1:5" ht="15.75" x14ac:dyDescent="0.25">
      <c r="A1393" s="7"/>
      <c r="B1393" s="8"/>
      <c r="C1393" s="9"/>
      <c r="D1393" s="5"/>
      <c r="E1393" s="5"/>
    </row>
    <row r="1394" spans="1:5" ht="15.75" x14ac:dyDescent="0.25">
      <c r="A1394" s="7"/>
      <c r="B1394" s="8"/>
      <c r="C1394" s="9"/>
      <c r="D1394" s="5"/>
      <c r="E1394" s="5"/>
    </row>
    <row r="1395" spans="1:5" ht="15.75" x14ac:dyDescent="0.25">
      <c r="A1395" s="7"/>
      <c r="B1395" s="8"/>
      <c r="C1395" s="9"/>
      <c r="D1395" s="5"/>
      <c r="E1395" s="5"/>
    </row>
    <row r="1396" spans="1:5" ht="15.75" x14ac:dyDescent="0.25">
      <c r="A1396" s="7"/>
      <c r="B1396" s="8"/>
      <c r="C1396" s="9"/>
      <c r="D1396" s="5"/>
      <c r="E1396" s="5"/>
    </row>
    <row r="1397" spans="1:5" ht="15.75" x14ac:dyDescent="0.25">
      <c r="A1397" s="7"/>
      <c r="B1397" s="8"/>
      <c r="C1397" s="9"/>
      <c r="D1397" s="5"/>
      <c r="E1397" s="5"/>
    </row>
    <row r="1398" spans="1:5" ht="15.75" x14ac:dyDescent="0.25">
      <c r="A1398" s="7"/>
      <c r="B1398" s="8"/>
      <c r="C1398" s="9"/>
      <c r="D1398" s="5"/>
      <c r="E1398" s="5"/>
    </row>
    <row r="1399" spans="1:5" ht="15.75" x14ac:dyDescent="0.25">
      <c r="A1399" s="7"/>
      <c r="B1399" s="8"/>
      <c r="C1399" s="9"/>
      <c r="D1399" s="5"/>
      <c r="E1399" s="5"/>
    </row>
    <row r="1400" spans="1:5" ht="15.75" x14ac:dyDescent="0.25">
      <c r="A1400" s="7"/>
      <c r="B1400" s="8"/>
      <c r="C1400" s="9"/>
      <c r="D1400" s="5"/>
      <c r="E1400" s="5"/>
    </row>
    <row r="1401" spans="1:5" ht="15.75" x14ac:dyDescent="0.25">
      <c r="A1401" s="7"/>
      <c r="B1401" s="8"/>
      <c r="C1401" s="9"/>
      <c r="D1401" s="5"/>
      <c r="E1401" s="5"/>
    </row>
    <row r="1402" spans="1:5" ht="15.75" x14ac:dyDescent="0.25">
      <c r="A1402" s="7"/>
      <c r="B1402" s="8"/>
      <c r="C1402" s="9"/>
      <c r="D1402" s="5"/>
      <c r="E1402" s="5"/>
    </row>
    <row r="1403" spans="1:5" ht="15.75" x14ac:dyDescent="0.25">
      <c r="A1403" s="7"/>
      <c r="B1403" s="8"/>
      <c r="C1403" s="9"/>
      <c r="D1403" s="5"/>
      <c r="E1403" s="5"/>
    </row>
    <row r="1404" spans="1:5" ht="15.75" x14ac:dyDescent="0.25">
      <c r="A1404" s="7"/>
      <c r="B1404" s="8"/>
      <c r="C1404" s="9"/>
      <c r="D1404" s="5"/>
      <c r="E1404" s="5"/>
    </row>
    <row r="1405" spans="1:5" ht="15.75" x14ac:dyDescent="0.25">
      <c r="A1405" s="7"/>
      <c r="B1405" s="8"/>
      <c r="C1405" s="9"/>
      <c r="D1405" s="5"/>
      <c r="E1405" s="5"/>
    </row>
    <row r="1406" spans="1:5" ht="15.75" x14ac:dyDescent="0.25">
      <c r="A1406" s="7"/>
      <c r="B1406" s="8"/>
      <c r="C1406" s="9"/>
      <c r="D1406" s="5"/>
      <c r="E1406" s="5"/>
    </row>
    <row r="1407" spans="1:5" ht="15.75" x14ac:dyDescent="0.25">
      <c r="A1407" s="7"/>
      <c r="B1407" s="8"/>
      <c r="C1407" s="9"/>
      <c r="D1407" s="5"/>
      <c r="E1407" s="5"/>
    </row>
    <row r="1408" spans="1:5" ht="15.75" x14ac:dyDescent="0.25">
      <c r="A1408" s="7"/>
      <c r="B1408" s="8"/>
      <c r="C1408" s="9"/>
      <c r="D1408" s="5"/>
      <c r="E1408" s="5"/>
    </row>
    <row r="1409" spans="1:5" ht="15.75" x14ac:dyDescent="0.25">
      <c r="A1409" s="7"/>
      <c r="B1409" s="8"/>
      <c r="C1409" s="9"/>
      <c r="D1409" s="5"/>
      <c r="E1409" s="5"/>
    </row>
    <row r="1410" spans="1:5" ht="15.75" x14ac:dyDescent="0.25">
      <c r="A1410" s="7"/>
      <c r="B1410" s="8"/>
      <c r="C1410" s="9"/>
      <c r="D1410" s="5"/>
      <c r="E1410" s="5"/>
    </row>
    <row r="1411" spans="1:5" ht="15.75" x14ac:dyDescent="0.25">
      <c r="A1411" s="7"/>
      <c r="B1411" s="8"/>
      <c r="C1411" s="9"/>
      <c r="D1411" s="5"/>
      <c r="E1411" s="5"/>
    </row>
    <row r="1412" spans="1:5" ht="15.75" x14ac:dyDescent="0.25">
      <c r="A1412" s="7"/>
      <c r="B1412" s="8"/>
      <c r="C1412" s="9"/>
      <c r="D1412" s="5"/>
      <c r="E1412" s="5"/>
    </row>
    <row r="1413" spans="1:5" ht="15.75" x14ac:dyDescent="0.25">
      <c r="A1413" s="7"/>
      <c r="B1413" s="8"/>
      <c r="C1413" s="9"/>
      <c r="D1413" s="5"/>
      <c r="E1413" s="5"/>
    </row>
    <row r="1414" spans="1:5" ht="15.75" x14ac:dyDescent="0.25">
      <c r="A1414" s="7"/>
      <c r="B1414" s="8"/>
      <c r="C1414" s="9"/>
      <c r="D1414" s="5"/>
      <c r="E1414" s="5"/>
    </row>
    <row r="1415" spans="1:5" ht="15.75" x14ac:dyDescent="0.25">
      <c r="A1415" s="7"/>
      <c r="B1415" s="8"/>
      <c r="C1415" s="9"/>
      <c r="D1415" s="5"/>
      <c r="E1415" s="5"/>
    </row>
    <row r="1416" spans="1:5" ht="15.75" x14ac:dyDescent="0.25">
      <c r="A1416" s="7"/>
      <c r="B1416" s="8"/>
      <c r="C1416" s="9"/>
      <c r="D1416" s="5"/>
      <c r="E1416" s="5"/>
    </row>
    <row r="1417" spans="1:5" ht="15.75" x14ac:dyDescent="0.25">
      <c r="A1417" s="7"/>
      <c r="B1417" s="8"/>
      <c r="C1417" s="9"/>
      <c r="D1417" s="5"/>
      <c r="E1417" s="5"/>
    </row>
    <row r="1418" spans="1:5" ht="15.75" x14ac:dyDescent="0.25">
      <c r="A1418" s="7"/>
      <c r="B1418" s="8"/>
      <c r="C1418" s="9"/>
      <c r="D1418" s="5"/>
      <c r="E1418" s="5"/>
    </row>
    <row r="1419" spans="1:5" ht="15.75" x14ac:dyDescent="0.25">
      <c r="A1419" s="7"/>
      <c r="B1419" s="8"/>
      <c r="C1419" s="9"/>
      <c r="D1419" s="5"/>
      <c r="E1419" s="5"/>
    </row>
    <row r="1420" spans="1:5" ht="15.75" x14ac:dyDescent="0.25">
      <c r="A1420" s="7"/>
      <c r="B1420" s="8"/>
      <c r="C1420" s="9"/>
      <c r="D1420" s="5"/>
      <c r="E1420" s="5"/>
    </row>
    <row r="1421" spans="1:5" ht="15.75" x14ac:dyDescent="0.25">
      <c r="A1421" s="7"/>
      <c r="B1421" s="8"/>
      <c r="C1421" s="9"/>
      <c r="D1421" s="5"/>
      <c r="E1421" s="5"/>
    </row>
    <row r="1422" spans="1:5" ht="15.75" x14ac:dyDescent="0.25">
      <c r="A1422" s="7"/>
      <c r="B1422" s="8"/>
      <c r="C1422" s="9"/>
      <c r="D1422" s="5"/>
      <c r="E1422" s="5"/>
    </row>
    <row r="1423" spans="1:5" ht="15.75" x14ac:dyDescent="0.25">
      <c r="A1423" s="7"/>
      <c r="B1423" s="8"/>
      <c r="C1423" s="9"/>
      <c r="D1423" s="5"/>
      <c r="E1423" s="5"/>
    </row>
    <row r="1424" spans="1:5" ht="15.75" x14ac:dyDescent="0.25">
      <c r="A1424" s="7"/>
      <c r="B1424" s="8"/>
      <c r="C1424" s="9"/>
      <c r="D1424" s="5"/>
      <c r="E1424" s="5"/>
    </row>
    <row r="1425" spans="1:5" ht="15.75" x14ac:dyDescent="0.25">
      <c r="A1425" s="7"/>
      <c r="B1425" s="8"/>
      <c r="C1425" s="9"/>
      <c r="D1425" s="5"/>
      <c r="E1425" s="5"/>
    </row>
    <row r="1426" spans="1:5" ht="15.75" x14ac:dyDescent="0.25">
      <c r="A1426" s="7"/>
      <c r="B1426" s="8"/>
      <c r="C1426" s="9"/>
      <c r="D1426" s="5"/>
      <c r="E1426" s="5"/>
    </row>
    <row r="1427" spans="1:5" ht="15.75" x14ac:dyDescent="0.25">
      <c r="A1427" s="7"/>
      <c r="B1427" s="8"/>
      <c r="C1427" s="9"/>
      <c r="D1427" s="5"/>
      <c r="E1427" s="5"/>
    </row>
    <row r="1428" spans="1:5" ht="15.75" x14ac:dyDescent="0.25">
      <c r="A1428" s="7"/>
      <c r="B1428" s="8"/>
      <c r="C1428" s="9"/>
      <c r="D1428" s="5"/>
      <c r="E1428" s="5"/>
    </row>
    <row r="1429" spans="1:5" ht="15.75" x14ac:dyDescent="0.25">
      <c r="A1429" s="7"/>
      <c r="B1429" s="8"/>
      <c r="C1429" s="9"/>
      <c r="D1429" s="5"/>
      <c r="E1429" s="5"/>
    </row>
    <row r="1430" spans="1:5" ht="15.75" x14ac:dyDescent="0.25">
      <c r="A1430" s="7"/>
      <c r="B1430" s="8"/>
      <c r="C1430" s="9"/>
      <c r="D1430" s="5"/>
      <c r="E1430" s="5"/>
    </row>
    <row r="1431" spans="1:5" ht="15.75" x14ac:dyDescent="0.25">
      <c r="A1431" s="7"/>
      <c r="B1431" s="8"/>
      <c r="C1431" s="9"/>
      <c r="D1431" s="5"/>
      <c r="E1431" s="5"/>
    </row>
    <row r="1432" spans="1:5" ht="15.75" x14ac:dyDescent="0.25">
      <c r="A1432" s="7"/>
      <c r="B1432" s="8"/>
      <c r="C1432" s="9"/>
      <c r="D1432" s="5"/>
      <c r="E1432" s="5"/>
    </row>
    <row r="1433" spans="1:5" ht="15.75" x14ac:dyDescent="0.25">
      <c r="A1433" s="7"/>
      <c r="B1433" s="8"/>
      <c r="C1433" s="9"/>
      <c r="D1433" s="5"/>
      <c r="E1433" s="5"/>
    </row>
    <row r="1434" spans="1:5" ht="15.75" x14ac:dyDescent="0.25">
      <c r="A1434" s="7"/>
      <c r="B1434" s="8"/>
      <c r="C1434" s="9"/>
      <c r="D1434" s="5"/>
      <c r="E1434" s="5"/>
    </row>
    <row r="1435" spans="1:5" ht="15.75" x14ac:dyDescent="0.25">
      <c r="A1435" s="7"/>
      <c r="B1435" s="8"/>
      <c r="C1435" s="9"/>
      <c r="D1435" s="5"/>
      <c r="E1435" s="5"/>
    </row>
    <row r="1436" spans="1:5" ht="15.75" x14ac:dyDescent="0.25">
      <c r="A1436" s="7"/>
      <c r="B1436" s="8"/>
      <c r="C1436" s="9"/>
      <c r="D1436" s="5"/>
      <c r="E1436" s="5"/>
    </row>
    <row r="1437" spans="1:5" ht="15.75" x14ac:dyDescent="0.25">
      <c r="A1437" s="7"/>
      <c r="B1437" s="8"/>
      <c r="C1437" s="9"/>
      <c r="D1437" s="5"/>
      <c r="E1437" s="5"/>
    </row>
    <row r="1438" spans="1:5" ht="15.75" x14ac:dyDescent="0.25">
      <c r="A1438" s="7"/>
      <c r="B1438" s="8"/>
      <c r="C1438" s="9"/>
      <c r="D1438" s="5"/>
      <c r="E1438" s="5"/>
    </row>
    <row r="1439" spans="1:5" ht="15.75" x14ac:dyDescent="0.25">
      <c r="A1439" s="7"/>
      <c r="B1439" s="8"/>
      <c r="C1439" s="9"/>
      <c r="D1439" s="5"/>
      <c r="E1439" s="5"/>
    </row>
    <row r="1440" spans="1:5" ht="15.75" x14ac:dyDescent="0.25">
      <c r="A1440" s="7"/>
      <c r="B1440" s="8"/>
      <c r="C1440" s="9"/>
      <c r="D1440" s="5"/>
      <c r="E1440" s="5"/>
    </row>
    <row r="1441" spans="1:5" ht="15.75" x14ac:dyDescent="0.25">
      <c r="A1441" s="7"/>
      <c r="B1441" s="8"/>
      <c r="C1441" s="9"/>
      <c r="D1441" s="5"/>
      <c r="E1441" s="5"/>
    </row>
    <row r="1442" spans="1:5" ht="15.75" x14ac:dyDescent="0.25">
      <c r="A1442" s="7"/>
      <c r="B1442" s="8"/>
      <c r="C1442" s="9"/>
      <c r="D1442" s="5"/>
      <c r="E1442" s="5"/>
    </row>
    <row r="1443" spans="1:5" ht="15.75" x14ac:dyDescent="0.25">
      <c r="A1443" s="7"/>
      <c r="B1443" s="8"/>
      <c r="C1443" s="9"/>
      <c r="D1443" s="5"/>
      <c r="E1443" s="5"/>
    </row>
    <row r="1444" spans="1:5" ht="15.75" x14ac:dyDescent="0.25">
      <c r="A1444" s="7"/>
      <c r="B1444" s="8"/>
      <c r="C1444" s="9"/>
      <c r="D1444" s="5"/>
      <c r="E1444" s="5"/>
    </row>
    <row r="1445" spans="1:5" ht="15.75" x14ac:dyDescent="0.25">
      <c r="A1445" s="7"/>
      <c r="B1445" s="8"/>
      <c r="C1445" s="9"/>
      <c r="D1445" s="5"/>
      <c r="E1445" s="5"/>
    </row>
    <row r="1446" spans="1:5" ht="15.75" x14ac:dyDescent="0.25">
      <c r="A1446" s="7"/>
      <c r="B1446" s="8"/>
      <c r="C1446" s="9"/>
      <c r="D1446" s="5"/>
      <c r="E1446" s="5"/>
    </row>
    <row r="1447" spans="1:5" ht="15.75" x14ac:dyDescent="0.25">
      <c r="A1447" s="7"/>
      <c r="B1447" s="8"/>
      <c r="C1447" s="9"/>
      <c r="D1447" s="5"/>
      <c r="E1447" s="5"/>
    </row>
    <row r="1448" spans="1:5" ht="15.75" x14ac:dyDescent="0.25">
      <c r="A1448" s="7"/>
      <c r="B1448" s="8"/>
      <c r="C1448" s="9"/>
      <c r="D1448" s="5"/>
      <c r="E1448" s="5"/>
    </row>
    <row r="1449" spans="1:5" ht="15.75" x14ac:dyDescent="0.25">
      <c r="A1449" s="7"/>
      <c r="B1449" s="8"/>
      <c r="C1449" s="9"/>
      <c r="D1449" s="5"/>
      <c r="E1449" s="5"/>
    </row>
    <row r="1450" spans="1:5" ht="15.75" x14ac:dyDescent="0.25">
      <c r="A1450" s="7"/>
      <c r="B1450" s="8"/>
      <c r="C1450" s="9"/>
      <c r="D1450" s="5"/>
      <c r="E1450" s="5"/>
    </row>
    <row r="1451" spans="1:5" ht="15.75" x14ac:dyDescent="0.25">
      <c r="A1451" s="7"/>
      <c r="B1451" s="8"/>
      <c r="C1451" s="9"/>
      <c r="D1451" s="5"/>
      <c r="E1451" s="5"/>
    </row>
    <row r="1452" spans="1:5" ht="15.75" x14ac:dyDescent="0.25">
      <c r="A1452" s="7"/>
      <c r="B1452" s="8"/>
      <c r="C1452" s="9"/>
      <c r="D1452" s="5"/>
      <c r="E1452" s="5"/>
    </row>
    <row r="1453" spans="1:5" ht="15.75" x14ac:dyDescent="0.25">
      <c r="A1453" s="7"/>
      <c r="B1453" s="8"/>
      <c r="C1453" s="9"/>
      <c r="D1453" s="5"/>
      <c r="E1453" s="5"/>
    </row>
    <row r="1454" spans="1:5" ht="15.75" x14ac:dyDescent="0.25">
      <c r="A1454" s="7"/>
      <c r="B1454" s="8"/>
      <c r="C1454" s="9"/>
      <c r="D1454" s="5"/>
      <c r="E1454" s="5"/>
    </row>
    <row r="1455" spans="1:5" ht="15.75" x14ac:dyDescent="0.25">
      <c r="A1455" s="7"/>
      <c r="B1455" s="8"/>
      <c r="C1455" s="9"/>
      <c r="D1455" s="5"/>
      <c r="E1455" s="5"/>
    </row>
    <row r="1456" spans="1:5" ht="15.75" x14ac:dyDescent="0.25">
      <c r="A1456" s="7"/>
      <c r="B1456" s="8"/>
      <c r="C1456" s="9"/>
      <c r="D1456" s="5"/>
      <c r="E1456" s="5"/>
    </row>
    <row r="1457" spans="1:5" ht="15.75" x14ac:dyDescent="0.25">
      <c r="A1457" s="7"/>
      <c r="B1457" s="8"/>
      <c r="C1457" s="9"/>
      <c r="D1457" s="5"/>
      <c r="E1457" s="5"/>
    </row>
    <row r="1458" spans="1:5" ht="15.75" x14ac:dyDescent="0.25">
      <c r="A1458" s="7"/>
      <c r="B1458" s="8"/>
      <c r="C1458" s="9"/>
      <c r="D1458" s="5"/>
      <c r="E1458" s="5"/>
    </row>
    <row r="1459" spans="1:5" ht="15.75" x14ac:dyDescent="0.25">
      <c r="A1459" s="7"/>
      <c r="B1459" s="8"/>
      <c r="C1459" s="9"/>
      <c r="D1459" s="5"/>
      <c r="E1459" s="5"/>
    </row>
    <row r="1460" spans="1:5" ht="15.75" x14ac:dyDescent="0.25">
      <c r="A1460" s="7"/>
      <c r="B1460" s="8"/>
      <c r="C1460" s="9"/>
      <c r="D1460" s="5"/>
      <c r="E1460" s="5"/>
    </row>
    <row r="1461" spans="1:5" ht="15.75" x14ac:dyDescent="0.25">
      <c r="A1461" s="7"/>
      <c r="B1461" s="8"/>
      <c r="C1461" s="9"/>
      <c r="D1461" s="5"/>
      <c r="E1461" s="5"/>
    </row>
    <row r="1462" spans="1:5" ht="15.75" x14ac:dyDescent="0.25">
      <c r="A1462" s="7"/>
      <c r="B1462" s="8"/>
      <c r="C1462" s="9"/>
      <c r="D1462" s="5"/>
      <c r="E1462" s="5"/>
    </row>
    <row r="1463" spans="1:5" ht="15.75" x14ac:dyDescent="0.25">
      <c r="A1463" s="7"/>
      <c r="B1463" s="8"/>
      <c r="C1463" s="9"/>
      <c r="D1463" s="5"/>
      <c r="E1463" s="5"/>
    </row>
    <row r="1464" spans="1:5" ht="15.75" x14ac:dyDescent="0.25">
      <c r="A1464" s="7"/>
      <c r="B1464" s="8"/>
      <c r="C1464" s="9"/>
      <c r="D1464" s="5"/>
      <c r="E1464" s="5"/>
    </row>
    <row r="1465" spans="1:5" ht="15.75" x14ac:dyDescent="0.25">
      <c r="A1465" s="7"/>
      <c r="B1465" s="8"/>
      <c r="C1465" s="9"/>
      <c r="D1465" s="5"/>
      <c r="E1465" s="5"/>
    </row>
    <row r="1466" spans="1:5" ht="15.75" x14ac:dyDescent="0.25">
      <c r="A1466" s="7"/>
      <c r="B1466" s="8"/>
      <c r="C1466" s="9"/>
      <c r="D1466" s="5"/>
      <c r="E1466" s="5"/>
    </row>
    <row r="1467" spans="1:5" ht="15.75" x14ac:dyDescent="0.25">
      <c r="A1467" s="7"/>
      <c r="B1467" s="8"/>
      <c r="C1467" s="9"/>
      <c r="D1467" s="5"/>
      <c r="E1467" s="5"/>
    </row>
    <row r="1468" spans="1:5" ht="15.75" x14ac:dyDescent="0.25">
      <c r="A1468" s="7"/>
      <c r="B1468" s="8"/>
      <c r="C1468" s="9"/>
      <c r="D1468" s="5"/>
      <c r="E1468" s="5"/>
    </row>
    <row r="1469" spans="1:5" ht="15.75" x14ac:dyDescent="0.25">
      <c r="A1469" s="7"/>
      <c r="B1469" s="8"/>
      <c r="C1469" s="9"/>
      <c r="D1469" s="5"/>
      <c r="E1469" s="5"/>
    </row>
    <row r="1470" spans="1:5" ht="15.75" x14ac:dyDescent="0.25">
      <c r="A1470" s="7"/>
      <c r="B1470" s="8"/>
      <c r="C1470" s="9"/>
      <c r="D1470" s="5"/>
      <c r="E1470" s="5"/>
    </row>
    <row r="1471" spans="1:5" ht="15.75" x14ac:dyDescent="0.25">
      <c r="A1471" s="7"/>
      <c r="B1471" s="8"/>
      <c r="C1471" s="9"/>
      <c r="D1471" s="5"/>
      <c r="E1471" s="5"/>
    </row>
    <row r="1472" spans="1:5" ht="15.75" x14ac:dyDescent="0.25">
      <c r="A1472" s="7"/>
      <c r="B1472" s="8"/>
      <c r="C1472" s="9"/>
      <c r="D1472" s="5"/>
      <c r="E1472" s="5"/>
    </row>
    <row r="1473" spans="1:5" ht="15.75" x14ac:dyDescent="0.25">
      <c r="A1473" s="7"/>
      <c r="B1473" s="8"/>
      <c r="C1473" s="9"/>
      <c r="D1473" s="5"/>
      <c r="E1473" s="5"/>
    </row>
    <row r="1474" spans="1:5" ht="15.75" x14ac:dyDescent="0.25">
      <c r="A1474" s="7"/>
      <c r="B1474" s="8"/>
      <c r="C1474" s="9"/>
      <c r="D1474" s="5"/>
      <c r="E1474" s="5"/>
    </row>
    <row r="1475" spans="1:5" ht="15.75" x14ac:dyDescent="0.25">
      <c r="A1475" s="7"/>
      <c r="B1475" s="8"/>
      <c r="C1475" s="9"/>
      <c r="D1475" s="5"/>
      <c r="E1475" s="5"/>
    </row>
    <row r="1476" spans="1:5" ht="15.75" x14ac:dyDescent="0.25">
      <c r="A1476" s="7"/>
      <c r="B1476" s="8"/>
      <c r="C1476" s="9"/>
      <c r="D1476" s="5"/>
      <c r="E1476" s="5"/>
    </row>
    <row r="1477" spans="1:5" ht="15.75" x14ac:dyDescent="0.25">
      <c r="A1477" s="7"/>
      <c r="B1477" s="8"/>
      <c r="C1477" s="9"/>
      <c r="D1477" s="5"/>
      <c r="E1477" s="5"/>
    </row>
    <row r="1478" spans="1:5" ht="15.75" x14ac:dyDescent="0.25">
      <c r="A1478" s="7"/>
      <c r="B1478" s="8"/>
      <c r="C1478" s="9"/>
      <c r="D1478" s="5"/>
      <c r="E1478" s="5"/>
    </row>
    <row r="1479" spans="1:5" ht="15.75" x14ac:dyDescent="0.25">
      <c r="A1479" s="7"/>
      <c r="B1479" s="8"/>
      <c r="C1479" s="9"/>
      <c r="D1479" s="5"/>
      <c r="E1479" s="5"/>
    </row>
    <row r="1480" spans="1:5" ht="15.75" x14ac:dyDescent="0.25">
      <c r="A1480" s="7"/>
      <c r="B1480" s="8"/>
      <c r="C1480" s="9"/>
      <c r="D1480" s="5"/>
      <c r="E1480" s="5"/>
    </row>
    <row r="1481" spans="1:5" ht="15.75" x14ac:dyDescent="0.25">
      <c r="A1481" s="7"/>
      <c r="B1481" s="8"/>
      <c r="C1481" s="9"/>
      <c r="D1481" s="5"/>
      <c r="E1481" s="5"/>
    </row>
    <row r="1482" spans="1:5" ht="15.75" x14ac:dyDescent="0.25">
      <c r="A1482" s="7"/>
      <c r="B1482" s="8"/>
      <c r="C1482" s="9"/>
      <c r="D1482" s="5"/>
      <c r="E1482" s="5"/>
    </row>
    <row r="1483" spans="1:5" ht="15.75" x14ac:dyDescent="0.25">
      <c r="A1483" s="7"/>
      <c r="B1483" s="8"/>
      <c r="C1483" s="9"/>
      <c r="D1483" s="5"/>
      <c r="E1483" s="5"/>
    </row>
    <row r="1484" spans="1:5" ht="15.75" x14ac:dyDescent="0.25">
      <c r="A1484" s="7"/>
      <c r="B1484" s="8"/>
      <c r="C1484" s="9"/>
      <c r="D1484" s="5"/>
      <c r="E1484" s="5"/>
    </row>
    <row r="1485" spans="1:5" ht="15.75" x14ac:dyDescent="0.25">
      <c r="A1485" s="7"/>
      <c r="B1485" s="8"/>
      <c r="C1485" s="9"/>
      <c r="D1485" s="5"/>
      <c r="E1485" s="5"/>
    </row>
    <row r="1486" spans="1:5" ht="15.75" x14ac:dyDescent="0.25">
      <c r="A1486" s="7"/>
      <c r="B1486" s="8"/>
      <c r="C1486" s="9"/>
      <c r="D1486" s="5"/>
      <c r="E1486" s="5"/>
    </row>
    <row r="1487" spans="1:5" ht="15.75" x14ac:dyDescent="0.25">
      <c r="A1487" s="7"/>
      <c r="B1487" s="8"/>
      <c r="C1487" s="9"/>
      <c r="D1487" s="5"/>
      <c r="E1487" s="5"/>
    </row>
    <row r="1488" spans="1:5" ht="15.75" x14ac:dyDescent="0.25">
      <c r="A1488" s="7"/>
      <c r="B1488" s="8"/>
      <c r="C1488" s="9"/>
      <c r="D1488" s="5"/>
      <c r="E1488" s="5"/>
    </row>
    <row r="1489" spans="1:5" ht="15.75" x14ac:dyDescent="0.25">
      <c r="A1489" s="7"/>
      <c r="B1489" s="8"/>
      <c r="C1489" s="9"/>
      <c r="D1489" s="5"/>
      <c r="E1489" s="5"/>
    </row>
    <row r="1490" spans="1:5" ht="15.75" x14ac:dyDescent="0.25">
      <c r="A1490" s="7"/>
      <c r="B1490" s="8"/>
      <c r="C1490" s="9"/>
      <c r="D1490" s="5"/>
      <c r="E1490" s="5"/>
    </row>
    <row r="1491" spans="1:5" ht="15.75" x14ac:dyDescent="0.25">
      <c r="A1491" s="7"/>
      <c r="B1491" s="8"/>
      <c r="C1491" s="9"/>
      <c r="D1491" s="5"/>
      <c r="E1491" s="5"/>
    </row>
    <row r="1492" spans="1:5" ht="15.75" x14ac:dyDescent="0.25">
      <c r="A1492" s="7"/>
      <c r="B1492" s="8"/>
      <c r="C1492" s="9"/>
      <c r="D1492" s="5"/>
      <c r="E1492" s="5"/>
    </row>
    <row r="1493" spans="1:5" ht="15.75" x14ac:dyDescent="0.25">
      <c r="A1493" s="7"/>
      <c r="B1493" s="8"/>
      <c r="C1493" s="9"/>
      <c r="D1493" s="5"/>
      <c r="E1493" s="5"/>
    </row>
    <row r="1494" spans="1:5" ht="15.75" x14ac:dyDescent="0.25">
      <c r="A1494" s="7"/>
      <c r="B1494" s="8"/>
      <c r="C1494" s="9"/>
      <c r="D1494" s="5"/>
      <c r="E1494" s="5"/>
    </row>
    <row r="1495" spans="1:5" ht="15.75" x14ac:dyDescent="0.25">
      <c r="A1495" s="7"/>
      <c r="B1495" s="8"/>
      <c r="C1495" s="9"/>
      <c r="D1495" s="5"/>
      <c r="E1495" s="5"/>
    </row>
    <row r="1496" spans="1:5" ht="15.75" x14ac:dyDescent="0.25">
      <c r="A1496" s="7"/>
      <c r="B1496" s="8"/>
      <c r="C1496" s="9"/>
      <c r="D1496" s="5"/>
      <c r="E1496" s="5"/>
    </row>
    <row r="1497" spans="1:5" ht="15.75" x14ac:dyDescent="0.25">
      <c r="A1497" s="7"/>
      <c r="B1497" s="8"/>
      <c r="C1497" s="9"/>
      <c r="D1497" s="5"/>
      <c r="E1497" s="5"/>
    </row>
    <row r="1498" spans="1:5" ht="15.75" x14ac:dyDescent="0.25">
      <c r="A1498" s="7"/>
      <c r="B1498" s="8"/>
      <c r="C1498" s="9"/>
      <c r="D1498" s="5"/>
      <c r="E1498" s="5"/>
    </row>
    <row r="1499" spans="1:5" ht="15.75" x14ac:dyDescent="0.25">
      <c r="A1499" s="7"/>
      <c r="B1499" s="8"/>
      <c r="C1499" s="9"/>
      <c r="D1499" s="5"/>
      <c r="E1499" s="5"/>
    </row>
    <row r="1500" spans="1:5" ht="15.75" x14ac:dyDescent="0.25">
      <c r="A1500" s="7"/>
      <c r="B1500" s="8"/>
      <c r="C1500" s="9"/>
      <c r="D1500" s="5"/>
      <c r="E1500" s="5"/>
    </row>
    <row r="1501" spans="1:5" ht="15.75" x14ac:dyDescent="0.25">
      <c r="A1501" s="7"/>
      <c r="B1501" s="8"/>
      <c r="C1501" s="9"/>
      <c r="D1501" s="5"/>
      <c r="E1501" s="5"/>
    </row>
    <row r="1502" spans="1:5" ht="15.75" x14ac:dyDescent="0.25">
      <c r="A1502" s="7"/>
      <c r="B1502" s="8"/>
      <c r="C1502" s="9"/>
      <c r="D1502" s="5"/>
      <c r="E1502" s="5"/>
    </row>
    <row r="1503" spans="1:5" ht="15.75" x14ac:dyDescent="0.25">
      <c r="A1503" s="7"/>
      <c r="B1503" s="8"/>
      <c r="C1503" s="9"/>
      <c r="D1503" s="5"/>
      <c r="E1503" s="5"/>
    </row>
    <row r="1504" spans="1:5" ht="15.75" x14ac:dyDescent="0.25">
      <c r="A1504" s="7"/>
      <c r="B1504" s="8"/>
      <c r="C1504" s="9"/>
      <c r="D1504" s="5"/>
      <c r="E1504" s="5"/>
    </row>
    <row r="1505" spans="1:5" ht="15.75" x14ac:dyDescent="0.25">
      <c r="A1505" s="7"/>
      <c r="B1505" s="8"/>
      <c r="C1505" s="9"/>
      <c r="D1505" s="5"/>
      <c r="E1505" s="5"/>
    </row>
    <row r="1506" spans="1:5" ht="15.75" x14ac:dyDescent="0.25">
      <c r="A1506" s="7"/>
      <c r="B1506" s="8"/>
      <c r="C1506" s="9"/>
      <c r="D1506" s="5"/>
      <c r="E1506" s="5"/>
    </row>
    <row r="1507" spans="1:5" ht="15.75" x14ac:dyDescent="0.25">
      <c r="A1507" s="7"/>
      <c r="B1507" s="8"/>
      <c r="C1507" s="9"/>
      <c r="D1507" s="5"/>
      <c r="E1507" s="5"/>
    </row>
    <row r="1508" spans="1:5" ht="15.75" x14ac:dyDescent="0.25">
      <c r="A1508" s="7"/>
      <c r="B1508" s="8"/>
      <c r="C1508" s="9"/>
      <c r="D1508" s="5"/>
      <c r="E1508" s="5"/>
    </row>
    <row r="1509" spans="1:5" ht="15.75" x14ac:dyDescent="0.25">
      <c r="A1509" s="7"/>
      <c r="B1509" s="8"/>
      <c r="C1509" s="9"/>
      <c r="D1509" s="5"/>
      <c r="E1509" s="5"/>
    </row>
    <row r="1510" spans="1:5" ht="15.75" x14ac:dyDescent="0.25">
      <c r="A1510" s="7"/>
      <c r="B1510" s="8"/>
      <c r="C1510" s="9"/>
      <c r="D1510" s="5"/>
      <c r="E1510" s="5"/>
    </row>
    <row r="1511" spans="1:5" ht="15.75" x14ac:dyDescent="0.25">
      <c r="A1511" s="7"/>
      <c r="B1511" s="8"/>
      <c r="C1511" s="9"/>
      <c r="D1511" s="5"/>
      <c r="E1511" s="5"/>
    </row>
    <row r="1512" spans="1:5" ht="15.75" x14ac:dyDescent="0.25">
      <c r="A1512" s="7"/>
      <c r="B1512" s="8"/>
      <c r="C1512" s="9"/>
      <c r="D1512" s="5"/>
      <c r="E1512" s="5"/>
    </row>
    <row r="1513" spans="1:5" ht="15.75" x14ac:dyDescent="0.25">
      <c r="A1513" s="7"/>
      <c r="B1513" s="8"/>
      <c r="C1513" s="9"/>
      <c r="D1513" s="5"/>
      <c r="E1513" s="5"/>
    </row>
    <row r="1514" spans="1:5" ht="15.75" x14ac:dyDescent="0.25">
      <c r="A1514" s="7"/>
      <c r="B1514" s="8"/>
      <c r="C1514" s="9"/>
      <c r="D1514" s="5"/>
      <c r="E1514" s="5"/>
    </row>
    <row r="1515" spans="1:5" ht="15.75" x14ac:dyDescent="0.25">
      <c r="A1515" s="7"/>
      <c r="B1515" s="8"/>
      <c r="C1515" s="9"/>
      <c r="D1515" s="5"/>
      <c r="E1515" s="5"/>
    </row>
    <row r="1516" spans="1:5" ht="15.75" x14ac:dyDescent="0.25">
      <c r="A1516" s="7"/>
      <c r="B1516" s="8"/>
      <c r="C1516" s="9"/>
      <c r="D1516" s="5"/>
      <c r="E1516" s="5"/>
    </row>
    <row r="1517" spans="1:5" ht="15.75" x14ac:dyDescent="0.25">
      <c r="A1517" s="7"/>
      <c r="B1517" s="8"/>
      <c r="C1517" s="9"/>
      <c r="D1517" s="5"/>
      <c r="E1517" s="5"/>
    </row>
    <row r="1518" spans="1:5" ht="15.75" x14ac:dyDescent="0.25">
      <c r="A1518" s="7"/>
      <c r="B1518" s="8"/>
      <c r="C1518" s="9"/>
      <c r="D1518" s="5"/>
      <c r="E1518" s="5"/>
    </row>
    <row r="1519" spans="1:5" ht="15.75" x14ac:dyDescent="0.25">
      <c r="A1519" s="7"/>
      <c r="B1519" s="8"/>
      <c r="C1519" s="9"/>
      <c r="D1519" s="5"/>
      <c r="E1519" s="5"/>
    </row>
    <row r="1520" spans="1:5" ht="15.75" x14ac:dyDescent="0.25">
      <c r="A1520" s="7"/>
      <c r="B1520" s="8"/>
      <c r="C1520" s="9"/>
      <c r="D1520" s="5"/>
      <c r="E1520" s="5"/>
    </row>
    <row r="1521" spans="1:5" ht="15.75" x14ac:dyDescent="0.25">
      <c r="A1521" s="7"/>
      <c r="B1521" s="8"/>
      <c r="C1521" s="9"/>
      <c r="D1521" s="5"/>
      <c r="E1521" s="5"/>
    </row>
    <row r="1522" spans="1:5" ht="15.75" x14ac:dyDescent="0.25">
      <c r="A1522" s="7"/>
      <c r="B1522" s="8"/>
      <c r="C1522" s="9"/>
      <c r="D1522" s="5"/>
      <c r="E1522" s="5"/>
    </row>
    <row r="1523" spans="1:5" ht="15.75" x14ac:dyDescent="0.25">
      <c r="A1523" s="7"/>
      <c r="B1523" s="8"/>
      <c r="C1523" s="9"/>
      <c r="D1523" s="5"/>
      <c r="E1523" s="5"/>
    </row>
    <row r="1524" spans="1:5" ht="15.75" x14ac:dyDescent="0.25">
      <c r="A1524" s="7"/>
      <c r="B1524" s="8"/>
      <c r="C1524" s="9"/>
      <c r="D1524" s="5"/>
      <c r="E1524" s="5"/>
    </row>
    <row r="1525" spans="1:5" ht="15.75" x14ac:dyDescent="0.25">
      <c r="A1525" s="7"/>
      <c r="B1525" s="8"/>
      <c r="C1525" s="9"/>
      <c r="D1525" s="5"/>
      <c r="E1525" s="5"/>
    </row>
    <row r="1526" spans="1:5" ht="15.75" x14ac:dyDescent="0.25">
      <c r="A1526" s="7"/>
      <c r="B1526" s="8"/>
      <c r="C1526" s="9"/>
      <c r="D1526" s="5"/>
      <c r="E1526" s="5"/>
    </row>
    <row r="1527" spans="1:5" ht="15.75" x14ac:dyDescent="0.25">
      <c r="A1527" s="7"/>
      <c r="B1527" s="8"/>
      <c r="C1527" s="9"/>
      <c r="D1527" s="5"/>
      <c r="E1527" s="5"/>
    </row>
    <row r="1528" spans="1:5" ht="15.75" x14ac:dyDescent="0.25">
      <c r="A1528" s="7"/>
      <c r="B1528" s="8"/>
      <c r="C1528" s="9"/>
      <c r="D1528" s="5"/>
      <c r="E1528" s="5"/>
    </row>
    <row r="1529" spans="1:5" ht="15.75" x14ac:dyDescent="0.25">
      <c r="A1529" s="7"/>
      <c r="B1529" s="8"/>
      <c r="C1529" s="9"/>
      <c r="D1529" s="5"/>
      <c r="E1529" s="5"/>
    </row>
    <row r="1530" spans="1:5" ht="15.75" x14ac:dyDescent="0.25">
      <c r="A1530" s="7"/>
      <c r="B1530" s="8"/>
      <c r="C1530" s="9"/>
      <c r="D1530" s="5"/>
      <c r="E1530" s="5"/>
    </row>
    <row r="1531" spans="1:5" ht="15.75" x14ac:dyDescent="0.25">
      <c r="A1531" s="7"/>
      <c r="B1531" s="8"/>
      <c r="C1531" s="9"/>
      <c r="D1531" s="5"/>
      <c r="E1531" s="5"/>
    </row>
    <row r="1532" spans="1:5" ht="15.75" x14ac:dyDescent="0.25">
      <c r="A1532" s="7"/>
      <c r="B1532" s="8"/>
      <c r="C1532" s="9"/>
      <c r="D1532" s="5"/>
      <c r="E1532" s="5"/>
    </row>
    <row r="1533" spans="1:5" ht="15.75" x14ac:dyDescent="0.25">
      <c r="A1533" s="7"/>
      <c r="B1533" s="8"/>
      <c r="C1533" s="9"/>
      <c r="D1533" s="5"/>
      <c r="E1533" s="5"/>
    </row>
    <row r="1534" spans="1:5" ht="15.75" x14ac:dyDescent="0.25">
      <c r="A1534" s="7"/>
      <c r="B1534" s="8"/>
      <c r="C1534" s="9"/>
      <c r="D1534" s="5"/>
      <c r="E1534" s="5"/>
    </row>
    <row r="1535" spans="1:5" ht="15.75" x14ac:dyDescent="0.25">
      <c r="A1535" s="7"/>
      <c r="B1535" s="8"/>
      <c r="C1535" s="9"/>
      <c r="D1535" s="5"/>
      <c r="E1535" s="5"/>
    </row>
    <row r="1536" spans="1:5" ht="15.75" x14ac:dyDescent="0.25">
      <c r="A1536" s="7"/>
      <c r="B1536" s="8"/>
      <c r="C1536" s="9"/>
      <c r="D1536" s="5"/>
      <c r="E1536" s="5"/>
    </row>
    <row r="1537" spans="1:5" ht="15.75" x14ac:dyDescent="0.25">
      <c r="A1537" s="7"/>
      <c r="B1537" s="8"/>
      <c r="C1537" s="9"/>
      <c r="D1537" s="5"/>
      <c r="E1537" s="5"/>
    </row>
    <row r="1538" spans="1:5" ht="15.75" x14ac:dyDescent="0.25">
      <c r="A1538" s="7"/>
      <c r="B1538" s="8"/>
      <c r="C1538" s="9"/>
      <c r="D1538" s="5"/>
      <c r="E1538" s="5"/>
    </row>
    <row r="1539" spans="1:5" ht="15.75" x14ac:dyDescent="0.25">
      <c r="A1539" s="7"/>
      <c r="B1539" s="8"/>
      <c r="C1539" s="9"/>
      <c r="D1539" s="5"/>
      <c r="E1539" s="5"/>
    </row>
    <row r="1540" spans="1:5" ht="15.75" x14ac:dyDescent="0.25">
      <c r="A1540" s="7"/>
      <c r="B1540" s="8"/>
      <c r="C1540" s="9"/>
      <c r="D1540" s="5"/>
      <c r="E1540" s="5"/>
    </row>
    <row r="1541" spans="1:5" ht="15.75" x14ac:dyDescent="0.25">
      <c r="A1541" s="7"/>
      <c r="B1541" s="8"/>
      <c r="C1541" s="9"/>
      <c r="D1541" s="5"/>
      <c r="E1541" s="5"/>
    </row>
    <row r="1542" spans="1:5" ht="15.75" x14ac:dyDescent="0.25">
      <c r="A1542" s="7"/>
      <c r="B1542" s="8"/>
      <c r="C1542" s="9"/>
      <c r="D1542" s="5"/>
      <c r="E1542" s="5"/>
    </row>
    <row r="1543" spans="1:5" ht="15.75" x14ac:dyDescent="0.25">
      <c r="A1543" s="7"/>
      <c r="B1543" s="8"/>
      <c r="C1543" s="9"/>
      <c r="D1543" s="5"/>
      <c r="E1543" s="5"/>
    </row>
    <row r="1544" spans="1:5" ht="15.75" x14ac:dyDescent="0.25">
      <c r="A1544" s="7"/>
      <c r="B1544" s="8"/>
      <c r="C1544" s="9"/>
      <c r="D1544" s="5"/>
      <c r="E1544" s="5"/>
    </row>
    <row r="1545" spans="1:5" ht="15.75" x14ac:dyDescent="0.25">
      <c r="A1545" s="7"/>
      <c r="B1545" s="8"/>
      <c r="C1545" s="9"/>
      <c r="D1545" s="5"/>
      <c r="E1545" s="5"/>
    </row>
    <row r="1546" spans="1:5" ht="15.75" x14ac:dyDescent="0.25">
      <c r="A1546" s="7"/>
      <c r="B1546" s="8"/>
      <c r="C1546" s="9"/>
      <c r="D1546" s="5"/>
      <c r="E1546" s="5"/>
    </row>
    <row r="1547" spans="1:5" ht="15.75" x14ac:dyDescent="0.25">
      <c r="A1547" s="7"/>
      <c r="B1547" s="8"/>
      <c r="C1547" s="9"/>
      <c r="D1547" s="5"/>
      <c r="E1547" s="5"/>
    </row>
    <row r="1548" spans="1:5" ht="15.75" x14ac:dyDescent="0.25">
      <c r="A1548" s="7"/>
      <c r="B1548" s="8"/>
      <c r="C1548" s="9"/>
      <c r="D1548" s="5"/>
      <c r="E1548" s="5"/>
    </row>
    <row r="1549" spans="1:5" ht="15.75" x14ac:dyDescent="0.25">
      <c r="A1549" s="7"/>
      <c r="B1549" s="8"/>
      <c r="C1549" s="9"/>
      <c r="D1549" s="5"/>
      <c r="E1549" s="5"/>
    </row>
    <row r="1550" spans="1:5" ht="15.75" x14ac:dyDescent="0.25">
      <c r="A1550" s="7"/>
      <c r="B1550" s="8"/>
      <c r="C1550" s="9"/>
      <c r="D1550" s="5"/>
      <c r="E1550" s="5"/>
    </row>
    <row r="1551" spans="1:5" ht="15.75" x14ac:dyDescent="0.25">
      <c r="A1551" s="7"/>
      <c r="B1551" s="8"/>
      <c r="C1551" s="9"/>
      <c r="D1551" s="5"/>
      <c r="E1551" s="5"/>
    </row>
    <row r="1552" spans="1:5" ht="15.75" x14ac:dyDescent="0.25">
      <c r="A1552" s="7"/>
      <c r="B1552" s="8"/>
      <c r="C1552" s="9"/>
      <c r="D1552" s="5"/>
      <c r="E1552" s="5"/>
    </row>
    <row r="1553" spans="1:5" ht="15.75" x14ac:dyDescent="0.25">
      <c r="A1553" s="7"/>
      <c r="B1553" s="8"/>
      <c r="C1553" s="9"/>
      <c r="D1553" s="5"/>
      <c r="E1553" s="5"/>
    </row>
    <row r="1554" spans="1:5" ht="15.75" x14ac:dyDescent="0.25">
      <c r="A1554" s="7"/>
      <c r="B1554" s="8"/>
      <c r="C1554" s="9"/>
      <c r="D1554" s="5"/>
      <c r="E1554" s="5"/>
    </row>
    <row r="1555" spans="1:5" ht="15.75" x14ac:dyDescent="0.25">
      <c r="A1555" s="7"/>
      <c r="B1555" s="8"/>
      <c r="C1555" s="9"/>
      <c r="D1555" s="5"/>
      <c r="E1555" s="5"/>
    </row>
    <row r="1556" spans="1:5" ht="15.75" x14ac:dyDescent="0.25">
      <c r="A1556" s="7"/>
      <c r="B1556" s="8"/>
      <c r="C1556" s="9"/>
      <c r="D1556" s="5"/>
      <c r="E1556" s="5"/>
    </row>
    <row r="1557" spans="1:5" ht="15.75" x14ac:dyDescent="0.25">
      <c r="A1557" s="7"/>
      <c r="B1557" s="8"/>
      <c r="C1557" s="9"/>
      <c r="D1557" s="5"/>
      <c r="E1557" s="5"/>
    </row>
    <row r="1558" spans="1:5" ht="15.75" x14ac:dyDescent="0.25">
      <c r="A1558" s="7"/>
      <c r="B1558" s="8"/>
      <c r="C1558" s="9"/>
      <c r="D1558" s="5"/>
      <c r="E1558" s="5"/>
    </row>
    <row r="1559" spans="1:5" ht="15.75" x14ac:dyDescent="0.25">
      <c r="A1559" s="7"/>
      <c r="B1559" s="8"/>
      <c r="C1559" s="9"/>
      <c r="D1559" s="5"/>
      <c r="E1559" s="5"/>
    </row>
    <row r="1560" spans="1:5" ht="15.75" x14ac:dyDescent="0.25">
      <c r="A1560" s="7"/>
      <c r="B1560" s="8"/>
      <c r="C1560" s="9"/>
      <c r="D1560" s="5"/>
      <c r="E1560" s="5"/>
    </row>
    <row r="1561" spans="1:5" ht="15.75" x14ac:dyDescent="0.25">
      <c r="A1561" s="7"/>
      <c r="B1561" s="8"/>
      <c r="C1561" s="9"/>
      <c r="D1561" s="5"/>
      <c r="E1561" s="5"/>
    </row>
    <row r="1562" spans="1:5" ht="15.75" x14ac:dyDescent="0.25">
      <c r="A1562" s="7"/>
      <c r="B1562" s="8"/>
      <c r="C1562" s="9"/>
      <c r="D1562" s="5"/>
      <c r="E1562" s="5"/>
    </row>
    <row r="1563" spans="1:5" ht="15.75" x14ac:dyDescent="0.25">
      <c r="A1563" s="7"/>
      <c r="B1563" s="8"/>
      <c r="C1563" s="9"/>
      <c r="D1563" s="5"/>
      <c r="E1563" s="5"/>
    </row>
    <row r="1564" spans="1:5" ht="15.75" x14ac:dyDescent="0.25">
      <c r="A1564" s="7"/>
      <c r="B1564" s="8"/>
      <c r="C1564" s="9"/>
      <c r="D1564" s="5"/>
      <c r="E1564" s="5"/>
    </row>
    <row r="1565" spans="1:5" ht="15.75" x14ac:dyDescent="0.25">
      <c r="A1565" s="7"/>
      <c r="B1565" s="8"/>
      <c r="C1565" s="9"/>
      <c r="D1565" s="5"/>
      <c r="E1565" s="5"/>
    </row>
    <row r="1566" spans="1:5" ht="15.75" x14ac:dyDescent="0.25">
      <c r="A1566" s="7"/>
      <c r="B1566" s="8"/>
      <c r="C1566" s="9"/>
      <c r="D1566" s="5"/>
      <c r="E1566" s="5"/>
    </row>
    <row r="1567" spans="1:5" ht="15.75" x14ac:dyDescent="0.25">
      <c r="A1567" s="7"/>
      <c r="B1567" s="8"/>
      <c r="C1567" s="9"/>
      <c r="D1567" s="5"/>
      <c r="E1567" s="5"/>
    </row>
    <row r="1568" spans="1:5" ht="15.75" x14ac:dyDescent="0.25">
      <c r="A1568" s="7"/>
      <c r="B1568" s="8"/>
      <c r="C1568" s="9"/>
      <c r="D1568" s="5"/>
      <c r="E1568" s="5"/>
    </row>
    <row r="1569" spans="1:5" ht="15.75" x14ac:dyDescent="0.25">
      <c r="A1569" s="7"/>
      <c r="B1569" s="8"/>
      <c r="C1569" s="9"/>
      <c r="D1569" s="5"/>
      <c r="E1569" s="5"/>
    </row>
    <row r="1570" spans="1:5" ht="15.75" x14ac:dyDescent="0.25">
      <c r="A1570" s="7"/>
      <c r="B1570" s="8"/>
      <c r="C1570" s="9"/>
      <c r="D1570" s="5"/>
      <c r="E1570" s="5"/>
    </row>
    <row r="1571" spans="1:5" ht="15.75" x14ac:dyDescent="0.25">
      <c r="A1571" s="7"/>
      <c r="B1571" s="8"/>
      <c r="C1571" s="9"/>
      <c r="D1571" s="5"/>
      <c r="E1571" s="5"/>
    </row>
    <row r="1572" spans="1:5" ht="15.75" x14ac:dyDescent="0.25">
      <c r="A1572" s="7"/>
      <c r="B1572" s="8"/>
      <c r="C1572" s="9"/>
      <c r="D1572" s="5"/>
      <c r="E1572" s="5"/>
    </row>
    <row r="1573" spans="1:5" ht="15.75" x14ac:dyDescent="0.25">
      <c r="A1573" s="7"/>
      <c r="B1573" s="8"/>
      <c r="C1573" s="9"/>
      <c r="D1573" s="5"/>
      <c r="E1573" s="5"/>
    </row>
    <row r="1574" spans="1:5" ht="15.75" x14ac:dyDescent="0.25">
      <c r="A1574" s="7"/>
      <c r="B1574" s="8"/>
      <c r="C1574" s="9"/>
      <c r="D1574" s="5"/>
      <c r="E1574" s="5"/>
    </row>
    <row r="1575" spans="1:5" ht="15.75" x14ac:dyDescent="0.25">
      <c r="A1575" s="7"/>
      <c r="B1575" s="8"/>
      <c r="C1575" s="9"/>
      <c r="D1575" s="5"/>
      <c r="E1575" s="5"/>
    </row>
    <row r="1576" spans="1:5" ht="15.75" x14ac:dyDescent="0.25">
      <c r="A1576" s="7"/>
      <c r="B1576" s="8"/>
      <c r="C1576" s="9"/>
      <c r="D1576" s="5"/>
      <c r="E1576" s="5"/>
    </row>
    <row r="1577" spans="1:5" ht="15.75" x14ac:dyDescent="0.25">
      <c r="A1577" s="7"/>
      <c r="B1577" s="8"/>
      <c r="C1577" s="9"/>
      <c r="D1577" s="5"/>
      <c r="E1577" s="5"/>
    </row>
    <row r="1578" spans="1:5" ht="15.75" x14ac:dyDescent="0.25">
      <c r="A1578" s="7"/>
      <c r="B1578" s="8"/>
      <c r="C1578" s="9"/>
      <c r="D1578" s="5"/>
      <c r="E1578" s="5"/>
    </row>
    <row r="1579" spans="1:5" ht="15.75" x14ac:dyDescent="0.25">
      <c r="A1579" s="7"/>
      <c r="B1579" s="8"/>
      <c r="C1579" s="9"/>
      <c r="D1579" s="5"/>
      <c r="E1579" s="5"/>
    </row>
    <row r="1580" spans="1:5" ht="15.75" x14ac:dyDescent="0.25">
      <c r="A1580" s="7"/>
      <c r="B1580" s="8"/>
      <c r="C1580" s="9"/>
      <c r="D1580" s="5"/>
      <c r="E1580" s="5"/>
    </row>
    <row r="1581" spans="1:5" ht="15.75" x14ac:dyDescent="0.25">
      <c r="A1581" s="7"/>
      <c r="B1581" s="8"/>
      <c r="C1581" s="9"/>
      <c r="D1581" s="5"/>
      <c r="E1581" s="5"/>
    </row>
    <row r="1582" spans="1:5" ht="15.75" x14ac:dyDescent="0.25">
      <c r="A1582" s="7"/>
      <c r="B1582" s="8"/>
      <c r="C1582" s="9"/>
      <c r="D1582" s="5"/>
      <c r="E1582" s="5"/>
    </row>
    <row r="1583" spans="1:5" ht="15.75" x14ac:dyDescent="0.25">
      <c r="A1583" s="7"/>
      <c r="B1583" s="8"/>
      <c r="C1583" s="9"/>
      <c r="D1583" s="5"/>
      <c r="E1583" s="5"/>
    </row>
    <row r="1584" spans="1:5" ht="15.75" x14ac:dyDescent="0.25">
      <c r="A1584" s="7"/>
      <c r="B1584" s="8"/>
      <c r="C1584" s="9"/>
      <c r="D1584" s="5"/>
      <c r="E1584" s="5"/>
    </row>
    <row r="1585" spans="1:5" ht="15.75" x14ac:dyDescent="0.25">
      <c r="A1585" s="7"/>
      <c r="B1585" s="8"/>
      <c r="C1585" s="9"/>
      <c r="D1585" s="5"/>
      <c r="E1585" s="5"/>
    </row>
    <row r="1586" spans="1:5" ht="15.75" x14ac:dyDescent="0.25">
      <c r="A1586" s="7"/>
      <c r="B1586" s="8"/>
      <c r="C1586" s="9"/>
      <c r="D1586" s="5"/>
      <c r="E1586" s="5"/>
    </row>
    <row r="1587" spans="1:5" ht="15.75" x14ac:dyDescent="0.25">
      <c r="A1587" s="7"/>
      <c r="B1587" s="8"/>
      <c r="C1587" s="9"/>
      <c r="D1587" s="5"/>
      <c r="E1587" s="5"/>
    </row>
    <row r="1588" spans="1:5" ht="15.75" x14ac:dyDescent="0.25">
      <c r="A1588" s="7"/>
      <c r="B1588" s="8"/>
      <c r="C1588" s="9"/>
      <c r="D1588" s="5"/>
      <c r="E1588" s="5"/>
    </row>
    <row r="1589" spans="1:5" ht="15.75" x14ac:dyDescent="0.25">
      <c r="A1589" s="7"/>
      <c r="B1589" s="8"/>
      <c r="C1589" s="9"/>
      <c r="D1589" s="5"/>
      <c r="E1589" s="5"/>
    </row>
    <row r="1590" spans="1:5" ht="15.75" x14ac:dyDescent="0.25">
      <c r="A1590" s="7"/>
      <c r="B1590" s="8"/>
      <c r="C1590" s="9"/>
      <c r="D1590" s="5"/>
      <c r="E1590" s="5"/>
    </row>
    <row r="1591" spans="1:5" ht="15.75" x14ac:dyDescent="0.25">
      <c r="A1591" s="7"/>
      <c r="B1591" s="8"/>
      <c r="C1591" s="9"/>
      <c r="D1591" s="5"/>
      <c r="E1591" s="5"/>
    </row>
    <row r="1592" spans="1:5" ht="15.75" x14ac:dyDescent="0.25">
      <c r="A1592" s="7"/>
      <c r="B1592" s="8"/>
      <c r="C1592" s="9"/>
      <c r="D1592" s="5"/>
      <c r="E1592" s="5"/>
    </row>
    <row r="1593" spans="1:5" ht="15.75" x14ac:dyDescent="0.25">
      <c r="A1593" s="7"/>
      <c r="B1593" s="8"/>
      <c r="C1593" s="9"/>
      <c r="D1593" s="5"/>
      <c r="E1593" s="5"/>
    </row>
    <row r="1594" spans="1:5" ht="15.75" x14ac:dyDescent="0.25">
      <c r="A1594" s="7"/>
      <c r="B1594" s="8"/>
      <c r="C1594" s="9"/>
      <c r="D1594" s="5"/>
      <c r="E1594" s="5"/>
    </row>
    <row r="1595" spans="1:5" ht="15.75" x14ac:dyDescent="0.25">
      <c r="A1595" s="7"/>
      <c r="B1595" s="8"/>
      <c r="C1595" s="9"/>
      <c r="D1595" s="5"/>
      <c r="E1595" s="5"/>
    </row>
    <row r="1596" spans="1:5" ht="15.75" x14ac:dyDescent="0.25">
      <c r="A1596" s="7"/>
      <c r="B1596" s="8"/>
      <c r="C1596" s="9"/>
      <c r="D1596" s="5"/>
      <c r="E1596" s="5"/>
    </row>
    <row r="1597" spans="1:5" ht="15.75" x14ac:dyDescent="0.25">
      <c r="A1597" s="7"/>
      <c r="B1597" s="8"/>
      <c r="C1597" s="9"/>
      <c r="D1597" s="5"/>
      <c r="E1597" s="5"/>
    </row>
    <row r="1598" spans="1:5" ht="15.75" x14ac:dyDescent="0.25">
      <c r="A1598" s="7"/>
      <c r="B1598" s="8"/>
      <c r="C1598" s="9"/>
      <c r="D1598" s="5"/>
      <c r="E1598" s="5"/>
    </row>
    <row r="1599" spans="1:5" ht="15.75" x14ac:dyDescent="0.25">
      <c r="A1599" s="7"/>
      <c r="B1599" s="8"/>
      <c r="C1599" s="9"/>
      <c r="D1599" s="5"/>
      <c r="E1599" s="5"/>
    </row>
    <row r="1600" spans="1:5" ht="15.75" x14ac:dyDescent="0.25">
      <c r="A1600" s="7"/>
      <c r="B1600" s="8"/>
      <c r="C1600" s="9"/>
      <c r="D1600" s="5"/>
      <c r="E1600" s="5"/>
    </row>
    <row r="1601" spans="1:5" ht="15.75" x14ac:dyDescent="0.25">
      <c r="A1601" s="7"/>
      <c r="B1601" s="8"/>
      <c r="C1601" s="9"/>
      <c r="D1601" s="5"/>
      <c r="E1601" s="5"/>
    </row>
    <row r="1602" spans="1:5" ht="15.75" x14ac:dyDescent="0.25">
      <c r="A1602" s="7"/>
      <c r="B1602" s="8"/>
      <c r="C1602" s="9"/>
      <c r="D1602" s="5"/>
      <c r="E1602" s="5"/>
    </row>
    <row r="1603" spans="1:5" ht="15.75" x14ac:dyDescent="0.25">
      <c r="A1603" s="7"/>
      <c r="B1603" s="8"/>
      <c r="C1603" s="9"/>
      <c r="D1603" s="5"/>
      <c r="E1603" s="5"/>
    </row>
    <row r="1604" spans="1:5" ht="15.75" x14ac:dyDescent="0.25">
      <c r="A1604" s="7"/>
      <c r="B1604" s="8"/>
      <c r="C1604" s="9"/>
      <c r="D1604" s="5"/>
      <c r="E1604" s="5"/>
    </row>
    <row r="1605" spans="1:5" ht="15.75" x14ac:dyDescent="0.25">
      <c r="A1605" s="7"/>
      <c r="B1605" s="8"/>
      <c r="C1605" s="9"/>
      <c r="D1605" s="5"/>
      <c r="E1605" s="5"/>
    </row>
    <row r="1606" spans="1:5" ht="15.75" x14ac:dyDescent="0.25">
      <c r="A1606" s="7"/>
      <c r="B1606" s="8"/>
      <c r="C1606" s="9"/>
      <c r="D1606" s="5"/>
      <c r="E1606" s="5"/>
    </row>
    <row r="1607" spans="1:5" ht="15.75" x14ac:dyDescent="0.25">
      <c r="A1607" s="7"/>
      <c r="B1607" s="8"/>
      <c r="C1607" s="9"/>
      <c r="D1607" s="5"/>
      <c r="E1607" s="5"/>
    </row>
    <row r="1608" spans="1:5" ht="15.75" x14ac:dyDescent="0.25">
      <c r="A1608" s="7"/>
      <c r="B1608" s="8"/>
      <c r="C1608" s="9"/>
      <c r="D1608" s="5"/>
      <c r="E1608" s="5"/>
    </row>
    <row r="1609" spans="1:5" ht="15.75" x14ac:dyDescent="0.25">
      <c r="A1609" s="7"/>
      <c r="B1609" s="8"/>
      <c r="C1609" s="9"/>
      <c r="D1609" s="5"/>
      <c r="E1609" s="5"/>
    </row>
    <row r="1610" spans="1:5" ht="15.75" x14ac:dyDescent="0.25">
      <c r="A1610" s="7"/>
      <c r="B1610" s="8"/>
      <c r="C1610" s="9"/>
      <c r="D1610" s="5"/>
      <c r="E1610" s="5"/>
    </row>
    <row r="1611" spans="1:5" ht="15.75" x14ac:dyDescent="0.25">
      <c r="A1611" s="7"/>
      <c r="B1611" s="8"/>
      <c r="C1611" s="9"/>
      <c r="D1611" s="5"/>
      <c r="E1611" s="5"/>
    </row>
    <row r="1612" spans="1:5" ht="15.75" x14ac:dyDescent="0.25">
      <c r="A1612" s="7"/>
      <c r="B1612" s="8"/>
      <c r="C1612" s="9"/>
      <c r="D1612" s="5"/>
      <c r="E1612" s="5"/>
    </row>
    <row r="1613" spans="1:5" ht="15.75" x14ac:dyDescent="0.25">
      <c r="A1613" s="7"/>
      <c r="B1613" s="8"/>
      <c r="C1613" s="9"/>
      <c r="D1613" s="5"/>
      <c r="E1613" s="5"/>
    </row>
    <row r="1614" spans="1:5" ht="15.75" x14ac:dyDescent="0.25">
      <c r="A1614" s="7"/>
      <c r="B1614" s="8"/>
      <c r="C1614" s="9"/>
      <c r="D1614" s="5"/>
      <c r="E1614" s="5"/>
    </row>
    <row r="1615" spans="1:5" ht="15.75" x14ac:dyDescent="0.25">
      <c r="A1615" s="7"/>
      <c r="B1615" s="8"/>
      <c r="C1615" s="9"/>
      <c r="D1615" s="5"/>
      <c r="E1615" s="5"/>
    </row>
    <row r="1616" spans="1:5" ht="15.75" x14ac:dyDescent="0.25">
      <c r="A1616" s="7"/>
      <c r="B1616" s="8"/>
      <c r="C1616" s="9"/>
      <c r="D1616" s="5"/>
      <c r="E1616" s="5"/>
    </row>
    <row r="1617" spans="1:5" ht="15.75" x14ac:dyDescent="0.25">
      <c r="A1617" s="7"/>
      <c r="B1617" s="8"/>
      <c r="C1617" s="9"/>
      <c r="D1617" s="5"/>
      <c r="E1617" s="5"/>
    </row>
    <row r="1618" spans="1:5" ht="15.75" x14ac:dyDescent="0.25">
      <c r="A1618" s="7"/>
      <c r="B1618" s="8"/>
      <c r="C1618" s="9"/>
      <c r="D1618" s="5"/>
      <c r="E1618" s="5"/>
    </row>
    <row r="1619" spans="1:5" ht="15.75" x14ac:dyDescent="0.25">
      <c r="A1619" s="7"/>
      <c r="B1619" s="8"/>
      <c r="C1619" s="9"/>
      <c r="D1619" s="5"/>
      <c r="E1619" s="5"/>
    </row>
    <row r="1620" spans="1:5" ht="15.75" x14ac:dyDescent="0.25">
      <c r="A1620" s="7"/>
      <c r="B1620" s="8"/>
      <c r="C1620" s="9"/>
      <c r="D1620" s="5"/>
      <c r="E1620" s="5"/>
    </row>
    <row r="1621" spans="1:5" ht="15.75" x14ac:dyDescent="0.25">
      <c r="A1621" s="7"/>
      <c r="B1621" s="8"/>
      <c r="C1621" s="9"/>
      <c r="D1621" s="5"/>
      <c r="E1621" s="5"/>
    </row>
    <row r="1622" spans="1:5" ht="15.75" x14ac:dyDescent="0.25">
      <c r="A1622" s="7"/>
      <c r="B1622" s="8"/>
      <c r="C1622" s="9"/>
      <c r="D1622" s="5"/>
      <c r="E1622" s="5"/>
    </row>
    <row r="1623" spans="1:5" ht="15.75" x14ac:dyDescent="0.25">
      <c r="A1623" s="7"/>
      <c r="B1623" s="8"/>
      <c r="C1623" s="9"/>
      <c r="D1623" s="5"/>
      <c r="E1623" s="5"/>
    </row>
    <row r="1624" spans="1:5" ht="15.75" x14ac:dyDescent="0.25">
      <c r="A1624" s="7"/>
      <c r="B1624" s="8"/>
      <c r="C1624" s="9"/>
      <c r="D1624" s="5"/>
      <c r="E1624" s="5"/>
    </row>
    <row r="1625" spans="1:5" ht="15.75" x14ac:dyDescent="0.25">
      <c r="A1625" s="7"/>
      <c r="B1625" s="8"/>
      <c r="C1625" s="9"/>
      <c r="D1625" s="5"/>
      <c r="E1625" s="5"/>
    </row>
    <row r="1626" spans="1:5" ht="15.75" x14ac:dyDescent="0.25">
      <c r="A1626" s="7"/>
      <c r="B1626" s="8"/>
      <c r="C1626" s="9"/>
      <c r="D1626" s="5"/>
      <c r="E1626" s="5"/>
    </row>
    <row r="1627" spans="1:5" ht="15.75" x14ac:dyDescent="0.25">
      <c r="A1627" s="7"/>
      <c r="B1627" s="8"/>
      <c r="C1627" s="9"/>
      <c r="D1627" s="5"/>
      <c r="E1627" s="5"/>
    </row>
    <row r="1628" spans="1:5" ht="15.75" x14ac:dyDescent="0.25">
      <c r="A1628" s="7"/>
      <c r="B1628" s="8"/>
      <c r="C1628" s="9"/>
      <c r="D1628" s="5"/>
      <c r="E1628" s="5"/>
    </row>
    <row r="1629" spans="1:5" ht="15.75" x14ac:dyDescent="0.25">
      <c r="A1629" s="7"/>
      <c r="B1629" s="8"/>
      <c r="C1629" s="9"/>
      <c r="D1629" s="5"/>
      <c r="E1629" s="5"/>
    </row>
    <row r="1630" spans="1:5" ht="15.75" x14ac:dyDescent="0.25">
      <c r="A1630" s="7"/>
      <c r="B1630" s="8"/>
      <c r="C1630" s="9"/>
      <c r="D1630" s="5"/>
      <c r="E1630" s="5"/>
    </row>
    <row r="1631" spans="1:5" ht="15.75" x14ac:dyDescent="0.25">
      <c r="A1631" s="7"/>
      <c r="B1631" s="8"/>
      <c r="C1631" s="9"/>
      <c r="D1631" s="5"/>
      <c r="E1631" s="5"/>
    </row>
    <row r="1632" spans="1:5" ht="15.75" x14ac:dyDescent="0.25">
      <c r="A1632" s="7"/>
      <c r="B1632" s="8"/>
      <c r="C1632" s="9"/>
      <c r="D1632" s="5"/>
      <c r="E1632" s="5"/>
    </row>
    <row r="1633" spans="1:5" ht="15.75" x14ac:dyDescent="0.25">
      <c r="A1633" s="7"/>
      <c r="B1633" s="8"/>
      <c r="C1633" s="9"/>
      <c r="D1633" s="5"/>
      <c r="E1633" s="5"/>
    </row>
    <row r="1634" spans="1:5" ht="15.75" x14ac:dyDescent="0.25">
      <c r="A1634" s="7"/>
      <c r="B1634" s="8"/>
      <c r="C1634" s="9"/>
      <c r="D1634" s="5"/>
      <c r="E1634" s="5"/>
    </row>
    <row r="1635" spans="1:5" ht="15.75" x14ac:dyDescent="0.25">
      <c r="A1635" s="7"/>
      <c r="B1635" s="8"/>
      <c r="C1635" s="9"/>
      <c r="D1635" s="5"/>
      <c r="E1635" s="5"/>
    </row>
    <row r="1636" spans="1:5" ht="15.75" x14ac:dyDescent="0.25">
      <c r="A1636" s="7"/>
      <c r="B1636" s="8"/>
      <c r="C1636" s="9"/>
      <c r="D1636" s="5"/>
      <c r="E1636" s="5"/>
    </row>
    <row r="1637" spans="1:5" ht="15.75" x14ac:dyDescent="0.25">
      <c r="A1637" s="7"/>
      <c r="B1637" s="8"/>
      <c r="C1637" s="9"/>
      <c r="D1637" s="5"/>
      <c r="E1637" s="5"/>
    </row>
    <row r="1638" spans="1:5" ht="15.75" x14ac:dyDescent="0.25">
      <c r="A1638" s="7"/>
      <c r="B1638" s="8"/>
      <c r="C1638" s="9"/>
      <c r="D1638" s="5"/>
      <c r="E1638" s="5"/>
    </row>
    <row r="1639" spans="1:5" ht="15.75" x14ac:dyDescent="0.25">
      <c r="A1639" s="7"/>
      <c r="B1639" s="8"/>
      <c r="C1639" s="9"/>
      <c r="D1639" s="5"/>
      <c r="E1639" s="5"/>
    </row>
    <row r="1640" spans="1:5" ht="15.75" x14ac:dyDescent="0.25">
      <c r="A1640" s="7"/>
      <c r="B1640" s="8"/>
      <c r="C1640" s="9"/>
      <c r="D1640" s="5"/>
      <c r="E1640" s="5"/>
    </row>
    <row r="1641" spans="1:5" ht="15.75" x14ac:dyDescent="0.25">
      <c r="A1641" s="7"/>
      <c r="B1641" s="8"/>
      <c r="C1641" s="9"/>
      <c r="D1641" s="5"/>
      <c r="E1641" s="5"/>
    </row>
    <row r="1642" spans="1:5" ht="15.75" x14ac:dyDescent="0.25">
      <c r="A1642" s="7"/>
      <c r="B1642" s="8"/>
      <c r="C1642" s="9"/>
      <c r="D1642" s="5"/>
      <c r="E1642" s="5"/>
    </row>
    <row r="1643" spans="1:5" ht="15.75" x14ac:dyDescent="0.25">
      <c r="A1643" s="7"/>
      <c r="B1643" s="8"/>
      <c r="C1643" s="9"/>
      <c r="D1643" s="5"/>
      <c r="E1643" s="5"/>
    </row>
    <row r="1644" spans="1:5" ht="15.75" x14ac:dyDescent="0.25">
      <c r="A1644" s="7"/>
      <c r="B1644" s="8"/>
      <c r="C1644" s="9"/>
      <c r="D1644" s="5"/>
      <c r="E1644" s="5"/>
    </row>
    <row r="1645" spans="1:5" ht="15.75" x14ac:dyDescent="0.25">
      <c r="A1645" s="7"/>
      <c r="B1645" s="8"/>
      <c r="C1645" s="9"/>
      <c r="D1645" s="5"/>
      <c r="E1645" s="5"/>
    </row>
    <row r="1646" spans="1:5" ht="15.75" x14ac:dyDescent="0.25">
      <c r="A1646" s="7"/>
      <c r="B1646" s="8"/>
      <c r="C1646" s="9"/>
      <c r="D1646" s="5"/>
      <c r="E1646" s="5"/>
    </row>
    <row r="1647" spans="1:5" ht="15.75" x14ac:dyDescent="0.25">
      <c r="A1647" s="7"/>
      <c r="B1647" s="8"/>
      <c r="C1647" s="9"/>
      <c r="D1647" s="5"/>
      <c r="E1647" s="5"/>
    </row>
    <row r="1648" spans="1:5" ht="15.75" x14ac:dyDescent="0.25">
      <c r="A1648" s="7"/>
      <c r="B1648" s="8"/>
      <c r="C1648" s="9"/>
      <c r="D1648" s="5"/>
      <c r="E1648" s="5"/>
    </row>
    <row r="1649" spans="1:5" ht="15.75" x14ac:dyDescent="0.25">
      <c r="A1649" s="7"/>
      <c r="B1649" s="8"/>
      <c r="C1649" s="9"/>
      <c r="D1649" s="5"/>
      <c r="E1649" s="5"/>
    </row>
    <row r="1650" spans="1:5" ht="15.75" x14ac:dyDescent="0.25">
      <c r="A1650" s="7"/>
      <c r="B1650" s="8"/>
      <c r="C1650" s="9"/>
      <c r="D1650" s="5"/>
      <c r="E1650" s="5"/>
    </row>
    <row r="1651" spans="1:5" ht="15.75" x14ac:dyDescent="0.25">
      <c r="A1651" s="7"/>
      <c r="B1651" s="8"/>
      <c r="C1651" s="9"/>
      <c r="D1651" s="5"/>
      <c r="E1651" s="5"/>
    </row>
    <row r="1652" spans="1:5" ht="15.75" x14ac:dyDescent="0.25">
      <c r="A1652" s="7"/>
      <c r="B1652" s="8"/>
      <c r="C1652" s="9"/>
      <c r="D1652" s="5"/>
      <c r="E1652" s="5"/>
    </row>
    <row r="1653" spans="1:5" ht="15.75" x14ac:dyDescent="0.25">
      <c r="A1653" s="7"/>
      <c r="B1653" s="8"/>
      <c r="C1653" s="9"/>
      <c r="D1653" s="5"/>
      <c r="E1653" s="5"/>
    </row>
    <row r="1654" spans="1:5" ht="15.75" x14ac:dyDescent="0.25">
      <c r="A1654" s="7"/>
      <c r="B1654" s="8"/>
      <c r="C1654" s="9"/>
      <c r="D1654" s="5"/>
      <c r="E1654" s="5"/>
    </row>
    <row r="1655" spans="1:5" ht="15.75" x14ac:dyDescent="0.25">
      <c r="A1655" s="7"/>
      <c r="B1655" s="8"/>
      <c r="C1655" s="9"/>
      <c r="D1655" s="5"/>
      <c r="E1655" s="5"/>
    </row>
    <row r="1656" spans="1:5" ht="15.75" x14ac:dyDescent="0.25">
      <c r="A1656" s="7"/>
      <c r="B1656" s="8"/>
      <c r="C1656" s="9"/>
      <c r="D1656" s="5"/>
      <c r="E1656" s="5"/>
    </row>
    <row r="1657" spans="1:5" ht="15.75" x14ac:dyDescent="0.25">
      <c r="A1657" s="7"/>
      <c r="B1657" s="8"/>
      <c r="C1657" s="9"/>
      <c r="D1657" s="5"/>
      <c r="E1657" s="5"/>
    </row>
    <row r="1658" spans="1:5" ht="15.75" x14ac:dyDescent="0.25">
      <c r="A1658" s="7"/>
      <c r="B1658" s="8"/>
      <c r="C1658" s="9"/>
      <c r="D1658" s="5"/>
      <c r="E1658" s="5"/>
    </row>
    <row r="1659" spans="1:5" ht="15.75" x14ac:dyDescent="0.25">
      <c r="A1659" s="7"/>
      <c r="B1659" s="8"/>
      <c r="C1659" s="9"/>
      <c r="D1659" s="5"/>
      <c r="E1659" s="5"/>
    </row>
    <row r="1660" spans="1:5" ht="15.75" x14ac:dyDescent="0.25">
      <c r="A1660" s="7"/>
      <c r="B1660" s="8"/>
      <c r="C1660" s="9"/>
      <c r="D1660" s="5"/>
      <c r="E1660" s="5"/>
    </row>
    <row r="1661" spans="1:5" ht="15.75" x14ac:dyDescent="0.25">
      <c r="A1661" s="7"/>
      <c r="B1661" s="8"/>
      <c r="C1661" s="9"/>
      <c r="D1661" s="5"/>
      <c r="E1661" s="5"/>
    </row>
    <row r="1662" spans="1:5" ht="15.75" x14ac:dyDescent="0.25">
      <c r="A1662" s="7"/>
      <c r="B1662" s="8"/>
      <c r="C1662" s="9"/>
      <c r="D1662" s="5"/>
      <c r="E1662" s="5"/>
    </row>
    <row r="1663" spans="1:5" ht="15.75" x14ac:dyDescent="0.25">
      <c r="A1663" s="7"/>
      <c r="B1663" s="8"/>
      <c r="C1663" s="9"/>
      <c r="D1663" s="5"/>
      <c r="E1663" s="5"/>
    </row>
    <row r="1664" spans="1:5" ht="15.75" x14ac:dyDescent="0.25">
      <c r="A1664" s="7"/>
      <c r="B1664" s="8"/>
      <c r="C1664" s="9"/>
      <c r="D1664" s="5"/>
      <c r="E1664" s="5"/>
    </row>
    <row r="1665" spans="1:5" ht="15.75" x14ac:dyDescent="0.25">
      <c r="A1665" s="7"/>
      <c r="B1665" s="8"/>
      <c r="C1665" s="9"/>
      <c r="D1665" s="5"/>
      <c r="E1665" s="5"/>
    </row>
    <row r="1666" spans="1:5" ht="15.75" x14ac:dyDescent="0.25">
      <c r="A1666" s="7"/>
      <c r="B1666" s="8"/>
      <c r="C1666" s="9"/>
      <c r="D1666" s="5"/>
      <c r="E1666" s="5"/>
    </row>
    <row r="1667" spans="1:5" ht="15.75" x14ac:dyDescent="0.25">
      <c r="A1667" s="7"/>
      <c r="B1667" s="8"/>
      <c r="C1667" s="9"/>
      <c r="D1667" s="5"/>
      <c r="E1667" s="5"/>
    </row>
    <row r="1668" spans="1:5" ht="15.75" x14ac:dyDescent="0.25">
      <c r="A1668" s="7"/>
      <c r="B1668" s="8"/>
      <c r="C1668" s="9"/>
      <c r="D1668" s="5"/>
      <c r="E1668" s="5"/>
    </row>
    <row r="1669" spans="1:5" ht="15.75" x14ac:dyDescent="0.25">
      <c r="A1669" s="7"/>
      <c r="B1669" s="8"/>
      <c r="C1669" s="9"/>
      <c r="D1669" s="5"/>
      <c r="E1669" s="5"/>
    </row>
    <row r="1670" spans="1:5" ht="15.75" x14ac:dyDescent="0.25">
      <c r="A1670" s="7"/>
      <c r="B1670" s="8"/>
      <c r="C1670" s="9"/>
      <c r="D1670" s="5"/>
      <c r="E1670" s="5"/>
    </row>
    <row r="1671" spans="1:5" ht="15.75" x14ac:dyDescent="0.25">
      <c r="A1671" s="7"/>
      <c r="B1671" s="8"/>
      <c r="C1671" s="9"/>
      <c r="D1671" s="5"/>
      <c r="E1671" s="5"/>
    </row>
    <row r="1672" spans="1:5" ht="15.75" x14ac:dyDescent="0.25">
      <c r="A1672" s="7"/>
      <c r="B1672" s="8"/>
      <c r="C1672" s="9"/>
      <c r="D1672" s="5"/>
      <c r="E1672" s="5"/>
    </row>
    <row r="1673" spans="1:5" ht="15.75" x14ac:dyDescent="0.25">
      <c r="A1673" s="7"/>
      <c r="B1673" s="8"/>
      <c r="C1673" s="9"/>
      <c r="D1673" s="5"/>
      <c r="E1673" s="5"/>
    </row>
    <row r="1674" spans="1:5" ht="15.75" x14ac:dyDescent="0.25">
      <c r="A1674" s="7"/>
      <c r="B1674" s="8"/>
      <c r="C1674" s="9"/>
      <c r="D1674" s="5"/>
      <c r="E1674" s="5"/>
    </row>
    <row r="1675" spans="1:5" ht="15.75" x14ac:dyDescent="0.25">
      <c r="A1675" s="7"/>
      <c r="B1675" s="8"/>
      <c r="C1675" s="9"/>
      <c r="D1675" s="5"/>
      <c r="E1675" s="5"/>
    </row>
    <row r="1676" spans="1:5" ht="15.75" x14ac:dyDescent="0.25">
      <c r="A1676" s="7"/>
      <c r="B1676" s="8"/>
      <c r="C1676" s="9"/>
      <c r="D1676" s="5"/>
      <c r="E1676" s="5"/>
    </row>
    <row r="1677" spans="1:5" ht="15.75" x14ac:dyDescent="0.25">
      <c r="A1677" s="7"/>
      <c r="B1677" s="8"/>
      <c r="C1677" s="9"/>
      <c r="D1677" s="5"/>
      <c r="E1677" s="5"/>
    </row>
    <row r="1678" spans="1:5" ht="15.75" x14ac:dyDescent="0.25">
      <c r="A1678" s="7"/>
      <c r="B1678" s="8"/>
      <c r="C1678" s="9"/>
      <c r="D1678" s="5"/>
      <c r="E1678" s="5"/>
    </row>
    <row r="1679" spans="1:5" ht="15.75" x14ac:dyDescent="0.25">
      <c r="A1679" s="7"/>
      <c r="B1679" s="8"/>
      <c r="C1679" s="9"/>
      <c r="D1679" s="5"/>
      <c r="E1679" s="5"/>
    </row>
    <row r="1680" spans="1:5" ht="15.75" x14ac:dyDescent="0.25">
      <c r="A1680" s="7"/>
      <c r="B1680" s="8"/>
      <c r="C1680" s="9"/>
      <c r="D1680" s="5"/>
      <c r="E1680" s="5"/>
    </row>
    <row r="1681" spans="1:5" ht="15.75" x14ac:dyDescent="0.25">
      <c r="A1681" s="7"/>
      <c r="B1681" s="8"/>
      <c r="C1681" s="9"/>
      <c r="D1681" s="5"/>
      <c r="E1681" s="5"/>
    </row>
    <row r="1682" spans="1:5" ht="15.75" x14ac:dyDescent="0.25">
      <c r="A1682" s="7"/>
      <c r="B1682" s="8"/>
      <c r="C1682" s="9"/>
      <c r="D1682" s="5"/>
      <c r="E1682" s="5"/>
    </row>
    <row r="1683" spans="1:5" ht="15.75" x14ac:dyDescent="0.25">
      <c r="A1683" s="7"/>
      <c r="B1683" s="8"/>
      <c r="C1683" s="9"/>
      <c r="D1683" s="5"/>
      <c r="E1683" s="5"/>
    </row>
    <row r="1684" spans="1:5" ht="15.75" x14ac:dyDescent="0.25">
      <c r="A1684" s="7"/>
      <c r="B1684" s="8"/>
      <c r="C1684" s="9"/>
      <c r="D1684" s="5"/>
      <c r="E1684" s="5"/>
    </row>
    <row r="1685" spans="1:5" ht="15.75" x14ac:dyDescent="0.25">
      <c r="A1685" s="7"/>
      <c r="B1685" s="8"/>
      <c r="C1685" s="9"/>
      <c r="D1685" s="5"/>
      <c r="E1685" s="5"/>
    </row>
    <row r="1686" spans="1:5" ht="15.75" x14ac:dyDescent="0.25">
      <c r="A1686" s="7"/>
      <c r="B1686" s="8"/>
      <c r="C1686" s="9"/>
      <c r="D1686" s="5"/>
      <c r="E1686" s="5"/>
    </row>
    <row r="1687" spans="1:5" ht="15.75" x14ac:dyDescent="0.25">
      <c r="A1687" s="7"/>
      <c r="B1687" s="8"/>
      <c r="C1687" s="9"/>
      <c r="D1687" s="5"/>
      <c r="E1687" s="5"/>
    </row>
    <row r="1688" spans="1:5" ht="15.75" x14ac:dyDescent="0.25">
      <c r="A1688" s="7"/>
      <c r="B1688" s="8"/>
      <c r="C1688" s="9"/>
      <c r="D1688" s="5"/>
      <c r="E1688" s="5"/>
    </row>
    <row r="1689" spans="1:5" ht="15.75" x14ac:dyDescent="0.25">
      <c r="A1689" s="7"/>
      <c r="B1689" s="8"/>
      <c r="C1689" s="9"/>
      <c r="D1689" s="5"/>
      <c r="E1689" s="5"/>
    </row>
    <row r="1690" spans="1:5" ht="15.75" x14ac:dyDescent="0.25">
      <c r="A1690" s="7"/>
      <c r="B1690" s="8"/>
      <c r="C1690" s="9"/>
      <c r="D1690" s="5"/>
      <c r="E1690" s="5"/>
    </row>
    <row r="1691" spans="1:5" ht="15.75" x14ac:dyDescent="0.25">
      <c r="A1691" s="7"/>
      <c r="B1691" s="8"/>
      <c r="C1691" s="9"/>
      <c r="D1691" s="5"/>
      <c r="E1691" s="5"/>
    </row>
    <row r="1692" spans="1:5" ht="15.75" x14ac:dyDescent="0.25">
      <c r="A1692" s="7"/>
      <c r="B1692" s="8"/>
      <c r="C1692" s="9"/>
      <c r="D1692" s="5"/>
      <c r="E1692" s="5"/>
    </row>
    <row r="1693" spans="1:5" ht="15.75" x14ac:dyDescent="0.25">
      <c r="A1693" s="7"/>
      <c r="B1693" s="8"/>
      <c r="C1693" s="9"/>
      <c r="D1693" s="5"/>
      <c r="E1693" s="5"/>
    </row>
    <row r="1694" spans="1:5" ht="15.75" x14ac:dyDescent="0.25">
      <c r="A1694" s="7"/>
      <c r="B1694" s="8"/>
      <c r="C1694" s="9"/>
      <c r="D1694" s="5"/>
      <c r="E1694" s="5"/>
    </row>
    <row r="1695" spans="1:5" ht="15.75" x14ac:dyDescent="0.25">
      <c r="A1695" s="7"/>
      <c r="B1695" s="8"/>
      <c r="C1695" s="9"/>
      <c r="D1695" s="5"/>
      <c r="E1695" s="5"/>
    </row>
    <row r="1696" spans="1:5" ht="15.75" x14ac:dyDescent="0.25">
      <c r="A1696" s="7"/>
      <c r="B1696" s="8"/>
      <c r="C1696" s="9"/>
      <c r="D1696" s="5"/>
      <c r="E1696" s="5"/>
    </row>
    <row r="1697" spans="1:5" ht="15.75" x14ac:dyDescent="0.25">
      <c r="A1697" s="7"/>
      <c r="B1697" s="8"/>
      <c r="C1697" s="9"/>
      <c r="D1697" s="5"/>
      <c r="E1697" s="5"/>
    </row>
    <row r="1698" spans="1:5" ht="15.75" x14ac:dyDescent="0.25">
      <c r="A1698" s="7"/>
      <c r="B1698" s="8"/>
      <c r="C1698" s="9"/>
      <c r="D1698" s="5"/>
      <c r="E1698" s="5"/>
    </row>
    <row r="1699" spans="1:5" ht="15.75" x14ac:dyDescent="0.25">
      <c r="A1699" s="7"/>
      <c r="B1699" s="8"/>
      <c r="C1699" s="9"/>
      <c r="D1699" s="5"/>
      <c r="E1699" s="5"/>
    </row>
    <row r="1700" spans="1:5" ht="15.75" x14ac:dyDescent="0.25">
      <c r="A1700" s="7"/>
      <c r="B1700" s="8"/>
      <c r="C1700" s="9"/>
      <c r="D1700" s="5"/>
      <c r="E1700" s="5"/>
    </row>
    <row r="1701" spans="1:5" ht="15.75" x14ac:dyDescent="0.25">
      <c r="A1701" s="7"/>
      <c r="B1701" s="8"/>
      <c r="C1701" s="9"/>
      <c r="D1701" s="5"/>
      <c r="E1701" s="5"/>
    </row>
    <row r="1702" spans="1:5" ht="15.75" x14ac:dyDescent="0.25">
      <c r="A1702" s="7"/>
      <c r="B1702" s="8"/>
      <c r="C1702" s="9"/>
      <c r="D1702" s="5"/>
      <c r="E1702" s="5"/>
    </row>
    <row r="1703" spans="1:5" ht="15.75" x14ac:dyDescent="0.25">
      <c r="A1703" s="7"/>
      <c r="B1703" s="8"/>
      <c r="C1703" s="9"/>
      <c r="D1703" s="5"/>
      <c r="E1703" s="5"/>
    </row>
    <row r="1704" spans="1:5" ht="15.75" x14ac:dyDescent="0.25">
      <c r="A1704" s="7"/>
      <c r="B1704" s="8"/>
      <c r="C1704" s="9"/>
      <c r="D1704" s="5"/>
      <c r="E1704" s="5"/>
    </row>
    <row r="1705" spans="1:5" ht="15.75" x14ac:dyDescent="0.25">
      <c r="A1705" s="7"/>
      <c r="B1705" s="8"/>
      <c r="C1705" s="9"/>
      <c r="D1705" s="5"/>
      <c r="E1705" s="5"/>
    </row>
    <row r="1706" spans="1:5" ht="15.75" x14ac:dyDescent="0.25">
      <c r="A1706" s="7"/>
      <c r="B1706" s="8"/>
      <c r="C1706" s="9"/>
      <c r="D1706" s="5"/>
      <c r="E1706" s="5"/>
    </row>
    <row r="1707" spans="1:5" ht="15.75" x14ac:dyDescent="0.25">
      <c r="A1707" s="7"/>
      <c r="B1707" s="8"/>
      <c r="C1707" s="9"/>
      <c r="D1707" s="5"/>
      <c r="E1707" s="5"/>
    </row>
    <row r="1708" spans="1:5" ht="15.75" x14ac:dyDescent="0.25">
      <c r="A1708" s="7"/>
      <c r="B1708" s="8"/>
      <c r="C1708" s="9"/>
      <c r="D1708" s="5"/>
      <c r="E1708" s="5"/>
    </row>
    <row r="1709" spans="1:5" ht="15.75" x14ac:dyDescent="0.25">
      <c r="A1709" s="7"/>
      <c r="B1709" s="8"/>
      <c r="C1709" s="9"/>
      <c r="D1709" s="5"/>
      <c r="E1709" s="5"/>
    </row>
    <row r="1710" spans="1:5" ht="15.75" x14ac:dyDescent="0.25">
      <c r="A1710" s="7"/>
      <c r="B1710" s="8"/>
      <c r="C1710" s="9"/>
      <c r="D1710" s="5"/>
      <c r="E1710" s="5"/>
    </row>
    <row r="1711" spans="1:5" ht="15.75" x14ac:dyDescent="0.25">
      <c r="A1711" s="7"/>
      <c r="B1711" s="8"/>
      <c r="C1711" s="9"/>
      <c r="D1711" s="5"/>
      <c r="E1711" s="5"/>
    </row>
    <row r="1712" spans="1:5" ht="15.75" x14ac:dyDescent="0.25">
      <c r="A1712" s="7"/>
      <c r="B1712" s="8"/>
      <c r="C1712" s="9"/>
      <c r="D1712" s="5"/>
      <c r="E1712" s="5"/>
    </row>
    <row r="1713" spans="1:5" ht="15.75" x14ac:dyDescent="0.25">
      <c r="A1713" s="7"/>
      <c r="B1713" s="8"/>
      <c r="C1713" s="9"/>
      <c r="D1713" s="5"/>
      <c r="E1713" s="5"/>
    </row>
    <row r="1714" spans="1:5" ht="15.75" x14ac:dyDescent="0.25">
      <c r="A1714" s="7"/>
      <c r="B1714" s="8"/>
      <c r="C1714" s="9"/>
      <c r="D1714" s="5"/>
      <c r="E1714" s="5"/>
    </row>
    <row r="1715" spans="1:5" ht="15.75" x14ac:dyDescent="0.25">
      <c r="A1715" s="7"/>
      <c r="B1715" s="8"/>
      <c r="C1715" s="9"/>
      <c r="D1715" s="5"/>
      <c r="E1715" s="5"/>
    </row>
    <row r="1716" spans="1:5" ht="15.75" x14ac:dyDescent="0.25">
      <c r="A1716" s="7"/>
      <c r="B1716" s="8"/>
      <c r="C1716" s="9"/>
      <c r="D1716" s="5"/>
      <c r="E1716" s="5"/>
    </row>
    <row r="1717" spans="1:5" ht="15.75" x14ac:dyDescent="0.25">
      <c r="A1717" s="7"/>
      <c r="B1717" s="8"/>
      <c r="C1717" s="9"/>
      <c r="D1717" s="5"/>
      <c r="E1717" s="5"/>
    </row>
    <row r="1718" spans="1:5" ht="15.75" x14ac:dyDescent="0.25">
      <c r="A1718" s="7"/>
      <c r="B1718" s="8"/>
      <c r="C1718" s="9"/>
      <c r="D1718" s="5"/>
      <c r="E1718" s="5"/>
    </row>
    <row r="1719" spans="1:5" ht="15.75" x14ac:dyDescent="0.25">
      <c r="A1719" s="7"/>
      <c r="B1719" s="8"/>
      <c r="C1719" s="9"/>
      <c r="D1719" s="5"/>
      <c r="E1719" s="5"/>
    </row>
    <row r="1720" spans="1:5" ht="15.75" x14ac:dyDescent="0.25">
      <c r="A1720" s="7"/>
      <c r="B1720" s="8"/>
      <c r="C1720" s="9"/>
      <c r="D1720" s="5"/>
      <c r="E1720" s="5"/>
    </row>
    <row r="1721" spans="1:5" ht="15.75" x14ac:dyDescent="0.25">
      <c r="A1721" s="7"/>
      <c r="B1721" s="8"/>
      <c r="C1721" s="9"/>
      <c r="D1721" s="5"/>
      <c r="E1721" s="5"/>
    </row>
    <row r="1722" spans="1:5" ht="15.75" x14ac:dyDescent="0.25">
      <c r="A1722" s="7"/>
      <c r="B1722" s="8"/>
      <c r="C1722" s="9"/>
      <c r="D1722" s="5"/>
      <c r="E1722" s="5"/>
    </row>
    <row r="1723" spans="1:5" ht="15.75" x14ac:dyDescent="0.25">
      <c r="A1723" s="7"/>
      <c r="B1723" s="8"/>
      <c r="C1723" s="9"/>
      <c r="D1723" s="5"/>
      <c r="E1723" s="5"/>
    </row>
    <row r="1724" spans="1:5" ht="15.75" x14ac:dyDescent="0.25">
      <c r="A1724" s="7"/>
      <c r="B1724" s="8"/>
      <c r="C1724" s="9"/>
      <c r="D1724" s="5"/>
      <c r="E1724" s="5"/>
    </row>
    <row r="1725" spans="1:5" ht="15.75" x14ac:dyDescent="0.25">
      <c r="A1725" s="7"/>
      <c r="B1725" s="8"/>
      <c r="C1725" s="9"/>
      <c r="D1725" s="5"/>
      <c r="E1725" s="5"/>
    </row>
    <row r="1726" spans="1:5" ht="15.75" x14ac:dyDescent="0.25">
      <c r="A1726" s="7"/>
      <c r="B1726" s="8"/>
      <c r="C1726" s="9"/>
      <c r="D1726" s="5"/>
      <c r="E1726" s="5"/>
    </row>
    <row r="1727" spans="1:5" ht="15.75" x14ac:dyDescent="0.25">
      <c r="A1727" s="7"/>
      <c r="B1727" s="8"/>
      <c r="C1727" s="9"/>
      <c r="D1727" s="5"/>
      <c r="E1727" s="5"/>
    </row>
    <row r="1728" spans="1:5" ht="15.75" x14ac:dyDescent="0.25">
      <c r="A1728" s="7"/>
      <c r="B1728" s="8"/>
      <c r="C1728" s="9"/>
      <c r="D1728" s="5"/>
      <c r="E1728" s="5"/>
    </row>
    <row r="1729" spans="1:5" ht="15.75" x14ac:dyDescent="0.25">
      <c r="A1729" s="7"/>
      <c r="B1729" s="8"/>
      <c r="C1729" s="9"/>
      <c r="D1729" s="5"/>
      <c r="E1729" s="5"/>
    </row>
    <row r="1730" spans="1:5" ht="15.75" x14ac:dyDescent="0.25">
      <c r="A1730" s="7"/>
      <c r="B1730" s="8"/>
      <c r="C1730" s="9"/>
      <c r="D1730" s="5"/>
      <c r="E1730" s="5"/>
    </row>
    <row r="1731" spans="1:5" ht="15.75" x14ac:dyDescent="0.25">
      <c r="A1731" s="7"/>
      <c r="B1731" s="8"/>
      <c r="C1731" s="9"/>
      <c r="D1731" s="5"/>
      <c r="E1731" s="5"/>
    </row>
    <row r="1732" spans="1:5" ht="15.75" x14ac:dyDescent="0.25">
      <c r="A1732" s="7"/>
      <c r="B1732" s="8"/>
      <c r="C1732" s="9"/>
      <c r="D1732" s="5"/>
      <c r="E1732" s="5"/>
    </row>
    <row r="1733" spans="1:5" ht="15.75" x14ac:dyDescent="0.25">
      <c r="A1733" s="7"/>
      <c r="B1733" s="8"/>
      <c r="C1733" s="9"/>
      <c r="D1733" s="5"/>
      <c r="E1733" s="5"/>
    </row>
    <row r="1734" spans="1:5" ht="15.75" x14ac:dyDescent="0.25">
      <c r="A1734" s="7"/>
      <c r="B1734" s="8"/>
      <c r="C1734" s="9"/>
      <c r="D1734" s="5"/>
      <c r="E1734" s="5"/>
    </row>
    <row r="1735" spans="1:5" ht="15.75" x14ac:dyDescent="0.25">
      <c r="A1735" s="7"/>
      <c r="B1735" s="8"/>
      <c r="C1735" s="9"/>
      <c r="D1735" s="5"/>
      <c r="E1735" s="5"/>
    </row>
    <row r="1736" spans="1:5" ht="15.75" x14ac:dyDescent="0.25">
      <c r="A1736" s="7"/>
      <c r="B1736" s="8"/>
      <c r="C1736" s="9"/>
      <c r="D1736" s="5"/>
      <c r="E1736" s="5"/>
    </row>
    <row r="1737" spans="1:5" ht="15.75" x14ac:dyDescent="0.25">
      <c r="A1737" s="7"/>
      <c r="B1737" s="8"/>
      <c r="C1737" s="9"/>
      <c r="D1737" s="5"/>
      <c r="E1737" s="5"/>
    </row>
    <row r="1738" spans="1:5" ht="15.75" x14ac:dyDescent="0.25">
      <c r="A1738" s="7"/>
      <c r="B1738" s="8"/>
      <c r="C1738" s="9"/>
      <c r="D1738" s="5"/>
      <c r="E1738" s="5"/>
    </row>
    <row r="1739" spans="1:5" ht="15.75" x14ac:dyDescent="0.25">
      <c r="A1739" s="7"/>
      <c r="B1739" s="8"/>
      <c r="C1739" s="9"/>
      <c r="D1739" s="5"/>
      <c r="E1739" s="5"/>
    </row>
    <row r="1740" spans="1:5" ht="15.75" x14ac:dyDescent="0.25">
      <c r="A1740" s="7"/>
      <c r="B1740" s="8"/>
      <c r="C1740" s="9"/>
      <c r="D1740" s="5"/>
      <c r="E1740" s="5"/>
    </row>
    <row r="1741" spans="1:5" ht="15.75" x14ac:dyDescent="0.25">
      <c r="A1741" s="7"/>
      <c r="B1741" s="8"/>
      <c r="C1741" s="9"/>
      <c r="D1741" s="5"/>
      <c r="E1741" s="5"/>
    </row>
    <row r="1742" spans="1:5" ht="15.75" x14ac:dyDescent="0.25">
      <c r="A1742" s="7"/>
      <c r="B1742" s="8"/>
      <c r="C1742" s="9"/>
      <c r="D1742" s="5"/>
      <c r="E1742" s="5"/>
    </row>
    <row r="1743" spans="1:5" ht="15.75" x14ac:dyDescent="0.25">
      <c r="A1743" s="7"/>
      <c r="B1743" s="8"/>
      <c r="C1743" s="9"/>
      <c r="D1743" s="5"/>
      <c r="E1743" s="5"/>
    </row>
    <row r="1744" spans="1:5" ht="15.75" x14ac:dyDescent="0.25">
      <c r="A1744" s="7"/>
      <c r="B1744" s="8"/>
      <c r="C1744" s="9"/>
      <c r="D1744" s="5"/>
      <c r="E1744" s="5"/>
    </row>
    <row r="1745" spans="1:5" ht="15.75" x14ac:dyDescent="0.25">
      <c r="A1745" s="7"/>
      <c r="B1745" s="8"/>
      <c r="C1745" s="9"/>
      <c r="D1745" s="5"/>
      <c r="E1745" s="5"/>
    </row>
    <row r="1746" spans="1:5" ht="15.75" x14ac:dyDescent="0.25">
      <c r="A1746" s="7"/>
      <c r="B1746" s="8"/>
      <c r="C1746" s="9"/>
      <c r="D1746" s="5"/>
      <c r="E1746" s="5"/>
    </row>
    <row r="1747" spans="1:5" ht="15.75" x14ac:dyDescent="0.25">
      <c r="A1747" s="7"/>
      <c r="B1747" s="8"/>
      <c r="C1747" s="9"/>
      <c r="D1747" s="5"/>
      <c r="E1747" s="5"/>
    </row>
    <row r="1748" spans="1:5" ht="15.75" x14ac:dyDescent="0.25">
      <c r="A1748" s="7"/>
      <c r="B1748" s="8"/>
      <c r="C1748" s="9"/>
      <c r="D1748" s="5"/>
      <c r="E1748" s="5"/>
    </row>
    <row r="1749" spans="1:5" ht="15.75" x14ac:dyDescent="0.25">
      <c r="A1749" s="7"/>
      <c r="B1749" s="8"/>
      <c r="C1749" s="9"/>
      <c r="D1749" s="5"/>
      <c r="E1749" s="5"/>
    </row>
    <row r="1750" spans="1:5" ht="15.75" x14ac:dyDescent="0.25">
      <c r="A1750" s="7"/>
      <c r="B1750" s="8"/>
      <c r="C1750" s="9"/>
      <c r="D1750" s="5"/>
      <c r="E1750" s="5"/>
    </row>
    <row r="1751" spans="1:5" ht="15.75" x14ac:dyDescent="0.25">
      <c r="A1751" s="7"/>
      <c r="B1751" s="8"/>
      <c r="C1751" s="9"/>
      <c r="D1751" s="5"/>
      <c r="E1751" s="5"/>
    </row>
    <row r="1752" spans="1:5" ht="15.75" x14ac:dyDescent="0.25">
      <c r="A1752" s="7"/>
      <c r="B1752" s="8"/>
      <c r="C1752" s="9"/>
      <c r="D1752" s="5"/>
      <c r="E1752" s="5"/>
    </row>
    <row r="1753" spans="1:5" ht="15.75" x14ac:dyDescent="0.25">
      <c r="A1753" s="7"/>
      <c r="B1753" s="8"/>
      <c r="C1753" s="9"/>
      <c r="D1753" s="5"/>
      <c r="E1753" s="5"/>
    </row>
    <row r="1754" spans="1:5" ht="15.75" x14ac:dyDescent="0.25">
      <c r="A1754" s="7"/>
      <c r="B1754" s="8"/>
      <c r="C1754" s="9"/>
      <c r="D1754" s="5"/>
      <c r="E1754" s="5"/>
    </row>
    <row r="1755" spans="1:5" ht="15.75" x14ac:dyDescent="0.25">
      <c r="A1755" s="7"/>
      <c r="B1755" s="8"/>
      <c r="C1755" s="9"/>
      <c r="D1755" s="5"/>
      <c r="E1755" s="5"/>
    </row>
    <row r="1756" spans="1:5" ht="15.75" x14ac:dyDescent="0.25">
      <c r="A1756" s="7"/>
      <c r="B1756" s="8"/>
      <c r="C1756" s="9"/>
      <c r="D1756" s="5"/>
      <c r="E1756" s="5"/>
    </row>
    <row r="1757" spans="1:5" ht="15.75" x14ac:dyDescent="0.25">
      <c r="A1757" s="7"/>
      <c r="B1757" s="8"/>
      <c r="C1757" s="9"/>
      <c r="D1757" s="5"/>
      <c r="E1757" s="5"/>
    </row>
    <row r="1758" spans="1:5" ht="15.75" x14ac:dyDescent="0.25">
      <c r="A1758" s="7"/>
      <c r="B1758" s="8"/>
      <c r="C1758" s="9"/>
      <c r="D1758" s="5"/>
      <c r="E1758" s="5"/>
    </row>
    <row r="1759" spans="1:5" ht="15.75" x14ac:dyDescent="0.25">
      <c r="A1759" s="7"/>
      <c r="B1759" s="8"/>
      <c r="C1759" s="9"/>
      <c r="D1759" s="5"/>
      <c r="E1759" s="5"/>
    </row>
    <row r="1760" spans="1:5" ht="15.75" x14ac:dyDescent="0.25">
      <c r="A1760" s="7"/>
      <c r="B1760" s="8"/>
      <c r="C1760" s="9"/>
      <c r="D1760" s="5"/>
      <c r="E1760" s="5"/>
    </row>
    <row r="1761" spans="1:5" ht="15.75" x14ac:dyDescent="0.25">
      <c r="A1761" s="7"/>
      <c r="B1761" s="8"/>
      <c r="C1761" s="9"/>
      <c r="D1761" s="5"/>
      <c r="E1761" s="5"/>
    </row>
    <row r="1762" spans="1:5" ht="15.75" x14ac:dyDescent="0.25">
      <c r="A1762" s="7"/>
      <c r="B1762" s="8"/>
      <c r="C1762" s="9"/>
      <c r="D1762" s="5"/>
      <c r="E1762" s="5"/>
    </row>
    <row r="1763" spans="1:5" ht="15.75" x14ac:dyDescent="0.25">
      <c r="A1763" s="7"/>
      <c r="B1763" s="8"/>
      <c r="C1763" s="9"/>
      <c r="D1763" s="5"/>
      <c r="E1763" s="5"/>
    </row>
    <row r="1764" spans="1:5" ht="15.75" x14ac:dyDescent="0.25">
      <c r="A1764" s="7"/>
      <c r="B1764" s="8"/>
      <c r="C1764" s="9"/>
      <c r="D1764" s="5"/>
      <c r="E1764" s="5"/>
    </row>
    <row r="1765" spans="1:5" ht="15.75" x14ac:dyDescent="0.25">
      <c r="A1765" s="7"/>
      <c r="B1765" s="8"/>
      <c r="C1765" s="9"/>
      <c r="D1765" s="5"/>
      <c r="E1765" s="5"/>
    </row>
    <row r="1766" spans="1:5" ht="15.75" x14ac:dyDescent="0.25">
      <c r="A1766" s="7"/>
      <c r="B1766" s="8"/>
      <c r="C1766" s="9"/>
      <c r="D1766" s="5"/>
      <c r="E1766" s="5"/>
    </row>
    <row r="1767" spans="1:5" ht="15.75" x14ac:dyDescent="0.25">
      <c r="A1767" s="7"/>
      <c r="B1767" s="8"/>
      <c r="C1767" s="9"/>
      <c r="D1767" s="5"/>
      <c r="E1767" s="5"/>
    </row>
    <row r="1768" spans="1:5" ht="15.75" x14ac:dyDescent="0.25">
      <c r="A1768" s="7"/>
      <c r="B1768" s="8"/>
      <c r="C1768" s="9"/>
      <c r="D1768" s="5"/>
      <c r="E1768" s="5"/>
    </row>
    <row r="1769" spans="1:5" ht="15.75" x14ac:dyDescent="0.25">
      <c r="A1769" s="7"/>
      <c r="B1769" s="8"/>
      <c r="C1769" s="9"/>
      <c r="D1769" s="5"/>
      <c r="E1769" s="5"/>
    </row>
    <row r="1770" spans="1:5" ht="15.75" x14ac:dyDescent="0.25">
      <c r="A1770" s="7"/>
      <c r="B1770" s="8"/>
      <c r="C1770" s="9"/>
      <c r="D1770" s="5"/>
      <c r="E1770" s="5"/>
    </row>
    <row r="1771" spans="1:5" ht="15.75" x14ac:dyDescent="0.25">
      <c r="A1771" s="7"/>
      <c r="B1771" s="8"/>
      <c r="C1771" s="9"/>
      <c r="D1771" s="5"/>
      <c r="E1771" s="5"/>
    </row>
    <row r="1772" spans="1:5" ht="15.75" x14ac:dyDescent="0.25">
      <c r="A1772" s="7"/>
      <c r="B1772" s="8"/>
      <c r="C1772" s="9"/>
      <c r="D1772" s="5"/>
      <c r="E1772" s="5"/>
    </row>
    <row r="1773" spans="1:5" ht="15.75" x14ac:dyDescent="0.25">
      <c r="A1773" s="7"/>
      <c r="B1773" s="8"/>
      <c r="C1773" s="9"/>
      <c r="D1773" s="5"/>
      <c r="E1773" s="5"/>
    </row>
    <row r="1774" spans="1:5" ht="15.75" x14ac:dyDescent="0.25">
      <c r="A1774" s="7"/>
      <c r="B1774" s="8"/>
      <c r="C1774" s="9"/>
      <c r="D1774" s="5"/>
      <c r="E1774" s="5"/>
    </row>
    <row r="1775" spans="1:5" ht="15.75" x14ac:dyDescent="0.25">
      <c r="A1775" s="7"/>
      <c r="B1775" s="8"/>
      <c r="C1775" s="9"/>
      <c r="D1775" s="5"/>
      <c r="E1775" s="5"/>
    </row>
    <row r="1776" spans="1:5" ht="15.75" x14ac:dyDescent="0.25">
      <c r="A1776" s="7"/>
      <c r="B1776" s="8"/>
      <c r="C1776" s="9"/>
      <c r="D1776" s="5"/>
      <c r="E1776" s="5"/>
    </row>
    <row r="1777" spans="1:5" ht="15.75" x14ac:dyDescent="0.25">
      <c r="A1777" s="7"/>
      <c r="B1777" s="8"/>
      <c r="C1777" s="9"/>
      <c r="D1777" s="5"/>
      <c r="E1777" s="5"/>
    </row>
    <row r="1778" spans="1:5" ht="15.75" x14ac:dyDescent="0.25">
      <c r="A1778" s="7"/>
      <c r="B1778" s="8"/>
      <c r="C1778" s="9"/>
      <c r="D1778" s="5"/>
      <c r="E1778" s="5"/>
    </row>
    <row r="1779" spans="1:5" ht="15.75" x14ac:dyDescent="0.25">
      <c r="A1779" s="7"/>
      <c r="B1779" s="8"/>
      <c r="C1779" s="9"/>
      <c r="D1779" s="5"/>
      <c r="E1779" s="5"/>
    </row>
    <row r="1780" spans="1:5" ht="15.75" x14ac:dyDescent="0.25">
      <c r="A1780" s="7"/>
      <c r="B1780" s="8"/>
      <c r="C1780" s="9"/>
      <c r="D1780" s="5"/>
      <c r="E1780" s="5"/>
    </row>
    <row r="1781" spans="1:5" ht="15.75" x14ac:dyDescent="0.25">
      <c r="A1781" s="7"/>
      <c r="B1781" s="8"/>
      <c r="C1781" s="9"/>
      <c r="D1781" s="5"/>
      <c r="E1781" s="5"/>
    </row>
    <row r="1782" spans="1:5" ht="15.75" x14ac:dyDescent="0.25">
      <c r="A1782" s="7"/>
      <c r="B1782" s="8"/>
      <c r="C1782" s="9"/>
      <c r="D1782" s="5"/>
      <c r="E1782" s="5"/>
    </row>
    <row r="1783" spans="1:5" ht="15.75" x14ac:dyDescent="0.25">
      <c r="A1783" s="7"/>
      <c r="B1783" s="8"/>
      <c r="C1783" s="9"/>
      <c r="D1783" s="5"/>
      <c r="E1783" s="5"/>
    </row>
    <row r="1784" spans="1:5" ht="15.75" x14ac:dyDescent="0.25">
      <c r="A1784" s="7"/>
      <c r="B1784" s="8"/>
      <c r="C1784" s="9"/>
      <c r="D1784" s="5"/>
      <c r="E1784" s="5"/>
    </row>
    <row r="1785" spans="1:5" ht="15.75" x14ac:dyDescent="0.25">
      <c r="A1785" s="7"/>
      <c r="B1785" s="8"/>
      <c r="C1785" s="9"/>
      <c r="D1785" s="5"/>
      <c r="E1785" s="5"/>
    </row>
    <row r="1786" spans="1:5" ht="15.75" x14ac:dyDescent="0.25">
      <c r="A1786" s="7"/>
      <c r="B1786" s="8"/>
      <c r="C1786" s="9"/>
      <c r="D1786" s="5"/>
      <c r="E1786" s="5"/>
    </row>
    <row r="1787" spans="1:5" ht="15.75" x14ac:dyDescent="0.25">
      <c r="A1787" s="7"/>
      <c r="B1787" s="8"/>
      <c r="C1787" s="9"/>
      <c r="D1787" s="5"/>
      <c r="E1787" s="5"/>
    </row>
    <row r="1788" spans="1:5" ht="15.75" x14ac:dyDescent="0.25">
      <c r="A1788" s="7"/>
      <c r="B1788" s="8"/>
      <c r="C1788" s="9"/>
      <c r="D1788" s="5"/>
      <c r="E1788" s="5"/>
    </row>
    <row r="1789" spans="1:5" ht="15.75" x14ac:dyDescent="0.25">
      <c r="A1789" s="7"/>
      <c r="B1789" s="8"/>
      <c r="C1789" s="9"/>
      <c r="D1789" s="5"/>
      <c r="E1789" s="5"/>
    </row>
    <row r="1790" spans="1:5" ht="15.75" x14ac:dyDescent="0.25">
      <c r="A1790" s="7"/>
      <c r="B1790" s="8"/>
      <c r="C1790" s="9"/>
      <c r="D1790" s="5"/>
      <c r="E1790" s="5"/>
    </row>
    <row r="1791" spans="1:5" ht="15.75" x14ac:dyDescent="0.25">
      <c r="A1791" s="7"/>
      <c r="B1791" s="8"/>
      <c r="C1791" s="9"/>
      <c r="D1791" s="5"/>
      <c r="E1791" s="5"/>
    </row>
    <row r="1792" spans="1:5" ht="15.75" x14ac:dyDescent="0.25">
      <c r="A1792" s="7"/>
      <c r="B1792" s="8"/>
      <c r="C1792" s="9"/>
      <c r="D1792" s="5"/>
      <c r="E1792" s="5"/>
    </row>
    <row r="1793" spans="1:5" ht="15.75" x14ac:dyDescent="0.25">
      <c r="A1793" s="7"/>
      <c r="B1793" s="8"/>
      <c r="C1793" s="9"/>
      <c r="D1793" s="5"/>
      <c r="E1793" s="5"/>
    </row>
    <row r="1794" spans="1:5" ht="15.75" x14ac:dyDescent="0.25">
      <c r="A1794" s="7"/>
      <c r="B1794" s="8"/>
      <c r="C1794" s="9"/>
      <c r="D1794" s="5"/>
      <c r="E1794" s="5"/>
    </row>
    <row r="1795" spans="1:5" ht="15.75" x14ac:dyDescent="0.25">
      <c r="A1795" s="7"/>
      <c r="B1795" s="8"/>
      <c r="C1795" s="9"/>
      <c r="D1795" s="5"/>
      <c r="E1795" s="5"/>
    </row>
    <row r="1796" spans="1:5" ht="15.75" x14ac:dyDescent="0.25">
      <c r="A1796" s="7"/>
      <c r="B1796" s="8"/>
      <c r="C1796" s="9"/>
      <c r="D1796" s="5"/>
      <c r="E1796" s="5"/>
    </row>
    <row r="1797" spans="1:5" ht="15.75" x14ac:dyDescent="0.25">
      <c r="A1797" s="7"/>
      <c r="B1797" s="8"/>
      <c r="C1797" s="9"/>
      <c r="D1797" s="5"/>
      <c r="E1797" s="5"/>
    </row>
    <row r="1798" spans="1:5" ht="15.75" x14ac:dyDescent="0.25">
      <c r="A1798" s="7"/>
      <c r="B1798" s="8"/>
      <c r="C1798" s="9"/>
      <c r="D1798" s="5"/>
      <c r="E1798" s="5"/>
    </row>
    <row r="1799" spans="1:5" ht="15.75" x14ac:dyDescent="0.25">
      <c r="A1799" s="7"/>
      <c r="B1799" s="8"/>
      <c r="C1799" s="9"/>
      <c r="D1799" s="5"/>
      <c r="E1799" s="5"/>
    </row>
    <row r="1800" spans="1:5" ht="15.75" x14ac:dyDescent="0.25">
      <c r="A1800" s="7"/>
      <c r="B1800" s="8"/>
      <c r="C1800" s="9"/>
      <c r="D1800" s="5"/>
      <c r="E1800" s="5"/>
    </row>
    <row r="1801" spans="1:5" ht="15.75" x14ac:dyDescent="0.25">
      <c r="A1801" s="7"/>
      <c r="B1801" s="8"/>
      <c r="C1801" s="9"/>
      <c r="D1801" s="5"/>
      <c r="E1801" s="5"/>
    </row>
    <row r="1802" spans="1:5" ht="15.75" x14ac:dyDescent="0.25">
      <c r="A1802" s="7"/>
      <c r="B1802" s="8"/>
      <c r="C1802" s="9"/>
      <c r="D1802" s="5"/>
      <c r="E1802" s="5"/>
    </row>
    <row r="1803" spans="1:5" ht="15.75" x14ac:dyDescent="0.25">
      <c r="A1803" s="7"/>
      <c r="B1803" s="8"/>
      <c r="C1803" s="9"/>
      <c r="D1803" s="5"/>
      <c r="E1803" s="5"/>
    </row>
    <row r="1804" spans="1:5" ht="15.75" x14ac:dyDescent="0.25">
      <c r="A1804" s="7"/>
      <c r="B1804" s="8"/>
      <c r="C1804" s="9"/>
      <c r="D1804" s="5"/>
      <c r="E1804" s="5"/>
    </row>
    <row r="1805" spans="1:5" ht="15.75" x14ac:dyDescent="0.25">
      <c r="A1805" s="7"/>
      <c r="B1805" s="8"/>
      <c r="C1805" s="9"/>
      <c r="D1805" s="5"/>
      <c r="E1805" s="5"/>
    </row>
    <row r="1806" spans="1:5" ht="15.75" x14ac:dyDescent="0.25">
      <c r="A1806" s="7"/>
      <c r="B1806" s="8"/>
      <c r="C1806" s="9"/>
      <c r="D1806" s="5"/>
      <c r="E1806" s="5"/>
    </row>
    <row r="1807" spans="1:5" ht="15.75" x14ac:dyDescent="0.25">
      <c r="A1807" s="7"/>
      <c r="B1807" s="8"/>
      <c r="C1807" s="9"/>
      <c r="D1807" s="5"/>
      <c r="E1807" s="5"/>
    </row>
    <row r="1808" spans="1:5" ht="15.75" x14ac:dyDescent="0.25">
      <c r="A1808" s="7"/>
      <c r="B1808" s="8"/>
      <c r="C1808" s="9"/>
      <c r="D1808" s="5"/>
      <c r="E1808" s="5"/>
    </row>
    <row r="1809" spans="1:5" ht="15.75" x14ac:dyDescent="0.25">
      <c r="A1809" s="7"/>
      <c r="B1809" s="8"/>
      <c r="C1809" s="9"/>
      <c r="D1809" s="5"/>
      <c r="E1809" s="5"/>
    </row>
    <row r="1810" spans="1:5" ht="15.75" x14ac:dyDescent="0.25">
      <c r="A1810" s="7"/>
      <c r="B1810" s="8"/>
      <c r="C1810" s="9"/>
      <c r="D1810" s="5"/>
      <c r="E1810" s="5"/>
    </row>
    <row r="1811" spans="1:5" ht="15.75" x14ac:dyDescent="0.25">
      <c r="A1811" s="7"/>
      <c r="B1811" s="8"/>
      <c r="C1811" s="9"/>
      <c r="D1811" s="5"/>
      <c r="E1811" s="5"/>
    </row>
    <row r="1812" spans="1:5" ht="15.75" x14ac:dyDescent="0.25">
      <c r="A1812" s="7"/>
      <c r="B1812" s="8"/>
      <c r="C1812" s="9"/>
      <c r="D1812" s="5"/>
      <c r="E1812" s="5"/>
    </row>
    <row r="1813" spans="1:5" ht="15.75" x14ac:dyDescent="0.25">
      <c r="A1813" s="7"/>
      <c r="B1813" s="8"/>
      <c r="C1813" s="9"/>
      <c r="D1813" s="5"/>
      <c r="E1813" s="5"/>
    </row>
    <row r="1814" spans="1:5" ht="15.75" x14ac:dyDescent="0.25">
      <c r="A1814" s="7"/>
      <c r="B1814" s="8"/>
      <c r="C1814" s="9"/>
      <c r="D1814" s="5"/>
      <c r="E1814" s="5"/>
    </row>
    <row r="1815" spans="1:5" ht="15.75" x14ac:dyDescent="0.25">
      <c r="A1815" s="7"/>
      <c r="B1815" s="8"/>
      <c r="C1815" s="9"/>
      <c r="D1815" s="5"/>
      <c r="E1815" s="5"/>
    </row>
    <row r="1816" spans="1:5" ht="15.75" x14ac:dyDescent="0.25">
      <c r="A1816" s="7"/>
      <c r="B1816" s="8"/>
      <c r="C1816" s="9"/>
      <c r="D1816" s="5"/>
      <c r="E1816" s="5"/>
    </row>
    <row r="1817" spans="1:5" ht="15.75" x14ac:dyDescent="0.25">
      <c r="A1817" s="7"/>
      <c r="B1817" s="8"/>
      <c r="C1817" s="9"/>
      <c r="D1817" s="5"/>
      <c r="E1817" s="5"/>
    </row>
    <row r="1818" spans="1:5" ht="15.75" x14ac:dyDescent="0.25">
      <c r="A1818" s="7"/>
      <c r="B1818" s="8"/>
      <c r="C1818" s="9"/>
      <c r="D1818" s="5"/>
      <c r="E1818" s="5"/>
    </row>
    <row r="1819" spans="1:5" ht="15.75" x14ac:dyDescent="0.25">
      <c r="A1819" s="7"/>
      <c r="B1819" s="8"/>
      <c r="C1819" s="9"/>
      <c r="D1819" s="5"/>
      <c r="E1819" s="5"/>
    </row>
    <row r="1820" spans="1:5" ht="15.75" x14ac:dyDescent="0.25">
      <c r="A1820" s="7"/>
      <c r="B1820" s="8"/>
      <c r="C1820" s="9"/>
      <c r="D1820" s="5"/>
      <c r="E1820" s="5"/>
    </row>
    <row r="1821" spans="1:5" ht="15.75" x14ac:dyDescent="0.25">
      <c r="A1821" s="7"/>
      <c r="B1821" s="8"/>
      <c r="C1821" s="9"/>
      <c r="D1821" s="5"/>
      <c r="E1821" s="5"/>
    </row>
    <row r="1822" spans="1:5" ht="15.75" x14ac:dyDescent="0.25">
      <c r="A1822" s="7"/>
      <c r="B1822" s="8"/>
      <c r="C1822" s="9"/>
      <c r="D1822" s="5"/>
      <c r="E1822" s="5"/>
    </row>
    <row r="1823" spans="1:5" ht="15.75" x14ac:dyDescent="0.25">
      <c r="A1823" s="7"/>
      <c r="B1823" s="8"/>
      <c r="C1823" s="9"/>
      <c r="D1823" s="5"/>
      <c r="E1823" s="5"/>
    </row>
    <row r="1824" spans="1:5" ht="15.75" x14ac:dyDescent="0.25">
      <c r="A1824" s="7"/>
      <c r="B1824" s="8"/>
      <c r="C1824" s="9"/>
      <c r="D1824" s="5"/>
      <c r="E1824" s="5"/>
    </row>
    <row r="1825" spans="1:5" ht="15.75" x14ac:dyDescent="0.25">
      <c r="A1825" s="7"/>
      <c r="B1825" s="8"/>
      <c r="C1825" s="9"/>
      <c r="D1825" s="5"/>
      <c r="E1825" s="5"/>
    </row>
    <row r="1826" spans="1:5" ht="15.75" x14ac:dyDescent="0.25">
      <c r="A1826" s="7"/>
      <c r="B1826" s="8"/>
      <c r="C1826" s="9"/>
      <c r="D1826" s="5"/>
      <c r="E1826" s="5"/>
    </row>
    <row r="1827" spans="1:5" ht="15.75" x14ac:dyDescent="0.25">
      <c r="A1827" s="7"/>
      <c r="B1827" s="8"/>
      <c r="C1827" s="9"/>
      <c r="D1827" s="5"/>
      <c r="E1827" s="5"/>
    </row>
    <row r="1828" spans="1:5" ht="15.75" x14ac:dyDescent="0.25">
      <c r="A1828" s="7"/>
      <c r="B1828" s="8"/>
      <c r="C1828" s="9"/>
      <c r="D1828" s="5"/>
      <c r="E1828" s="5"/>
    </row>
    <row r="1829" spans="1:5" ht="15.75" x14ac:dyDescent="0.25">
      <c r="A1829" s="7"/>
      <c r="B1829" s="8"/>
      <c r="C1829" s="9"/>
      <c r="D1829" s="5"/>
      <c r="E1829" s="5"/>
    </row>
    <row r="1830" spans="1:5" ht="15.75" x14ac:dyDescent="0.25">
      <c r="A1830" s="7"/>
      <c r="B1830" s="8"/>
      <c r="C1830" s="9"/>
      <c r="D1830" s="5"/>
      <c r="E1830" s="5"/>
    </row>
    <row r="1831" spans="1:5" ht="15.75" x14ac:dyDescent="0.25">
      <c r="A1831" s="7"/>
      <c r="B1831" s="8"/>
      <c r="C1831" s="9"/>
      <c r="D1831" s="5"/>
      <c r="E1831" s="5"/>
    </row>
    <row r="1832" spans="1:5" ht="15.75" x14ac:dyDescent="0.25">
      <c r="A1832" s="7"/>
      <c r="B1832" s="8"/>
      <c r="C1832" s="9"/>
      <c r="D1832" s="5"/>
      <c r="E1832" s="5"/>
    </row>
    <row r="1833" spans="1:5" ht="15.75" x14ac:dyDescent="0.25">
      <c r="A1833" s="7"/>
      <c r="B1833" s="8"/>
      <c r="C1833" s="9"/>
      <c r="D1833" s="5"/>
      <c r="E1833" s="5"/>
    </row>
    <row r="1834" spans="1:5" ht="15.75" x14ac:dyDescent="0.25">
      <c r="A1834" s="7"/>
      <c r="B1834" s="8"/>
      <c r="C1834" s="9"/>
      <c r="D1834" s="5"/>
      <c r="E1834" s="5"/>
    </row>
    <row r="1835" spans="1:5" ht="15.75" x14ac:dyDescent="0.25">
      <c r="A1835" s="7"/>
      <c r="B1835" s="8"/>
      <c r="C1835" s="9"/>
      <c r="D1835" s="5"/>
      <c r="E1835" s="5"/>
    </row>
    <row r="1836" spans="1:5" ht="15.75" x14ac:dyDescent="0.25">
      <c r="A1836" s="7"/>
      <c r="B1836" s="8"/>
      <c r="C1836" s="9"/>
      <c r="D1836" s="5"/>
      <c r="E1836" s="5"/>
    </row>
    <row r="1837" spans="1:5" ht="15.75" x14ac:dyDescent="0.25">
      <c r="A1837" s="7"/>
      <c r="B1837" s="8"/>
      <c r="C1837" s="9"/>
      <c r="D1837" s="5"/>
      <c r="E1837" s="5"/>
    </row>
    <row r="1838" spans="1:5" ht="15.75" x14ac:dyDescent="0.25">
      <c r="A1838" s="7"/>
      <c r="B1838" s="8"/>
      <c r="C1838" s="9"/>
      <c r="D1838" s="5"/>
      <c r="E1838" s="5"/>
    </row>
    <row r="1839" spans="1:5" ht="15.75" x14ac:dyDescent="0.25">
      <c r="A1839" s="7"/>
      <c r="B1839" s="8"/>
      <c r="C1839" s="9"/>
      <c r="D1839" s="5"/>
      <c r="E1839" s="5"/>
    </row>
    <row r="1840" spans="1:5" ht="15.75" x14ac:dyDescent="0.25">
      <c r="A1840" s="7"/>
      <c r="B1840" s="8"/>
      <c r="C1840" s="9"/>
      <c r="D1840" s="5"/>
      <c r="E1840" s="5"/>
    </row>
    <row r="1841" spans="1:5" ht="15.75" x14ac:dyDescent="0.25">
      <c r="A1841" s="7"/>
      <c r="B1841" s="8"/>
      <c r="C1841" s="9"/>
      <c r="D1841" s="5"/>
      <c r="E1841" s="5"/>
    </row>
    <row r="1842" spans="1:5" ht="15.75" x14ac:dyDescent="0.25">
      <c r="A1842" s="7"/>
      <c r="B1842" s="8"/>
      <c r="C1842" s="9"/>
      <c r="D1842" s="5"/>
      <c r="E1842" s="5"/>
    </row>
    <row r="1843" spans="1:5" ht="15.75" x14ac:dyDescent="0.25">
      <c r="A1843" s="7"/>
      <c r="B1843" s="8"/>
      <c r="C1843" s="9"/>
      <c r="D1843" s="5"/>
      <c r="E1843" s="5"/>
    </row>
    <row r="1844" spans="1:5" ht="15.75" x14ac:dyDescent="0.25">
      <c r="A1844" s="7"/>
      <c r="B1844" s="8"/>
      <c r="C1844" s="9"/>
      <c r="D1844" s="5"/>
      <c r="E1844" s="5"/>
    </row>
    <row r="1845" spans="1:5" ht="15.75" x14ac:dyDescent="0.25">
      <c r="A1845" s="7"/>
      <c r="B1845" s="8"/>
      <c r="C1845" s="9"/>
      <c r="D1845" s="5"/>
      <c r="E1845" s="5"/>
    </row>
    <row r="1846" spans="1:5" ht="15.75" x14ac:dyDescent="0.25">
      <c r="A1846" s="7"/>
      <c r="B1846" s="8"/>
      <c r="C1846" s="9"/>
      <c r="D1846" s="5"/>
      <c r="E1846" s="5"/>
    </row>
    <row r="1847" spans="1:5" ht="15.75" x14ac:dyDescent="0.25">
      <c r="A1847" s="7"/>
      <c r="B1847" s="8"/>
      <c r="C1847" s="9"/>
      <c r="D1847" s="5"/>
      <c r="E1847" s="5"/>
    </row>
    <row r="1848" spans="1:5" ht="15.75" x14ac:dyDescent="0.25">
      <c r="A1848" s="7"/>
      <c r="B1848" s="8"/>
      <c r="C1848" s="9"/>
      <c r="D1848" s="5"/>
      <c r="E1848" s="5"/>
    </row>
    <row r="1849" spans="1:5" ht="15.75" x14ac:dyDescent="0.25">
      <c r="A1849" s="7"/>
      <c r="B1849" s="8"/>
      <c r="C1849" s="9"/>
      <c r="D1849" s="5"/>
      <c r="E1849" s="5"/>
    </row>
    <row r="1850" spans="1:5" ht="15.75" x14ac:dyDescent="0.25">
      <c r="A1850" s="7"/>
      <c r="B1850" s="8"/>
      <c r="C1850" s="9"/>
      <c r="D1850" s="5"/>
      <c r="E1850" s="5"/>
    </row>
    <row r="1851" spans="1:5" ht="15.75" x14ac:dyDescent="0.25">
      <c r="A1851" s="7"/>
      <c r="B1851" s="8"/>
      <c r="C1851" s="9"/>
      <c r="D1851" s="5"/>
      <c r="E1851" s="5"/>
    </row>
    <row r="1852" spans="1:5" ht="15.75" x14ac:dyDescent="0.25">
      <c r="A1852" s="7"/>
      <c r="B1852" s="8"/>
      <c r="C1852" s="9"/>
      <c r="D1852" s="5"/>
      <c r="E1852" s="5"/>
    </row>
    <row r="1853" spans="1:5" ht="15.75" x14ac:dyDescent="0.25">
      <c r="A1853" s="7"/>
      <c r="B1853" s="8"/>
      <c r="C1853" s="9"/>
      <c r="D1853" s="5"/>
      <c r="E1853" s="5"/>
    </row>
    <row r="1854" spans="1:5" ht="15.75" x14ac:dyDescent="0.25">
      <c r="A1854" s="7"/>
      <c r="B1854" s="8"/>
      <c r="C1854" s="9"/>
      <c r="D1854" s="5"/>
      <c r="E1854" s="5"/>
    </row>
    <row r="1855" spans="1:5" ht="15.75" x14ac:dyDescent="0.25">
      <c r="A1855" s="7"/>
      <c r="B1855" s="8"/>
      <c r="C1855" s="9"/>
      <c r="D1855" s="5"/>
      <c r="E1855" s="5"/>
    </row>
    <row r="1856" spans="1:5" ht="15.75" x14ac:dyDescent="0.25">
      <c r="A1856" s="7"/>
      <c r="B1856" s="8"/>
      <c r="C1856" s="9"/>
      <c r="D1856" s="5"/>
      <c r="E1856" s="5"/>
    </row>
    <row r="1857" spans="1:5" ht="15.75" x14ac:dyDescent="0.25">
      <c r="A1857" s="7"/>
      <c r="B1857" s="8"/>
      <c r="C1857" s="9"/>
      <c r="D1857" s="5"/>
      <c r="E1857" s="5"/>
    </row>
    <row r="1858" spans="1:5" ht="15.75" x14ac:dyDescent="0.25">
      <c r="A1858" s="7"/>
      <c r="B1858" s="8"/>
      <c r="C1858" s="9"/>
      <c r="D1858" s="5"/>
      <c r="E1858" s="5"/>
    </row>
    <row r="1859" spans="1:5" ht="15.75" x14ac:dyDescent="0.25">
      <c r="A1859" s="7"/>
      <c r="B1859" s="8"/>
      <c r="C1859" s="9"/>
      <c r="D1859" s="5"/>
      <c r="E1859" s="5"/>
    </row>
    <row r="1860" spans="1:5" ht="15.75" x14ac:dyDescent="0.25">
      <c r="A1860" s="7"/>
      <c r="B1860" s="8"/>
      <c r="C1860" s="9"/>
      <c r="D1860" s="5"/>
      <c r="E1860" s="5"/>
    </row>
    <row r="1861" spans="1:5" ht="15.75" x14ac:dyDescent="0.25">
      <c r="A1861" s="7"/>
      <c r="B1861" s="8"/>
      <c r="C1861" s="9"/>
      <c r="D1861" s="5"/>
      <c r="E1861" s="5"/>
    </row>
    <row r="1862" spans="1:5" ht="15.75" x14ac:dyDescent="0.25">
      <c r="A1862" s="7"/>
      <c r="B1862" s="8"/>
      <c r="C1862" s="9"/>
      <c r="D1862" s="5"/>
      <c r="E1862" s="5"/>
    </row>
    <row r="1863" spans="1:5" ht="15.75" x14ac:dyDescent="0.25">
      <c r="A1863" s="7"/>
      <c r="B1863" s="8"/>
      <c r="C1863" s="9"/>
      <c r="D1863" s="5"/>
      <c r="E1863" s="5"/>
    </row>
    <row r="1864" spans="1:5" ht="15.75" x14ac:dyDescent="0.25">
      <c r="A1864" s="7"/>
      <c r="B1864" s="8"/>
      <c r="C1864" s="9"/>
      <c r="D1864" s="5"/>
      <c r="E1864" s="5"/>
    </row>
    <row r="1865" spans="1:5" ht="15.75" x14ac:dyDescent="0.25">
      <c r="A1865" s="7"/>
      <c r="B1865" s="8"/>
      <c r="C1865" s="9"/>
      <c r="D1865" s="5"/>
      <c r="E1865" s="5"/>
    </row>
    <row r="1866" spans="1:5" ht="15.75" x14ac:dyDescent="0.25">
      <c r="A1866" s="7"/>
      <c r="B1866" s="8"/>
      <c r="C1866" s="9"/>
      <c r="D1866" s="5"/>
      <c r="E1866" s="5"/>
    </row>
    <row r="1867" spans="1:5" ht="15.75" x14ac:dyDescent="0.25">
      <c r="A1867" s="7"/>
      <c r="B1867" s="8"/>
      <c r="C1867" s="9"/>
      <c r="D1867" s="5"/>
      <c r="E1867" s="5"/>
    </row>
    <row r="1868" spans="1:5" ht="15.75" x14ac:dyDescent="0.25">
      <c r="A1868" s="7"/>
      <c r="B1868" s="8"/>
      <c r="C1868" s="9"/>
      <c r="D1868" s="5"/>
      <c r="E1868" s="5"/>
    </row>
    <row r="1869" spans="1:5" ht="15.75" x14ac:dyDescent="0.25">
      <c r="A1869" s="7"/>
      <c r="B1869" s="8"/>
      <c r="C1869" s="9"/>
      <c r="D1869" s="5"/>
      <c r="E1869" s="5"/>
    </row>
    <row r="1870" spans="1:5" ht="15.75" x14ac:dyDescent="0.25">
      <c r="A1870" s="7"/>
      <c r="B1870" s="8"/>
      <c r="C1870" s="9"/>
      <c r="D1870" s="5"/>
      <c r="E1870" s="5"/>
    </row>
    <row r="1871" spans="1:5" ht="15.75" x14ac:dyDescent="0.25">
      <c r="A1871" s="7"/>
      <c r="B1871" s="8"/>
      <c r="C1871" s="9"/>
      <c r="D1871" s="5"/>
      <c r="E1871" s="5"/>
    </row>
    <row r="1872" spans="1:5" ht="15.75" x14ac:dyDescent="0.25">
      <c r="A1872" s="7"/>
      <c r="B1872" s="8"/>
      <c r="C1872" s="9"/>
      <c r="D1872" s="5"/>
      <c r="E1872" s="5"/>
    </row>
    <row r="1873" spans="1:5" ht="15.75" x14ac:dyDescent="0.25">
      <c r="A1873" s="7"/>
      <c r="B1873" s="8"/>
      <c r="C1873" s="9"/>
      <c r="D1873" s="5"/>
      <c r="E1873" s="5"/>
    </row>
    <row r="1874" spans="1:5" ht="15.75" x14ac:dyDescent="0.25">
      <c r="A1874" s="7"/>
      <c r="B1874" s="8"/>
      <c r="C1874" s="9"/>
      <c r="D1874" s="5"/>
      <c r="E1874" s="5"/>
    </row>
    <row r="1875" spans="1:5" ht="15.75" x14ac:dyDescent="0.25">
      <c r="A1875" s="7"/>
      <c r="B1875" s="8"/>
      <c r="C1875" s="9"/>
      <c r="D1875" s="5"/>
      <c r="E1875" s="5"/>
    </row>
    <row r="1876" spans="1:5" ht="15.75" x14ac:dyDescent="0.25">
      <c r="A1876" s="7"/>
      <c r="B1876" s="8"/>
      <c r="C1876" s="9"/>
      <c r="D1876" s="5"/>
      <c r="E1876" s="5"/>
    </row>
    <row r="1877" spans="1:5" ht="15.75" x14ac:dyDescent="0.25">
      <c r="A1877" s="7"/>
      <c r="B1877" s="8"/>
      <c r="C1877" s="9"/>
      <c r="D1877" s="5"/>
      <c r="E1877" s="5"/>
    </row>
    <row r="1878" spans="1:5" ht="15.75" x14ac:dyDescent="0.25">
      <c r="A1878" s="7"/>
      <c r="B1878" s="8"/>
      <c r="C1878" s="9"/>
      <c r="D1878" s="5"/>
      <c r="E1878" s="5"/>
    </row>
    <row r="1879" spans="1:5" ht="15.75" x14ac:dyDescent="0.25">
      <c r="A1879" s="7"/>
      <c r="B1879" s="8"/>
      <c r="C1879" s="9"/>
      <c r="D1879" s="5"/>
      <c r="E1879" s="5"/>
    </row>
    <row r="1880" spans="1:5" ht="15.75" x14ac:dyDescent="0.25">
      <c r="A1880" s="7"/>
      <c r="B1880" s="8"/>
      <c r="C1880" s="9"/>
      <c r="D1880" s="5"/>
      <c r="E1880" s="5"/>
    </row>
    <row r="1881" spans="1:5" ht="15.75" x14ac:dyDescent="0.25">
      <c r="A1881" s="7"/>
      <c r="B1881" s="8"/>
      <c r="C1881" s="9"/>
      <c r="D1881" s="5"/>
      <c r="E1881" s="5"/>
    </row>
    <row r="1882" spans="1:5" ht="15.75" x14ac:dyDescent="0.25">
      <c r="A1882" s="7"/>
      <c r="B1882" s="8"/>
      <c r="C1882" s="9"/>
      <c r="D1882" s="5"/>
      <c r="E1882" s="5"/>
    </row>
    <row r="1883" spans="1:5" ht="15.75" x14ac:dyDescent="0.25">
      <c r="A1883" s="7"/>
      <c r="B1883" s="8"/>
      <c r="C1883" s="9"/>
      <c r="D1883" s="5"/>
      <c r="E1883" s="5"/>
    </row>
    <row r="1884" spans="1:5" ht="15.75" x14ac:dyDescent="0.25">
      <c r="A1884" s="7"/>
      <c r="B1884" s="8"/>
      <c r="C1884" s="9"/>
      <c r="D1884" s="5"/>
      <c r="E1884" s="5"/>
    </row>
    <row r="1885" spans="1:5" ht="15.75" x14ac:dyDescent="0.25">
      <c r="A1885" s="7"/>
      <c r="B1885" s="8"/>
      <c r="C1885" s="9"/>
      <c r="D1885" s="5"/>
      <c r="E1885" s="5"/>
    </row>
    <row r="1886" spans="1:5" ht="15.75" x14ac:dyDescent="0.25">
      <c r="A1886" s="7"/>
      <c r="B1886" s="8"/>
      <c r="C1886" s="9"/>
      <c r="D1886" s="5"/>
      <c r="E1886" s="5"/>
    </row>
    <row r="1887" spans="1:5" ht="15.75" x14ac:dyDescent="0.25">
      <c r="A1887" s="7"/>
      <c r="B1887" s="8"/>
      <c r="C1887" s="9"/>
      <c r="D1887" s="5"/>
      <c r="E1887" s="5"/>
    </row>
    <row r="1888" spans="1:5" ht="15.75" x14ac:dyDescent="0.25">
      <c r="A1888" s="7"/>
      <c r="B1888" s="8"/>
      <c r="C1888" s="9"/>
      <c r="D1888" s="5"/>
      <c r="E1888" s="5"/>
    </row>
    <row r="1889" spans="1:5" ht="15.75" x14ac:dyDescent="0.25">
      <c r="A1889" s="7"/>
      <c r="B1889" s="8"/>
      <c r="C1889" s="9"/>
      <c r="D1889" s="5"/>
      <c r="E1889" s="5"/>
    </row>
    <row r="1890" spans="1:5" ht="15.75" x14ac:dyDescent="0.25">
      <c r="A1890" s="7"/>
      <c r="B1890" s="8"/>
      <c r="C1890" s="9"/>
      <c r="D1890" s="5"/>
      <c r="E1890" s="5"/>
    </row>
    <row r="1891" spans="1:5" ht="15.75" x14ac:dyDescent="0.25">
      <c r="A1891" s="7"/>
      <c r="B1891" s="8"/>
      <c r="C1891" s="9"/>
      <c r="D1891" s="5"/>
      <c r="E1891" s="5"/>
    </row>
    <row r="1892" spans="1:5" ht="15.75" x14ac:dyDescent="0.25">
      <c r="A1892" s="7"/>
      <c r="B1892" s="8"/>
      <c r="C1892" s="9"/>
      <c r="D1892" s="5"/>
      <c r="E1892" s="5"/>
    </row>
    <row r="1893" spans="1:5" ht="15.75" x14ac:dyDescent="0.25">
      <c r="A1893" s="7"/>
      <c r="B1893" s="8"/>
      <c r="C1893" s="9"/>
      <c r="D1893" s="5"/>
      <c r="E1893" s="5"/>
    </row>
    <row r="1894" spans="1:5" ht="15.75" x14ac:dyDescent="0.25">
      <c r="A1894" s="7"/>
      <c r="B1894" s="8"/>
      <c r="C1894" s="9"/>
      <c r="D1894" s="5"/>
      <c r="E1894" s="5"/>
    </row>
    <row r="1895" spans="1:5" ht="15.75" x14ac:dyDescent="0.25">
      <c r="A1895" s="7"/>
      <c r="B1895" s="8"/>
      <c r="C1895" s="9"/>
      <c r="D1895" s="5"/>
      <c r="E1895" s="5"/>
    </row>
    <row r="1896" spans="1:5" ht="15.75" x14ac:dyDescent="0.25">
      <c r="A1896" s="7"/>
      <c r="B1896" s="8"/>
      <c r="C1896" s="9"/>
      <c r="D1896" s="5"/>
      <c r="E1896" s="5"/>
    </row>
    <row r="1897" spans="1:5" ht="15.75" x14ac:dyDescent="0.25">
      <c r="A1897" s="7"/>
      <c r="B1897" s="8"/>
      <c r="C1897" s="9"/>
      <c r="D1897" s="5"/>
      <c r="E1897" s="5"/>
    </row>
    <row r="1898" spans="1:5" ht="15.75" x14ac:dyDescent="0.25">
      <c r="A1898" s="7"/>
      <c r="B1898" s="8"/>
      <c r="C1898" s="9"/>
      <c r="D1898" s="5"/>
      <c r="E1898" s="5"/>
    </row>
    <row r="1899" spans="1:5" ht="15.75" x14ac:dyDescent="0.25">
      <c r="A1899" s="7"/>
      <c r="B1899" s="8"/>
      <c r="C1899" s="9"/>
      <c r="D1899" s="5"/>
      <c r="E1899" s="5"/>
    </row>
    <row r="1900" spans="1:5" ht="15.75" x14ac:dyDescent="0.25">
      <c r="A1900" s="7"/>
      <c r="B1900" s="8"/>
      <c r="C1900" s="9"/>
      <c r="D1900" s="5"/>
      <c r="E1900" s="5"/>
    </row>
    <row r="1901" spans="1:5" ht="15.75" x14ac:dyDescent="0.25">
      <c r="A1901" s="7"/>
      <c r="B1901" s="8"/>
      <c r="C1901" s="9"/>
      <c r="D1901" s="5"/>
      <c r="E1901" s="5"/>
    </row>
    <row r="1902" spans="1:5" ht="15.75" x14ac:dyDescent="0.25">
      <c r="A1902" s="7"/>
      <c r="B1902" s="8"/>
      <c r="C1902" s="9"/>
      <c r="D1902" s="5"/>
      <c r="E1902" s="5"/>
    </row>
    <row r="1903" spans="1:5" ht="15.75" x14ac:dyDescent="0.25">
      <c r="A1903" s="7"/>
      <c r="B1903" s="8"/>
      <c r="C1903" s="9"/>
      <c r="D1903" s="5"/>
      <c r="E1903" s="5"/>
    </row>
    <row r="1904" spans="1:5" ht="15.75" x14ac:dyDescent="0.25">
      <c r="A1904" s="7"/>
      <c r="B1904" s="8"/>
      <c r="C1904" s="9"/>
      <c r="D1904" s="5"/>
      <c r="E1904" s="5"/>
    </row>
    <row r="1905" spans="1:5" ht="15.75" x14ac:dyDescent="0.25">
      <c r="A1905" s="7"/>
      <c r="B1905" s="8"/>
      <c r="C1905" s="9"/>
      <c r="D1905" s="5"/>
      <c r="E1905" s="5"/>
    </row>
    <row r="1906" spans="1:5" ht="15.75" x14ac:dyDescent="0.25">
      <c r="A1906" s="7"/>
      <c r="B1906" s="8"/>
      <c r="C1906" s="9"/>
      <c r="D1906" s="5"/>
      <c r="E1906" s="5"/>
    </row>
    <row r="1907" spans="1:5" ht="15.75" x14ac:dyDescent="0.25">
      <c r="A1907" s="7"/>
      <c r="B1907" s="8"/>
      <c r="C1907" s="9"/>
      <c r="D1907" s="5"/>
      <c r="E1907" s="5"/>
    </row>
    <row r="1908" spans="1:5" ht="15.75" x14ac:dyDescent="0.25">
      <c r="A1908" s="7"/>
      <c r="B1908" s="8"/>
      <c r="C1908" s="9"/>
      <c r="D1908" s="5"/>
      <c r="E1908" s="5"/>
    </row>
    <row r="1909" spans="1:5" ht="15.75" x14ac:dyDescent="0.25">
      <c r="A1909" s="7"/>
      <c r="B1909" s="8"/>
      <c r="C1909" s="9"/>
      <c r="D1909" s="5"/>
      <c r="E1909" s="5"/>
    </row>
    <row r="1910" spans="1:5" ht="15.75" x14ac:dyDescent="0.25">
      <c r="A1910" s="7"/>
      <c r="B1910" s="8"/>
      <c r="C1910" s="9"/>
      <c r="D1910" s="5"/>
      <c r="E1910" s="5"/>
    </row>
    <row r="1911" spans="1:5" ht="15.75" x14ac:dyDescent="0.25">
      <c r="A1911" s="7"/>
      <c r="B1911" s="8"/>
      <c r="C1911" s="9"/>
      <c r="D1911" s="5"/>
      <c r="E1911" s="5"/>
    </row>
    <row r="1912" spans="1:5" ht="15.75" x14ac:dyDescent="0.25">
      <c r="A1912" s="7"/>
      <c r="B1912" s="8"/>
      <c r="C1912" s="9"/>
      <c r="D1912" s="5"/>
      <c r="E1912" s="5"/>
    </row>
    <row r="1913" spans="1:5" ht="15.75" x14ac:dyDescent="0.25">
      <c r="A1913" s="7"/>
      <c r="B1913" s="8"/>
      <c r="C1913" s="9"/>
      <c r="D1913" s="5"/>
      <c r="E1913" s="5"/>
    </row>
    <row r="1914" spans="1:5" ht="15.75" x14ac:dyDescent="0.25">
      <c r="A1914" s="7"/>
      <c r="B1914" s="8"/>
      <c r="C1914" s="9"/>
      <c r="D1914" s="5"/>
      <c r="E1914" s="5"/>
    </row>
    <row r="1915" spans="1:5" ht="15.75" x14ac:dyDescent="0.25">
      <c r="A1915" s="7"/>
      <c r="B1915" s="8"/>
      <c r="C1915" s="9"/>
      <c r="D1915" s="5"/>
      <c r="E1915" s="5"/>
    </row>
    <row r="1916" spans="1:5" ht="15.75" x14ac:dyDescent="0.25">
      <c r="A1916" s="7"/>
      <c r="B1916" s="8"/>
      <c r="C1916" s="9"/>
      <c r="D1916" s="5"/>
      <c r="E1916" s="5"/>
    </row>
    <row r="1917" spans="1:5" ht="15.75" x14ac:dyDescent="0.25">
      <c r="A1917" s="7"/>
      <c r="B1917" s="8"/>
      <c r="C1917" s="9"/>
      <c r="D1917" s="5"/>
      <c r="E1917" s="5"/>
    </row>
    <row r="1918" spans="1:5" ht="15.75" x14ac:dyDescent="0.25">
      <c r="A1918" s="7"/>
      <c r="B1918" s="8"/>
      <c r="C1918" s="9"/>
      <c r="D1918" s="5"/>
      <c r="E1918" s="5"/>
    </row>
    <row r="1919" spans="1:5" ht="15.75" x14ac:dyDescent="0.25">
      <c r="A1919" s="7"/>
      <c r="B1919" s="8"/>
      <c r="C1919" s="9"/>
      <c r="D1919" s="5"/>
      <c r="E1919" s="5"/>
    </row>
    <row r="1920" spans="1:5" ht="15.75" x14ac:dyDescent="0.25">
      <c r="A1920" s="7"/>
      <c r="B1920" s="8"/>
      <c r="C1920" s="9"/>
      <c r="D1920" s="5"/>
      <c r="E1920" s="5"/>
    </row>
    <row r="1921" spans="1:5" ht="15.75" x14ac:dyDescent="0.25">
      <c r="A1921" s="7"/>
      <c r="B1921" s="8"/>
      <c r="C1921" s="9"/>
      <c r="D1921" s="5"/>
      <c r="E1921" s="5"/>
    </row>
    <row r="1922" spans="1:5" ht="15.75" x14ac:dyDescent="0.25">
      <c r="A1922" s="7"/>
      <c r="B1922" s="8"/>
      <c r="C1922" s="9"/>
      <c r="D1922" s="5"/>
      <c r="E1922" s="5"/>
    </row>
    <row r="1923" spans="1:5" ht="15.75" x14ac:dyDescent="0.25">
      <c r="A1923" s="7"/>
      <c r="B1923" s="8"/>
      <c r="C1923" s="9"/>
      <c r="D1923" s="5"/>
      <c r="E1923" s="5"/>
    </row>
    <row r="1924" spans="1:5" ht="15.75" x14ac:dyDescent="0.25">
      <c r="A1924" s="7"/>
      <c r="B1924" s="8"/>
      <c r="C1924" s="9"/>
      <c r="D1924" s="5"/>
      <c r="E1924" s="5"/>
    </row>
    <row r="1925" spans="1:5" ht="15.75" x14ac:dyDescent="0.25">
      <c r="A1925" s="7"/>
      <c r="B1925" s="8"/>
      <c r="C1925" s="9"/>
      <c r="D1925" s="5"/>
      <c r="E1925" s="5"/>
    </row>
    <row r="1926" spans="1:5" ht="15.75" x14ac:dyDescent="0.25">
      <c r="A1926" s="7"/>
      <c r="B1926" s="8"/>
      <c r="C1926" s="9"/>
      <c r="D1926" s="5"/>
      <c r="E1926" s="5"/>
    </row>
    <row r="1927" spans="1:5" ht="15.75" x14ac:dyDescent="0.25">
      <c r="A1927" s="7"/>
      <c r="B1927" s="8"/>
      <c r="C1927" s="9"/>
      <c r="D1927" s="5"/>
      <c r="E1927" s="5"/>
    </row>
    <row r="1928" spans="1:5" ht="15.75" x14ac:dyDescent="0.25">
      <c r="A1928" s="7"/>
      <c r="B1928" s="8"/>
      <c r="C1928" s="9"/>
      <c r="D1928" s="5"/>
      <c r="E1928" s="5"/>
    </row>
    <row r="1929" spans="1:5" ht="15.75" x14ac:dyDescent="0.25">
      <c r="A1929" s="7"/>
      <c r="B1929" s="8"/>
      <c r="C1929" s="9"/>
      <c r="D1929" s="5"/>
      <c r="E1929" s="5"/>
    </row>
    <row r="1930" spans="1:5" ht="15.75" x14ac:dyDescent="0.25">
      <c r="A1930" s="7"/>
      <c r="B1930" s="8"/>
      <c r="C1930" s="9"/>
      <c r="D1930" s="5"/>
      <c r="E1930" s="5"/>
    </row>
    <row r="1931" spans="1:5" ht="15.75" x14ac:dyDescent="0.25">
      <c r="A1931" s="7"/>
      <c r="B1931" s="8"/>
      <c r="C1931" s="9"/>
      <c r="D1931" s="5"/>
      <c r="E1931" s="5"/>
    </row>
    <row r="1932" spans="1:5" ht="15.75" x14ac:dyDescent="0.25">
      <c r="A1932" s="7"/>
      <c r="B1932" s="8"/>
      <c r="C1932" s="9"/>
      <c r="D1932" s="5"/>
      <c r="E1932" s="5"/>
    </row>
    <row r="1933" spans="1:5" ht="15.75" x14ac:dyDescent="0.25">
      <c r="A1933" s="7"/>
      <c r="B1933" s="8"/>
      <c r="C1933" s="9"/>
      <c r="D1933" s="5"/>
      <c r="E1933" s="5"/>
    </row>
    <row r="1934" spans="1:5" ht="15.75" x14ac:dyDescent="0.25">
      <c r="A1934" s="7"/>
      <c r="B1934" s="8"/>
      <c r="C1934" s="9"/>
      <c r="D1934" s="5"/>
      <c r="E1934" s="5"/>
    </row>
    <row r="1935" spans="1:5" ht="15.75" x14ac:dyDescent="0.25">
      <c r="A1935" s="7"/>
      <c r="B1935" s="8"/>
      <c r="C1935" s="9"/>
      <c r="D1935" s="5"/>
      <c r="E1935" s="5"/>
    </row>
    <row r="1936" spans="1:5" ht="15.75" x14ac:dyDescent="0.25">
      <c r="A1936" s="7"/>
      <c r="B1936" s="8"/>
      <c r="C1936" s="9"/>
      <c r="D1936" s="5"/>
      <c r="E1936" s="5"/>
    </row>
    <row r="1937" spans="1:5" ht="15.75" x14ac:dyDescent="0.25">
      <c r="A1937" s="7"/>
      <c r="B1937" s="8"/>
      <c r="C1937" s="9"/>
      <c r="D1937" s="5"/>
      <c r="E1937" s="5"/>
    </row>
    <row r="1938" spans="1:5" ht="15.75" x14ac:dyDescent="0.25">
      <c r="A1938" s="7"/>
      <c r="B1938" s="8"/>
      <c r="C1938" s="9"/>
      <c r="D1938" s="5"/>
      <c r="E1938" s="5"/>
    </row>
    <row r="1939" spans="1:5" ht="15.75" x14ac:dyDescent="0.25">
      <c r="A1939" s="7"/>
      <c r="B1939" s="8"/>
      <c r="C1939" s="9"/>
      <c r="D1939" s="5"/>
      <c r="E1939" s="5"/>
    </row>
    <row r="1940" spans="1:5" ht="15.75" x14ac:dyDescent="0.25">
      <c r="A1940" s="7"/>
      <c r="B1940" s="8"/>
      <c r="C1940" s="9"/>
      <c r="D1940" s="5"/>
      <c r="E1940" s="5"/>
    </row>
    <row r="1941" spans="1:5" ht="15.75" x14ac:dyDescent="0.25">
      <c r="A1941" s="7"/>
      <c r="B1941" s="8"/>
      <c r="C1941" s="9"/>
      <c r="D1941" s="5"/>
      <c r="E1941" s="5"/>
    </row>
    <row r="1942" spans="1:5" ht="15.75" x14ac:dyDescent="0.25">
      <c r="A1942" s="7"/>
      <c r="B1942" s="8"/>
      <c r="C1942" s="9"/>
      <c r="D1942" s="5"/>
      <c r="E1942" s="5"/>
    </row>
    <row r="1943" spans="1:5" ht="15.75" x14ac:dyDescent="0.25">
      <c r="A1943" s="7"/>
      <c r="B1943" s="8"/>
      <c r="C1943" s="9"/>
      <c r="D1943" s="5"/>
      <c r="E1943" s="5"/>
    </row>
    <row r="1944" spans="1:5" ht="15.75" x14ac:dyDescent="0.25">
      <c r="A1944" s="7"/>
      <c r="B1944" s="8"/>
      <c r="C1944" s="9"/>
      <c r="D1944" s="5"/>
      <c r="E1944" s="5"/>
    </row>
    <row r="1945" spans="1:5" ht="15.75" x14ac:dyDescent="0.25">
      <c r="A1945" s="7"/>
      <c r="B1945" s="8"/>
      <c r="C1945" s="9"/>
      <c r="D1945" s="5"/>
      <c r="E1945" s="5"/>
    </row>
    <row r="1946" spans="1:5" ht="15.75" x14ac:dyDescent="0.25">
      <c r="A1946" s="7"/>
      <c r="B1946" s="8"/>
      <c r="C1946" s="9"/>
      <c r="D1946" s="5"/>
      <c r="E1946" s="5"/>
    </row>
    <row r="1947" spans="1:5" ht="15.75" x14ac:dyDescent="0.25">
      <c r="A1947" s="7"/>
      <c r="B1947" s="8"/>
      <c r="C1947" s="9"/>
      <c r="D1947" s="5"/>
      <c r="E1947" s="5"/>
    </row>
    <row r="1948" spans="1:5" ht="15.75" x14ac:dyDescent="0.25">
      <c r="A1948" s="7"/>
      <c r="B1948" s="8"/>
      <c r="C1948" s="9"/>
      <c r="D1948" s="5"/>
      <c r="E1948" s="5"/>
    </row>
    <row r="1949" spans="1:5" ht="15.75" x14ac:dyDescent="0.25">
      <c r="A1949" s="7"/>
      <c r="B1949" s="8"/>
      <c r="C1949" s="9"/>
      <c r="D1949" s="5"/>
      <c r="E1949" s="5"/>
    </row>
    <row r="1950" spans="1:5" ht="15.75" x14ac:dyDescent="0.25">
      <c r="A1950" s="7"/>
      <c r="B1950" s="8"/>
      <c r="C1950" s="9"/>
      <c r="D1950" s="5"/>
      <c r="E1950" s="5"/>
    </row>
    <row r="1951" spans="1:5" ht="15.75" x14ac:dyDescent="0.25">
      <c r="A1951" s="7"/>
      <c r="B1951" s="8"/>
      <c r="C1951" s="9"/>
      <c r="D1951" s="5"/>
      <c r="E1951" s="5"/>
    </row>
    <row r="1952" spans="1:5" ht="15.75" x14ac:dyDescent="0.25">
      <c r="A1952" s="7"/>
      <c r="B1952" s="8"/>
      <c r="C1952" s="9"/>
      <c r="D1952" s="5"/>
      <c r="E1952" s="5"/>
    </row>
    <row r="1953" spans="1:5" ht="15.75" x14ac:dyDescent="0.25">
      <c r="A1953" s="7"/>
      <c r="B1953" s="8"/>
      <c r="C1953" s="9"/>
      <c r="D1953" s="5"/>
      <c r="E1953" s="5"/>
    </row>
    <row r="1954" spans="1:5" ht="15.75" x14ac:dyDescent="0.25">
      <c r="A1954" s="7"/>
      <c r="B1954" s="8"/>
      <c r="C1954" s="9"/>
      <c r="D1954" s="5"/>
      <c r="E1954" s="5"/>
    </row>
    <row r="1955" spans="1:5" ht="15.75" x14ac:dyDescent="0.25">
      <c r="A1955" s="7"/>
      <c r="B1955" s="8"/>
      <c r="C1955" s="9"/>
      <c r="D1955" s="5"/>
      <c r="E1955" s="5"/>
    </row>
    <row r="1956" spans="1:5" ht="15.75" x14ac:dyDescent="0.25">
      <c r="A1956" s="7"/>
      <c r="B1956" s="8"/>
      <c r="C1956" s="9"/>
      <c r="D1956" s="5"/>
      <c r="E1956" s="5"/>
    </row>
    <row r="1957" spans="1:5" ht="15.75" x14ac:dyDescent="0.25">
      <c r="A1957" s="7"/>
      <c r="B1957" s="8"/>
      <c r="C1957" s="9"/>
      <c r="D1957" s="5"/>
      <c r="E1957" s="5"/>
    </row>
    <row r="1958" spans="1:5" ht="15.75" x14ac:dyDescent="0.25">
      <c r="A1958" s="7"/>
      <c r="B1958" s="8"/>
      <c r="C1958" s="9"/>
      <c r="D1958" s="5"/>
      <c r="E1958" s="5"/>
    </row>
    <row r="1959" spans="1:5" ht="15.75" x14ac:dyDescent="0.25">
      <c r="A1959" s="7"/>
      <c r="B1959" s="8"/>
      <c r="C1959" s="9"/>
      <c r="D1959" s="5"/>
      <c r="E1959" s="5"/>
    </row>
    <row r="1960" spans="1:5" ht="15.75" x14ac:dyDescent="0.25">
      <c r="A1960" s="7"/>
      <c r="B1960" s="8"/>
      <c r="C1960" s="9"/>
      <c r="D1960" s="5"/>
      <c r="E1960" s="5"/>
    </row>
    <row r="1961" spans="1:5" ht="15.75" x14ac:dyDescent="0.25">
      <c r="A1961" s="7"/>
      <c r="B1961" s="8"/>
      <c r="C1961" s="9"/>
      <c r="D1961" s="5"/>
      <c r="E1961" s="5"/>
    </row>
    <row r="1962" spans="1:5" ht="15.75" x14ac:dyDescent="0.25">
      <c r="A1962" s="7"/>
      <c r="B1962" s="8"/>
      <c r="C1962" s="9"/>
      <c r="D1962" s="5"/>
      <c r="E1962" s="5"/>
    </row>
    <row r="1963" spans="1:5" ht="15.75" x14ac:dyDescent="0.25">
      <c r="A1963" s="7"/>
      <c r="B1963" s="8"/>
      <c r="C1963" s="9"/>
      <c r="D1963" s="5"/>
      <c r="E1963" s="5"/>
    </row>
    <row r="1964" spans="1:5" ht="15.75" x14ac:dyDescent="0.25">
      <c r="A1964" s="7"/>
      <c r="B1964" s="8"/>
      <c r="C1964" s="9"/>
      <c r="D1964" s="5"/>
      <c r="E1964" s="5"/>
    </row>
    <row r="1965" spans="1:5" ht="15.75" x14ac:dyDescent="0.25">
      <c r="A1965" s="7"/>
      <c r="B1965" s="8"/>
      <c r="C1965" s="9"/>
      <c r="D1965" s="5"/>
      <c r="E1965" s="5"/>
    </row>
    <row r="1966" spans="1:5" ht="15.75" x14ac:dyDescent="0.25">
      <c r="A1966" s="7"/>
      <c r="B1966" s="8"/>
      <c r="C1966" s="9"/>
      <c r="D1966" s="5"/>
      <c r="E1966" s="5"/>
    </row>
    <row r="1967" spans="1:5" ht="15.75" x14ac:dyDescent="0.25">
      <c r="A1967" s="7"/>
      <c r="B1967" s="8"/>
      <c r="C1967" s="9"/>
      <c r="D1967" s="5"/>
      <c r="E1967" s="5"/>
    </row>
    <row r="1968" spans="1:5" ht="15.75" x14ac:dyDescent="0.25">
      <c r="A1968" s="7"/>
      <c r="B1968" s="8"/>
      <c r="C1968" s="9"/>
      <c r="D1968" s="5"/>
      <c r="E1968" s="5"/>
    </row>
    <row r="1969" spans="1:5" ht="15.75" x14ac:dyDescent="0.25">
      <c r="A1969" s="7"/>
      <c r="B1969" s="8"/>
      <c r="C1969" s="9"/>
      <c r="D1969" s="5"/>
      <c r="E1969" s="5"/>
    </row>
    <row r="1970" spans="1:5" ht="15.75" x14ac:dyDescent="0.25">
      <c r="A1970" s="7"/>
      <c r="B1970" s="8"/>
      <c r="C1970" s="9"/>
      <c r="D1970" s="5"/>
      <c r="E1970" s="5"/>
    </row>
    <row r="1971" spans="1:5" ht="15.75" x14ac:dyDescent="0.25">
      <c r="A1971" s="7"/>
      <c r="B1971" s="8"/>
      <c r="C1971" s="9"/>
      <c r="D1971" s="5"/>
      <c r="E1971" s="5"/>
    </row>
    <row r="1972" spans="1:5" ht="15.75" x14ac:dyDescent="0.25">
      <c r="A1972" s="7"/>
      <c r="B1972" s="8"/>
      <c r="C1972" s="9"/>
      <c r="D1972" s="5"/>
      <c r="E1972" s="5"/>
    </row>
    <row r="1973" spans="1:5" ht="15.75" x14ac:dyDescent="0.25">
      <c r="A1973" s="7"/>
      <c r="B1973" s="8"/>
      <c r="C1973" s="9"/>
      <c r="D1973" s="5"/>
      <c r="E1973" s="5"/>
    </row>
    <row r="1974" spans="1:5" ht="15.75" x14ac:dyDescent="0.25">
      <c r="A1974" s="7"/>
      <c r="B1974" s="8"/>
      <c r="C1974" s="9"/>
      <c r="D1974" s="5"/>
      <c r="E1974" s="5"/>
    </row>
    <row r="1975" spans="1:5" ht="15.75" x14ac:dyDescent="0.25">
      <c r="A1975" s="7"/>
      <c r="B1975" s="8"/>
      <c r="C1975" s="9"/>
      <c r="D1975" s="5"/>
      <c r="E1975" s="5"/>
    </row>
    <row r="1976" spans="1:5" ht="15.75" x14ac:dyDescent="0.25">
      <c r="A1976" s="7"/>
      <c r="B1976" s="8"/>
      <c r="C1976" s="9"/>
      <c r="D1976" s="5"/>
      <c r="E1976" s="5"/>
    </row>
    <row r="1977" spans="1:5" ht="15.75" x14ac:dyDescent="0.25">
      <c r="A1977" s="7"/>
      <c r="B1977" s="8"/>
      <c r="C1977" s="9"/>
      <c r="D1977" s="5"/>
      <c r="E1977" s="5"/>
    </row>
    <row r="1978" spans="1:5" ht="15.75" x14ac:dyDescent="0.25">
      <c r="A1978" s="7"/>
      <c r="B1978" s="8"/>
      <c r="C1978" s="9"/>
      <c r="D1978" s="5"/>
      <c r="E1978" s="5"/>
    </row>
    <row r="1979" spans="1:5" ht="15.75" x14ac:dyDescent="0.25">
      <c r="A1979" s="7"/>
      <c r="B1979" s="8"/>
      <c r="C1979" s="9"/>
      <c r="D1979" s="5"/>
      <c r="E1979" s="5"/>
    </row>
    <row r="1980" spans="1:5" ht="15.75" x14ac:dyDescent="0.25">
      <c r="A1980" s="7"/>
      <c r="B1980" s="8"/>
      <c r="C1980" s="9"/>
      <c r="D1980" s="5"/>
      <c r="E1980" s="5"/>
    </row>
    <row r="1981" spans="1:5" ht="15.75" x14ac:dyDescent="0.25">
      <c r="A1981" s="7"/>
      <c r="B1981" s="8"/>
      <c r="C1981" s="9"/>
      <c r="D1981" s="5"/>
      <c r="E1981" s="5"/>
    </row>
    <row r="1982" spans="1:5" ht="15.75" x14ac:dyDescent="0.25">
      <c r="A1982" s="7"/>
      <c r="B1982" s="8"/>
      <c r="C1982" s="9"/>
      <c r="D1982" s="5"/>
      <c r="E1982" s="5"/>
    </row>
    <row r="1983" spans="1:5" ht="15.75" x14ac:dyDescent="0.25">
      <c r="A1983" s="7"/>
      <c r="B1983" s="8"/>
      <c r="C1983" s="9"/>
      <c r="D1983" s="5"/>
      <c r="E1983" s="5"/>
    </row>
    <row r="1984" spans="1:5" ht="15.75" x14ac:dyDescent="0.25">
      <c r="A1984" s="7"/>
      <c r="B1984" s="8"/>
      <c r="C1984" s="9"/>
      <c r="D1984" s="5"/>
      <c r="E1984" s="5"/>
    </row>
    <row r="1985" spans="1:5" ht="15.75" x14ac:dyDescent="0.25">
      <c r="A1985" s="7"/>
      <c r="B1985" s="8"/>
      <c r="C1985" s="9"/>
      <c r="D1985" s="5"/>
      <c r="E1985" s="5"/>
    </row>
    <row r="1986" spans="1:5" ht="15.75" x14ac:dyDescent="0.25">
      <c r="A1986" s="7"/>
      <c r="B1986" s="8"/>
      <c r="C1986" s="9"/>
      <c r="D1986" s="5"/>
      <c r="E1986" s="5"/>
    </row>
    <row r="1987" spans="1:5" ht="15.75" x14ac:dyDescent="0.25">
      <c r="A1987" s="7"/>
      <c r="B1987" s="8"/>
      <c r="C1987" s="9"/>
      <c r="D1987" s="5"/>
      <c r="E1987" s="5"/>
    </row>
    <row r="1988" spans="1:5" ht="15.75" x14ac:dyDescent="0.25">
      <c r="A1988" s="7"/>
      <c r="B1988" s="8"/>
      <c r="C1988" s="9"/>
      <c r="D1988" s="5"/>
      <c r="E1988" s="5"/>
    </row>
    <row r="1989" spans="1:5" ht="15.75" x14ac:dyDescent="0.25">
      <c r="A1989" s="7"/>
      <c r="B1989" s="8"/>
      <c r="C1989" s="9"/>
      <c r="D1989" s="5"/>
      <c r="E1989" s="5"/>
    </row>
    <row r="1990" spans="1:5" ht="15.75" x14ac:dyDescent="0.25">
      <c r="A1990" s="7"/>
      <c r="B1990" s="8"/>
      <c r="C1990" s="9"/>
      <c r="D1990" s="5"/>
      <c r="E1990" s="5"/>
    </row>
    <row r="1991" spans="1:5" ht="15.75" x14ac:dyDescent="0.25">
      <c r="A1991" s="7"/>
      <c r="B1991" s="8"/>
      <c r="C1991" s="9"/>
      <c r="D1991" s="5"/>
      <c r="E1991" s="5"/>
    </row>
    <row r="1992" spans="1:5" ht="15.75" x14ac:dyDescent="0.25">
      <c r="A1992" s="7"/>
      <c r="B1992" s="8"/>
      <c r="C1992" s="9"/>
      <c r="D1992" s="5"/>
      <c r="E1992" s="5"/>
    </row>
    <row r="1993" spans="1:5" ht="15.75" x14ac:dyDescent="0.25">
      <c r="A1993" s="7"/>
      <c r="B1993" s="8"/>
      <c r="C1993" s="9"/>
      <c r="D1993" s="5"/>
      <c r="E1993" s="5"/>
    </row>
    <row r="1994" spans="1:5" ht="15.75" x14ac:dyDescent="0.25">
      <c r="A1994" s="7"/>
      <c r="B1994" s="8"/>
      <c r="C1994" s="9"/>
      <c r="D1994" s="5"/>
      <c r="E1994" s="5"/>
    </row>
    <row r="1995" spans="1:5" ht="15.75" x14ac:dyDescent="0.25">
      <c r="A1995" s="7"/>
      <c r="B1995" s="8"/>
      <c r="C1995" s="9"/>
      <c r="D1995" s="5"/>
      <c r="E1995" s="5"/>
    </row>
    <row r="1996" spans="1:5" ht="15.75" x14ac:dyDescent="0.25">
      <c r="A1996" s="7"/>
      <c r="B1996" s="8"/>
      <c r="C1996" s="9"/>
      <c r="D1996" s="5"/>
      <c r="E1996" s="5"/>
    </row>
    <row r="1997" spans="1:5" ht="15.75" x14ac:dyDescent="0.25">
      <c r="A1997" s="7"/>
      <c r="B1997" s="8"/>
      <c r="C1997" s="9"/>
      <c r="D1997" s="5"/>
      <c r="E1997" s="5"/>
    </row>
    <row r="1998" spans="1:5" ht="15.75" x14ac:dyDescent="0.25">
      <c r="A1998" s="7"/>
      <c r="B1998" s="8"/>
      <c r="C1998" s="9"/>
      <c r="D1998" s="5"/>
      <c r="E1998" s="5"/>
    </row>
    <row r="1999" spans="1:5" ht="15.75" x14ac:dyDescent="0.25">
      <c r="A1999" s="7"/>
      <c r="B1999" s="8"/>
      <c r="C1999" s="9"/>
      <c r="D1999" s="5"/>
      <c r="E1999" s="5"/>
    </row>
    <row r="2000" spans="1:5" ht="15.75" x14ac:dyDescent="0.25">
      <c r="A2000" s="7"/>
      <c r="B2000" s="8"/>
      <c r="C2000" s="9"/>
      <c r="D2000" s="5"/>
      <c r="E2000" s="5"/>
    </row>
    <row r="2001" spans="1:5" ht="15.75" x14ac:dyDescent="0.25">
      <c r="A2001" s="7"/>
      <c r="B2001" s="8"/>
      <c r="C2001" s="9"/>
      <c r="D2001" s="5"/>
      <c r="E2001" s="5"/>
    </row>
    <row r="2002" spans="1:5" ht="15.75" x14ac:dyDescent="0.25">
      <c r="A2002" s="7"/>
      <c r="B2002" s="8"/>
      <c r="C2002" s="9"/>
      <c r="D2002" s="5"/>
      <c r="E2002" s="5"/>
    </row>
    <row r="2003" spans="1:5" ht="15.75" x14ac:dyDescent="0.25">
      <c r="A2003" s="7"/>
      <c r="B2003" s="8"/>
      <c r="C2003" s="9"/>
      <c r="D2003" s="5"/>
      <c r="E2003" s="5"/>
    </row>
    <row r="2004" spans="1:5" ht="15.75" x14ac:dyDescent="0.25">
      <c r="A2004" s="7"/>
      <c r="B2004" s="8"/>
      <c r="C2004" s="9"/>
      <c r="D2004" s="5"/>
      <c r="E2004" s="5"/>
    </row>
    <row r="2005" spans="1:5" ht="15.75" x14ac:dyDescent="0.25">
      <c r="A2005" s="7"/>
      <c r="B2005" s="8"/>
      <c r="C2005" s="9"/>
      <c r="D2005" s="5"/>
      <c r="E2005" s="5"/>
    </row>
    <row r="2006" spans="1:5" ht="15.75" x14ac:dyDescent="0.25">
      <c r="A2006" s="7"/>
      <c r="B2006" s="8"/>
      <c r="C2006" s="9"/>
      <c r="D2006" s="5"/>
      <c r="E2006" s="5"/>
    </row>
    <row r="2007" spans="1:5" ht="15.75" x14ac:dyDescent="0.25">
      <c r="A2007" s="7"/>
      <c r="B2007" s="8"/>
      <c r="C2007" s="9"/>
      <c r="D2007" s="5"/>
      <c r="E2007" s="5"/>
    </row>
    <row r="2008" spans="1:5" ht="15.75" x14ac:dyDescent="0.25">
      <c r="A2008" s="7"/>
      <c r="B2008" s="8"/>
      <c r="C2008" s="9"/>
      <c r="D2008" s="5"/>
      <c r="E2008" s="5"/>
    </row>
    <row r="2009" spans="1:5" ht="15.75" x14ac:dyDescent="0.25">
      <c r="A2009" s="7"/>
      <c r="B2009" s="8"/>
      <c r="C2009" s="9"/>
      <c r="D2009" s="5"/>
      <c r="E2009" s="5"/>
    </row>
    <row r="2010" spans="1:5" ht="15.75" x14ac:dyDescent="0.25">
      <c r="A2010" s="7"/>
      <c r="B2010" s="8"/>
      <c r="C2010" s="9"/>
      <c r="D2010" s="5"/>
      <c r="E2010" s="5"/>
    </row>
    <row r="2011" spans="1:5" ht="15.75" x14ac:dyDescent="0.25">
      <c r="A2011" s="7"/>
      <c r="B2011" s="8"/>
      <c r="C2011" s="9"/>
      <c r="D2011" s="5"/>
      <c r="E2011" s="5"/>
    </row>
    <row r="2012" spans="1:5" ht="15.75" x14ac:dyDescent="0.25">
      <c r="A2012" s="7"/>
      <c r="B2012" s="8"/>
      <c r="C2012" s="9"/>
      <c r="D2012" s="5"/>
      <c r="E2012" s="5"/>
    </row>
    <row r="2013" spans="1:5" ht="15.75" x14ac:dyDescent="0.25">
      <c r="A2013" s="7"/>
      <c r="B2013" s="8"/>
      <c r="C2013" s="9"/>
      <c r="D2013" s="5"/>
      <c r="E2013" s="5"/>
    </row>
    <row r="2014" spans="1:5" ht="15.75" x14ac:dyDescent="0.25">
      <c r="A2014" s="7"/>
      <c r="B2014" s="8"/>
      <c r="C2014" s="9"/>
      <c r="D2014" s="5"/>
      <c r="E2014" s="5"/>
    </row>
    <row r="2015" spans="1:5" ht="15.75" x14ac:dyDescent="0.25">
      <c r="A2015" s="7"/>
      <c r="B2015" s="8"/>
      <c r="C2015" s="9"/>
      <c r="D2015" s="5"/>
      <c r="E2015" s="5"/>
    </row>
    <row r="2016" spans="1:5" ht="15.75" x14ac:dyDescent="0.25">
      <c r="A2016" s="7"/>
      <c r="B2016" s="8"/>
      <c r="C2016" s="9"/>
      <c r="D2016" s="5"/>
      <c r="E2016" s="5"/>
    </row>
    <row r="2017" spans="1:5" ht="15.75" x14ac:dyDescent="0.25">
      <c r="A2017" s="7"/>
      <c r="B2017" s="8"/>
      <c r="C2017" s="9"/>
      <c r="D2017" s="5"/>
      <c r="E2017" s="5"/>
    </row>
    <row r="2018" spans="1:5" ht="15.75" x14ac:dyDescent="0.25">
      <c r="A2018" s="7"/>
      <c r="B2018" s="8"/>
      <c r="C2018" s="9"/>
      <c r="D2018" s="5"/>
      <c r="E2018" s="5"/>
    </row>
    <row r="2019" spans="1:5" ht="15.75" x14ac:dyDescent="0.25">
      <c r="A2019" s="7"/>
      <c r="B2019" s="8"/>
      <c r="C2019" s="9"/>
      <c r="D2019" s="5"/>
      <c r="E2019" s="5"/>
    </row>
    <row r="2020" spans="1:5" ht="15.75" x14ac:dyDescent="0.25">
      <c r="A2020" s="7"/>
      <c r="B2020" s="8"/>
      <c r="C2020" s="9"/>
      <c r="D2020" s="5"/>
      <c r="E2020" s="5"/>
    </row>
    <row r="2021" spans="1:5" ht="15.75" x14ac:dyDescent="0.25">
      <c r="A2021" s="7"/>
      <c r="B2021" s="8"/>
      <c r="C2021" s="9"/>
      <c r="D2021" s="5"/>
      <c r="E2021" s="5"/>
    </row>
    <row r="2022" spans="1:5" ht="15.75" x14ac:dyDescent="0.25">
      <c r="A2022" s="7"/>
      <c r="B2022" s="8"/>
      <c r="C2022" s="9"/>
      <c r="D2022" s="5"/>
      <c r="E2022" s="5"/>
    </row>
    <row r="2023" spans="1:5" ht="15.75" x14ac:dyDescent="0.25">
      <c r="A2023" s="7"/>
      <c r="B2023" s="8"/>
      <c r="C2023" s="9"/>
      <c r="D2023" s="5"/>
      <c r="E2023" s="5"/>
    </row>
    <row r="2024" spans="1:5" ht="15.75" x14ac:dyDescent="0.25">
      <c r="A2024" s="7"/>
      <c r="B2024" s="8"/>
      <c r="C2024" s="9"/>
      <c r="D2024" s="5"/>
      <c r="E2024" s="5"/>
    </row>
    <row r="2025" spans="1:5" ht="15.75" x14ac:dyDescent="0.25">
      <c r="A2025" s="7"/>
      <c r="B2025" s="8"/>
      <c r="C2025" s="9"/>
      <c r="D2025" s="5"/>
      <c r="E2025" s="5"/>
    </row>
    <row r="2026" spans="1:5" ht="15.75" x14ac:dyDescent="0.25">
      <c r="A2026" s="7"/>
      <c r="B2026" s="8"/>
      <c r="C2026" s="9"/>
      <c r="D2026" s="5"/>
      <c r="E2026" s="5"/>
    </row>
    <row r="2027" spans="1:5" ht="15.75" x14ac:dyDescent="0.25">
      <c r="A2027" s="7"/>
      <c r="B2027" s="8"/>
      <c r="C2027" s="9"/>
      <c r="D2027" s="5"/>
      <c r="E2027" s="5"/>
    </row>
    <row r="2028" spans="1:5" ht="15.75" x14ac:dyDescent="0.25">
      <c r="A2028" s="7"/>
      <c r="B2028" s="8"/>
      <c r="C2028" s="9"/>
      <c r="D2028" s="5"/>
      <c r="E2028" s="5"/>
    </row>
    <row r="2029" spans="1:5" ht="15.75" x14ac:dyDescent="0.25">
      <c r="A2029" s="7"/>
      <c r="B2029" s="8"/>
      <c r="C2029" s="9"/>
      <c r="D2029" s="5"/>
      <c r="E2029" s="5"/>
    </row>
    <row r="2030" spans="1:5" ht="15.75" x14ac:dyDescent="0.25">
      <c r="A2030" s="7"/>
      <c r="B2030" s="8"/>
      <c r="C2030" s="9"/>
      <c r="D2030" s="5"/>
      <c r="E2030" s="5"/>
    </row>
    <row r="2031" spans="1:5" ht="15.75" x14ac:dyDescent="0.25">
      <c r="A2031" s="7"/>
      <c r="B2031" s="8"/>
      <c r="C2031" s="9"/>
      <c r="D2031" s="5"/>
      <c r="E2031" s="5"/>
    </row>
    <row r="2032" spans="1:5" ht="15.75" x14ac:dyDescent="0.25">
      <c r="A2032" s="7"/>
      <c r="B2032" s="8"/>
      <c r="C2032" s="9"/>
      <c r="D2032" s="5"/>
      <c r="E2032" s="5"/>
    </row>
    <row r="2033" spans="1:5" ht="15.75" x14ac:dyDescent="0.25">
      <c r="A2033" s="7"/>
      <c r="B2033" s="8"/>
      <c r="C2033" s="9"/>
      <c r="D2033" s="5"/>
      <c r="E2033" s="5"/>
    </row>
    <row r="2034" spans="1:5" ht="15.75" x14ac:dyDescent="0.25">
      <c r="A2034" s="7"/>
      <c r="B2034" s="8"/>
      <c r="C2034" s="9"/>
      <c r="D2034" s="5"/>
      <c r="E2034" s="5"/>
    </row>
    <row r="2035" spans="1:5" ht="15.75" x14ac:dyDescent="0.25">
      <c r="A2035" s="7"/>
      <c r="B2035" s="8"/>
      <c r="C2035" s="9"/>
      <c r="D2035" s="5"/>
      <c r="E2035" s="5"/>
    </row>
    <row r="2036" spans="1:5" ht="15.75" x14ac:dyDescent="0.25">
      <c r="A2036" s="7"/>
      <c r="B2036" s="8"/>
      <c r="C2036" s="9"/>
      <c r="D2036" s="5"/>
      <c r="E2036" s="5"/>
    </row>
    <row r="2037" spans="1:5" ht="15.75" x14ac:dyDescent="0.25">
      <c r="A2037" s="7"/>
      <c r="B2037" s="8"/>
      <c r="C2037" s="9"/>
      <c r="D2037" s="5"/>
      <c r="E2037" s="5"/>
    </row>
    <row r="2038" spans="1:5" ht="15.75" x14ac:dyDescent="0.25">
      <c r="A2038" s="7"/>
      <c r="B2038" s="8"/>
      <c r="C2038" s="9"/>
      <c r="D2038" s="5"/>
      <c r="E2038" s="5"/>
    </row>
    <row r="2039" spans="1:5" ht="15.75" x14ac:dyDescent="0.25">
      <c r="A2039" s="7"/>
      <c r="B2039" s="8"/>
      <c r="C2039" s="9"/>
      <c r="D2039" s="5"/>
      <c r="E2039" s="5"/>
    </row>
    <row r="2040" spans="1:5" ht="15.75" x14ac:dyDescent="0.25">
      <c r="A2040" s="7"/>
      <c r="B2040" s="8"/>
      <c r="C2040" s="9"/>
      <c r="D2040" s="5"/>
      <c r="E2040" s="5"/>
    </row>
    <row r="2041" spans="1:5" ht="15.75" x14ac:dyDescent="0.25">
      <c r="A2041" s="7"/>
      <c r="B2041" s="8"/>
      <c r="C2041" s="9"/>
      <c r="D2041" s="5"/>
      <c r="E2041" s="5"/>
    </row>
    <row r="2042" spans="1:5" ht="15.75" x14ac:dyDescent="0.25">
      <c r="A2042" s="7"/>
      <c r="B2042" s="8"/>
      <c r="C2042" s="9"/>
      <c r="D2042" s="5"/>
      <c r="E2042" s="5"/>
    </row>
    <row r="2043" spans="1:5" ht="15.75" x14ac:dyDescent="0.25">
      <c r="A2043" s="7"/>
      <c r="B2043" s="8"/>
      <c r="C2043" s="9"/>
      <c r="D2043" s="5"/>
      <c r="E2043" s="5"/>
    </row>
    <row r="2044" spans="1:5" ht="15.75" x14ac:dyDescent="0.25">
      <c r="A2044" s="7"/>
      <c r="B2044" s="8"/>
      <c r="C2044" s="9"/>
      <c r="D2044" s="5"/>
      <c r="E2044" s="5"/>
    </row>
    <row r="2045" spans="1:5" ht="15.75" x14ac:dyDescent="0.25">
      <c r="A2045" s="7"/>
      <c r="B2045" s="8"/>
      <c r="C2045" s="9"/>
      <c r="D2045" s="5"/>
      <c r="E2045" s="5"/>
    </row>
    <row r="2046" spans="1:5" ht="15.75" x14ac:dyDescent="0.25">
      <c r="A2046" s="7"/>
      <c r="B2046" s="8"/>
      <c r="C2046" s="9"/>
      <c r="D2046" s="5"/>
      <c r="E2046" s="5"/>
    </row>
    <row r="2047" spans="1:5" ht="15.75" x14ac:dyDescent="0.25">
      <c r="A2047" s="7"/>
      <c r="B2047" s="8"/>
      <c r="C2047" s="9"/>
      <c r="D2047" s="5"/>
      <c r="E2047" s="5"/>
    </row>
    <row r="2048" spans="1:5" ht="15.75" x14ac:dyDescent="0.25">
      <c r="A2048" s="7"/>
      <c r="B2048" s="8"/>
      <c r="C2048" s="9"/>
      <c r="D2048" s="5"/>
      <c r="E2048" s="5"/>
    </row>
    <row r="2049" spans="1:5" ht="15.75" x14ac:dyDescent="0.25">
      <c r="A2049" s="7"/>
      <c r="B2049" s="8"/>
      <c r="C2049" s="9"/>
      <c r="D2049" s="5"/>
      <c r="E2049" s="5"/>
    </row>
    <row r="2050" spans="1:5" ht="15.75" x14ac:dyDescent="0.25">
      <c r="A2050" s="7"/>
      <c r="B2050" s="8"/>
      <c r="C2050" s="9"/>
      <c r="D2050" s="5"/>
      <c r="E2050" s="5"/>
    </row>
    <row r="2051" spans="1:5" ht="15.75" x14ac:dyDescent="0.25">
      <c r="A2051" s="7"/>
      <c r="B2051" s="8"/>
      <c r="C2051" s="9"/>
      <c r="D2051" s="5"/>
      <c r="E2051" s="5"/>
    </row>
    <row r="2052" spans="1:5" ht="15.75" x14ac:dyDescent="0.25">
      <c r="A2052" s="7"/>
      <c r="B2052" s="8"/>
      <c r="C2052" s="9"/>
      <c r="D2052" s="5"/>
      <c r="E2052" s="5"/>
    </row>
    <row r="2053" spans="1:5" ht="15.75" x14ac:dyDescent="0.25">
      <c r="A2053" s="7"/>
      <c r="B2053" s="8"/>
      <c r="C2053" s="9"/>
      <c r="D2053" s="5"/>
      <c r="E2053" s="5"/>
    </row>
    <row r="2054" spans="1:5" ht="15.75" x14ac:dyDescent="0.25">
      <c r="A2054" s="7"/>
      <c r="B2054" s="8"/>
      <c r="C2054" s="9"/>
      <c r="D2054" s="5"/>
      <c r="E2054" s="5"/>
    </row>
    <row r="2055" spans="1:5" ht="15.75" x14ac:dyDescent="0.25">
      <c r="A2055" s="7"/>
      <c r="B2055" s="8"/>
      <c r="C2055" s="9"/>
      <c r="D2055" s="5"/>
      <c r="E2055" s="5"/>
    </row>
    <row r="2056" spans="1:5" ht="15.75" x14ac:dyDescent="0.25">
      <c r="A2056" s="7"/>
      <c r="B2056" s="8"/>
      <c r="C2056" s="9"/>
      <c r="D2056" s="5"/>
      <c r="E2056" s="5"/>
    </row>
    <row r="2057" spans="1:5" ht="15.75" x14ac:dyDescent="0.25">
      <c r="A2057" s="7"/>
      <c r="B2057" s="8"/>
      <c r="C2057" s="9"/>
      <c r="D2057" s="5"/>
      <c r="E2057" s="5"/>
    </row>
    <row r="2058" spans="1:5" ht="15.75" x14ac:dyDescent="0.25">
      <c r="A2058" s="7"/>
      <c r="B2058" s="8"/>
      <c r="C2058" s="9"/>
      <c r="D2058" s="5"/>
      <c r="E2058" s="5"/>
    </row>
    <row r="2059" spans="1:5" ht="15.75" x14ac:dyDescent="0.25">
      <c r="A2059" s="7"/>
      <c r="B2059" s="8"/>
      <c r="C2059" s="9"/>
      <c r="D2059" s="5"/>
      <c r="E2059" s="5"/>
    </row>
    <row r="2060" spans="1:5" ht="15.75" x14ac:dyDescent="0.25">
      <c r="A2060" s="7"/>
      <c r="B2060" s="8"/>
      <c r="C2060" s="9"/>
      <c r="D2060" s="5"/>
      <c r="E2060" s="5"/>
    </row>
    <row r="2061" spans="1:5" ht="15.75" x14ac:dyDescent="0.25">
      <c r="A2061" s="7"/>
      <c r="B2061" s="8"/>
      <c r="C2061" s="9"/>
      <c r="D2061" s="5"/>
      <c r="E2061" s="5"/>
    </row>
    <row r="2062" spans="1:5" ht="15.75" x14ac:dyDescent="0.25">
      <c r="A2062" s="7"/>
      <c r="B2062" s="8"/>
      <c r="C2062" s="9"/>
      <c r="D2062" s="5"/>
      <c r="E2062" s="5"/>
    </row>
    <row r="2063" spans="1:5" ht="15.75" x14ac:dyDescent="0.25">
      <c r="A2063" s="7"/>
      <c r="B2063" s="8"/>
      <c r="C2063" s="9"/>
      <c r="D2063" s="5"/>
      <c r="E2063" s="5"/>
    </row>
    <row r="2064" spans="1:5" ht="15.75" x14ac:dyDescent="0.25">
      <c r="A2064" s="7"/>
      <c r="B2064" s="8"/>
      <c r="C2064" s="9"/>
      <c r="D2064" s="5"/>
      <c r="E2064" s="5"/>
    </row>
    <row r="2065" spans="1:5" ht="15.75" x14ac:dyDescent="0.25">
      <c r="A2065" s="7"/>
      <c r="B2065" s="8"/>
      <c r="C2065" s="9"/>
      <c r="D2065" s="5"/>
      <c r="E2065" s="5"/>
    </row>
    <row r="2066" spans="1:5" ht="15.75" x14ac:dyDescent="0.25">
      <c r="A2066" s="7"/>
      <c r="B2066" s="8"/>
      <c r="C2066" s="9"/>
      <c r="D2066" s="5"/>
      <c r="E2066" s="5"/>
    </row>
    <row r="2067" spans="1:5" ht="15.75" x14ac:dyDescent="0.25">
      <c r="A2067" s="7"/>
      <c r="B2067" s="8"/>
      <c r="C2067" s="9"/>
      <c r="D2067" s="5"/>
      <c r="E2067" s="5"/>
    </row>
    <row r="2068" spans="1:5" ht="15.75" x14ac:dyDescent="0.25">
      <c r="A2068" s="7"/>
      <c r="B2068" s="8"/>
      <c r="C2068" s="9"/>
      <c r="D2068" s="5"/>
      <c r="E2068" s="5"/>
    </row>
    <row r="2069" spans="1:5" ht="15.75" x14ac:dyDescent="0.25">
      <c r="A2069" s="7"/>
      <c r="B2069" s="8"/>
      <c r="C2069" s="9"/>
      <c r="D2069" s="5"/>
      <c r="E2069" s="5"/>
    </row>
    <row r="2070" spans="1:5" ht="15.75" x14ac:dyDescent="0.25">
      <c r="A2070" s="7"/>
      <c r="B2070" s="8"/>
      <c r="C2070" s="9"/>
      <c r="D2070" s="5"/>
      <c r="E2070" s="5"/>
    </row>
    <row r="2071" spans="1:5" ht="15.75" x14ac:dyDescent="0.25">
      <c r="A2071" s="7"/>
      <c r="B2071" s="8"/>
      <c r="C2071" s="9"/>
      <c r="D2071" s="5"/>
      <c r="E2071" s="5"/>
    </row>
    <row r="2072" spans="1:5" ht="15.75" x14ac:dyDescent="0.25">
      <c r="A2072" s="7"/>
      <c r="B2072" s="8"/>
      <c r="C2072" s="9"/>
      <c r="D2072" s="5"/>
      <c r="E2072" s="5"/>
    </row>
    <row r="2073" spans="1:5" ht="15.75" x14ac:dyDescent="0.25">
      <c r="A2073" s="7"/>
      <c r="B2073" s="8"/>
      <c r="C2073" s="9"/>
      <c r="D2073" s="5"/>
      <c r="E2073" s="5"/>
    </row>
    <row r="2074" spans="1:5" ht="15.75" x14ac:dyDescent="0.25">
      <c r="A2074" s="7"/>
      <c r="B2074" s="8"/>
      <c r="C2074" s="9"/>
      <c r="D2074" s="5"/>
      <c r="E2074" s="5"/>
    </row>
    <row r="2075" spans="1:5" ht="15.75" x14ac:dyDescent="0.25">
      <c r="A2075" s="7"/>
      <c r="B2075" s="8"/>
      <c r="C2075" s="9"/>
      <c r="D2075" s="5"/>
      <c r="E2075" s="5"/>
    </row>
    <row r="2076" spans="1:5" ht="15.75" x14ac:dyDescent="0.25">
      <c r="A2076" s="7"/>
      <c r="B2076" s="8"/>
      <c r="C2076" s="9"/>
      <c r="D2076" s="5"/>
      <c r="E2076" s="5"/>
    </row>
    <row r="2077" spans="1:5" ht="15.75" x14ac:dyDescent="0.25">
      <c r="A2077" s="7"/>
      <c r="B2077" s="8"/>
      <c r="C2077" s="9"/>
      <c r="D2077" s="5"/>
      <c r="E2077" s="5"/>
    </row>
    <row r="2078" spans="1:5" ht="15.75" x14ac:dyDescent="0.25">
      <c r="A2078" s="7"/>
      <c r="B2078" s="8"/>
      <c r="C2078" s="9"/>
      <c r="D2078" s="5"/>
      <c r="E2078" s="5"/>
    </row>
    <row r="2079" spans="1:5" ht="15.75" x14ac:dyDescent="0.25">
      <c r="A2079" s="7"/>
      <c r="B2079" s="8"/>
      <c r="C2079" s="9"/>
      <c r="D2079" s="5"/>
      <c r="E2079" s="5"/>
    </row>
    <row r="2080" spans="1:5" ht="15.75" x14ac:dyDescent="0.25">
      <c r="A2080" s="7"/>
      <c r="B2080" s="8"/>
      <c r="C2080" s="9"/>
      <c r="D2080" s="5"/>
      <c r="E2080" s="5"/>
    </row>
    <row r="2081" spans="1:5" ht="15.75" x14ac:dyDescent="0.25">
      <c r="A2081" s="7"/>
      <c r="B2081" s="8"/>
      <c r="C2081" s="9"/>
      <c r="D2081" s="5"/>
      <c r="E2081" s="5"/>
    </row>
    <row r="2082" spans="1:5" ht="15.75" x14ac:dyDescent="0.25">
      <c r="A2082" s="7"/>
      <c r="B2082" s="8"/>
      <c r="C2082" s="9"/>
      <c r="D2082" s="5"/>
      <c r="E2082" s="5"/>
    </row>
    <row r="2083" spans="1:5" ht="15.75" x14ac:dyDescent="0.25">
      <c r="A2083" s="7"/>
      <c r="B2083" s="8"/>
      <c r="C2083" s="9"/>
      <c r="D2083" s="5"/>
      <c r="E2083" s="5"/>
    </row>
    <row r="2084" spans="1:5" ht="15.75" x14ac:dyDescent="0.25">
      <c r="A2084" s="7"/>
      <c r="B2084" s="8"/>
      <c r="C2084" s="9"/>
      <c r="D2084" s="5"/>
      <c r="E2084" s="5"/>
    </row>
    <row r="2085" spans="1:5" ht="15.75" x14ac:dyDescent="0.25">
      <c r="A2085" s="7"/>
      <c r="B2085" s="8"/>
      <c r="C2085" s="9"/>
      <c r="D2085" s="5"/>
      <c r="E2085" s="5"/>
    </row>
    <row r="2086" spans="1:5" ht="15.75" x14ac:dyDescent="0.25">
      <c r="A2086" s="7"/>
      <c r="B2086" s="8"/>
      <c r="C2086" s="9"/>
      <c r="D2086" s="5"/>
      <c r="E2086" s="5"/>
    </row>
    <row r="2087" spans="1:5" ht="15.75" x14ac:dyDescent="0.25">
      <c r="A2087" s="7"/>
      <c r="B2087" s="8"/>
      <c r="C2087" s="9"/>
      <c r="D2087" s="5"/>
      <c r="E2087" s="5"/>
    </row>
    <row r="2088" spans="1:5" ht="15.75" x14ac:dyDescent="0.25">
      <c r="A2088" s="7"/>
      <c r="B2088" s="8"/>
      <c r="C2088" s="9"/>
      <c r="D2088" s="5"/>
      <c r="E2088" s="5"/>
    </row>
    <row r="2089" spans="1:5" ht="15.75" x14ac:dyDescent="0.25">
      <c r="A2089" s="7"/>
      <c r="B2089" s="8"/>
      <c r="C2089" s="9"/>
      <c r="D2089" s="5"/>
      <c r="E2089" s="5"/>
    </row>
    <row r="2090" spans="1:5" ht="15.75" x14ac:dyDescent="0.25">
      <c r="A2090" s="7"/>
      <c r="B2090" s="8"/>
      <c r="C2090" s="9"/>
      <c r="D2090" s="5"/>
      <c r="E2090" s="5"/>
    </row>
    <row r="2091" spans="1:5" ht="15.75" x14ac:dyDescent="0.25">
      <c r="A2091" s="7"/>
      <c r="B2091" s="8"/>
      <c r="C2091" s="9"/>
      <c r="D2091" s="5"/>
      <c r="E2091" s="5"/>
    </row>
    <row r="2092" spans="1:5" ht="15.75" x14ac:dyDescent="0.25">
      <c r="A2092" s="7"/>
      <c r="B2092" s="8"/>
      <c r="C2092" s="9"/>
      <c r="D2092" s="5"/>
      <c r="E2092" s="5"/>
    </row>
    <row r="2093" spans="1:5" ht="15.75" x14ac:dyDescent="0.25">
      <c r="A2093" s="7"/>
      <c r="B2093" s="8"/>
      <c r="C2093" s="9"/>
      <c r="D2093" s="5"/>
      <c r="E2093" s="5"/>
    </row>
    <row r="2094" spans="1:5" ht="15.75" x14ac:dyDescent="0.25">
      <c r="A2094" s="7"/>
      <c r="B2094" s="8"/>
      <c r="C2094" s="9"/>
      <c r="D2094" s="5"/>
      <c r="E2094" s="5"/>
    </row>
    <row r="2095" spans="1:5" ht="15.75" x14ac:dyDescent="0.25">
      <c r="A2095" s="7"/>
      <c r="B2095" s="8"/>
      <c r="C2095" s="9"/>
      <c r="D2095" s="5"/>
      <c r="E2095" s="5"/>
    </row>
    <row r="2096" spans="1:5" ht="15.75" x14ac:dyDescent="0.25">
      <c r="A2096" s="7"/>
      <c r="B2096" s="8"/>
      <c r="C2096" s="9"/>
      <c r="D2096" s="5"/>
      <c r="E2096" s="5"/>
    </row>
    <row r="2097" spans="1:5" ht="15.75" x14ac:dyDescent="0.25">
      <c r="A2097" s="7"/>
      <c r="B2097" s="8"/>
      <c r="C2097" s="9"/>
      <c r="D2097" s="5"/>
      <c r="E2097" s="5"/>
    </row>
    <row r="2098" spans="1:5" ht="15.75" x14ac:dyDescent="0.25">
      <c r="A2098" s="7"/>
      <c r="B2098" s="8"/>
      <c r="C2098" s="9"/>
      <c r="D2098" s="5"/>
      <c r="E2098" s="5"/>
    </row>
    <row r="2099" spans="1:5" ht="15.75" x14ac:dyDescent="0.25">
      <c r="A2099" s="7"/>
      <c r="B2099" s="8"/>
      <c r="C2099" s="9"/>
      <c r="D2099" s="5"/>
      <c r="E2099" s="5"/>
    </row>
    <row r="2100" spans="1:5" ht="15.75" x14ac:dyDescent="0.25">
      <c r="A2100" s="7"/>
      <c r="B2100" s="8"/>
      <c r="C2100" s="9"/>
      <c r="D2100" s="5"/>
      <c r="E2100" s="5"/>
    </row>
    <row r="2101" spans="1:5" ht="15.75" x14ac:dyDescent="0.25">
      <c r="A2101" s="7"/>
      <c r="B2101" s="8"/>
      <c r="C2101" s="9"/>
      <c r="D2101" s="5"/>
      <c r="E2101" s="5"/>
    </row>
    <row r="2102" spans="1:5" ht="15.75" x14ac:dyDescent="0.25">
      <c r="A2102" s="7"/>
      <c r="B2102" s="8"/>
      <c r="C2102" s="9"/>
      <c r="D2102" s="5"/>
      <c r="E2102" s="5"/>
    </row>
    <row r="2103" spans="1:5" ht="15.75" x14ac:dyDescent="0.25">
      <c r="A2103" s="7"/>
      <c r="B2103" s="8"/>
      <c r="C2103" s="9"/>
      <c r="D2103" s="5"/>
      <c r="E2103" s="5"/>
    </row>
    <row r="2104" spans="1:5" ht="15.75" x14ac:dyDescent="0.25">
      <c r="A2104" s="7"/>
      <c r="B2104" s="8"/>
      <c r="C2104" s="9"/>
      <c r="D2104" s="5"/>
      <c r="E2104" s="5"/>
    </row>
    <row r="2105" spans="1:5" ht="15.75" x14ac:dyDescent="0.25">
      <c r="A2105" s="7"/>
      <c r="B2105" s="8"/>
      <c r="C2105" s="9"/>
      <c r="D2105" s="5"/>
      <c r="E2105" s="5"/>
    </row>
    <row r="2106" spans="1:5" ht="15.75" x14ac:dyDescent="0.25">
      <c r="A2106" s="7"/>
      <c r="B2106" s="8"/>
      <c r="C2106" s="9"/>
      <c r="D2106" s="5"/>
      <c r="E2106" s="5"/>
    </row>
    <row r="2107" spans="1:5" ht="15.75" x14ac:dyDescent="0.25">
      <c r="A2107" s="7"/>
      <c r="B2107" s="8"/>
      <c r="C2107" s="9"/>
      <c r="D2107" s="5"/>
      <c r="E2107" s="5"/>
    </row>
    <row r="2108" spans="1:5" ht="15.75" x14ac:dyDescent="0.25">
      <c r="A2108" s="7"/>
      <c r="B2108" s="8"/>
      <c r="C2108" s="9"/>
      <c r="D2108" s="5"/>
      <c r="E2108" s="5"/>
    </row>
    <row r="2109" spans="1:5" ht="15.75" x14ac:dyDescent="0.25">
      <c r="A2109" s="7"/>
      <c r="B2109" s="8"/>
      <c r="C2109" s="9"/>
      <c r="D2109" s="5"/>
      <c r="E2109" s="5"/>
    </row>
    <row r="2110" spans="1:5" ht="15.75" x14ac:dyDescent="0.25">
      <c r="A2110" s="7"/>
      <c r="B2110" s="8"/>
      <c r="C2110" s="9"/>
      <c r="D2110" s="5"/>
      <c r="E2110" s="5"/>
    </row>
    <row r="2111" spans="1:5" ht="15.75" x14ac:dyDescent="0.25">
      <c r="A2111" s="7"/>
      <c r="B2111" s="8"/>
      <c r="C2111" s="9"/>
      <c r="D2111" s="5"/>
      <c r="E2111" s="5"/>
    </row>
    <row r="2112" spans="1:5" ht="15.75" x14ac:dyDescent="0.25">
      <c r="A2112" s="7"/>
      <c r="B2112" s="8"/>
      <c r="C2112" s="9"/>
      <c r="D2112" s="5"/>
      <c r="E2112" s="5"/>
    </row>
    <row r="2113" spans="1:5" ht="15.75" x14ac:dyDescent="0.25">
      <c r="A2113" s="7"/>
      <c r="B2113" s="8"/>
      <c r="C2113" s="9"/>
      <c r="D2113" s="5"/>
      <c r="E2113" s="5"/>
    </row>
    <row r="2114" spans="1:5" ht="15.75" x14ac:dyDescent="0.25">
      <c r="A2114" s="7"/>
      <c r="B2114" s="8"/>
      <c r="C2114" s="9"/>
      <c r="D2114" s="5"/>
      <c r="E2114" s="5"/>
    </row>
    <row r="2115" spans="1:5" ht="15.75" x14ac:dyDescent="0.25">
      <c r="A2115" s="7"/>
      <c r="B2115" s="8"/>
      <c r="C2115" s="9"/>
      <c r="D2115" s="5"/>
      <c r="E2115" s="5"/>
    </row>
    <row r="2116" spans="1:5" ht="15.75" x14ac:dyDescent="0.25">
      <c r="A2116" s="7"/>
      <c r="B2116" s="8"/>
      <c r="C2116" s="9"/>
      <c r="D2116" s="5"/>
      <c r="E2116" s="5"/>
    </row>
    <row r="2117" spans="1:5" ht="15.75" x14ac:dyDescent="0.25">
      <c r="A2117" s="7"/>
      <c r="B2117" s="8"/>
      <c r="C2117" s="9"/>
      <c r="D2117" s="5"/>
      <c r="E2117" s="5"/>
    </row>
    <row r="2118" spans="1:5" ht="15.75" x14ac:dyDescent="0.25">
      <c r="A2118" s="7"/>
      <c r="B2118" s="8"/>
      <c r="C2118" s="9"/>
      <c r="D2118" s="5"/>
      <c r="E2118" s="5"/>
    </row>
    <row r="2119" spans="1:5" ht="15.75" x14ac:dyDescent="0.25">
      <c r="A2119" s="7"/>
      <c r="B2119" s="8"/>
      <c r="C2119" s="9"/>
      <c r="D2119" s="5"/>
      <c r="E2119" s="5"/>
    </row>
    <row r="2120" spans="1:5" ht="15.75" x14ac:dyDescent="0.25">
      <c r="A2120" s="7"/>
      <c r="B2120" s="8"/>
      <c r="C2120" s="9"/>
      <c r="D2120" s="5"/>
      <c r="E2120" s="5"/>
    </row>
    <row r="2121" spans="1:5" ht="15.75" x14ac:dyDescent="0.25">
      <c r="A2121" s="7"/>
      <c r="B2121" s="8"/>
      <c r="C2121" s="9"/>
      <c r="D2121" s="5"/>
      <c r="E2121" s="5"/>
    </row>
    <row r="2122" spans="1:5" ht="15.75" x14ac:dyDescent="0.25">
      <c r="A2122" s="7"/>
      <c r="B2122" s="8"/>
      <c r="C2122" s="9"/>
      <c r="D2122" s="5"/>
      <c r="E2122" s="5"/>
    </row>
    <row r="2123" spans="1:5" ht="15.75" x14ac:dyDescent="0.25">
      <c r="A2123" s="7"/>
      <c r="B2123" s="8"/>
      <c r="C2123" s="9"/>
      <c r="D2123" s="5"/>
      <c r="E2123" s="5"/>
    </row>
    <row r="2124" spans="1:5" ht="15.75" x14ac:dyDescent="0.25">
      <c r="A2124" s="7"/>
      <c r="B2124" s="8"/>
      <c r="C2124" s="9"/>
      <c r="D2124" s="5"/>
      <c r="E2124" s="5"/>
    </row>
    <row r="2125" spans="1:5" ht="15.75" x14ac:dyDescent="0.25">
      <c r="A2125" s="7"/>
      <c r="B2125" s="8"/>
      <c r="C2125" s="9"/>
      <c r="D2125" s="5"/>
      <c r="E2125" s="5"/>
    </row>
    <row r="2126" spans="1:5" ht="15.75" x14ac:dyDescent="0.25">
      <c r="A2126" s="7"/>
      <c r="B2126" s="8"/>
      <c r="C2126" s="9"/>
      <c r="D2126" s="5"/>
      <c r="E2126" s="5"/>
    </row>
    <row r="2127" spans="1:5" ht="15.75" x14ac:dyDescent="0.25">
      <c r="A2127" s="7"/>
      <c r="B2127" s="8"/>
      <c r="C2127" s="9"/>
      <c r="D2127" s="5"/>
      <c r="E2127" s="5"/>
    </row>
    <row r="2128" spans="1:5" ht="15.75" x14ac:dyDescent="0.25">
      <c r="A2128" s="7"/>
      <c r="B2128" s="8"/>
      <c r="C2128" s="9"/>
      <c r="D2128" s="5"/>
      <c r="E2128" s="5"/>
    </row>
    <row r="2129" spans="1:5" ht="15.75" x14ac:dyDescent="0.25">
      <c r="A2129" s="7"/>
      <c r="B2129" s="8"/>
      <c r="C2129" s="9"/>
      <c r="D2129" s="5"/>
      <c r="E2129" s="5"/>
    </row>
    <row r="2130" spans="1:5" ht="15.75" x14ac:dyDescent="0.25">
      <c r="A2130" s="7"/>
      <c r="B2130" s="8"/>
      <c r="C2130" s="9"/>
      <c r="D2130" s="5"/>
      <c r="E2130" s="5"/>
    </row>
    <row r="2131" spans="1:5" ht="15.75" x14ac:dyDescent="0.25">
      <c r="A2131" s="7"/>
      <c r="B2131" s="8"/>
      <c r="C2131" s="9"/>
      <c r="D2131" s="5"/>
      <c r="E2131" s="5"/>
    </row>
    <row r="2132" spans="1:5" ht="15.75" x14ac:dyDescent="0.25">
      <c r="A2132" s="7"/>
      <c r="B2132" s="8"/>
      <c r="C2132" s="9"/>
      <c r="D2132" s="5"/>
      <c r="E2132" s="5"/>
    </row>
    <row r="2133" spans="1:5" ht="15.75" x14ac:dyDescent="0.25">
      <c r="A2133" s="7"/>
      <c r="B2133" s="8"/>
      <c r="C2133" s="9"/>
      <c r="D2133" s="5"/>
      <c r="E2133" s="5"/>
    </row>
    <row r="2134" spans="1:5" ht="15.75" x14ac:dyDescent="0.25">
      <c r="A2134" s="7"/>
      <c r="B2134" s="8"/>
      <c r="C2134" s="9"/>
      <c r="D2134" s="5"/>
      <c r="E2134" s="5"/>
    </row>
    <row r="2135" spans="1:5" ht="15.75" x14ac:dyDescent="0.25">
      <c r="A2135" s="7"/>
      <c r="B2135" s="8"/>
      <c r="C2135" s="9"/>
      <c r="D2135" s="5"/>
      <c r="E2135" s="5"/>
    </row>
    <row r="2136" spans="1:5" ht="15.75" x14ac:dyDescent="0.25">
      <c r="A2136" s="7"/>
      <c r="B2136" s="8"/>
      <c r="C2136" s="9"/>
      <c r="D2136" s="5"/>
      <c r="E2136" s="5"/>
    </row>
    <row r="2137" spans="1:5" ht="15.75" x14ac:dyDescent="0.25">
      <c r="A2137" s="7"/>
      <c r="B2137" s="8"/>
      <c r="C2137" s="9"/>
      <c r="D2137" s="5"/>
      <c r="E2137" s="5"/>
    </row>
    <row r="2138" spans="1:5" ht="15.75" x14ac:dyDescent="0.25">
      <c r="A2138" s="7"/>
      <c r="B2138" s="8"/>
      <c r="C2138" s="9"/>
      <c r="D2138" s="5"/>
      <c r="E2138" s="5"/>
    </row>
    <row r="2139" spans="1:5" ht="15.75" x14ac:dyDescent="0.25">
      <c r="A2139" s="7"/>
      <c r="B2139" s="8"/>
      <c r="C2139" s="9"/>
      <c r="D2139" s="5"/>
      <c r="E2139" s="5"/>
    </row>
    <row r="2140" spans="1:5" ht="15.75" x14ac:dyDescent="0.25">
      <c r="A2140" s="7"/>
      <c r="B2140" s="8"/>
      <c r="C2140" s="9"/>
      <c r="D2140" s="5"/>
      <c r="E2140" s="5"/>
    </row>
    <row r="2141" spans="1:5" ht="15.75" x14ac:dyDescent="0.25">
      <c r="A2141" s="7"/>
      <c r="B2141" s="8"/>
      <c r="C2141" s="9"/>
      <c r="D2141" s="5"/>
      <c r="E2141" s="5"/>
    </row>
    <row r="2142" spans="1:5" ht="15.75" x14ac:dyDescent="0.25">
      <c r="A2142" s="7"/>
      <c r="B2142" s="8"/>
      <c r="C2142" s="9"/>
      <c r="D2142" s="5"/>
      <c r="E2142" s="5"/>
    </row>
    <row r="2143" spans="1:5" ht="15.75" x14ac:dyDescent="0.25">
      <c r="A2143" s="7"/>
      <c r="B2143" s="8"/>
      <c r="C2143" s="9"/>
      <c r="D2143" s="5"/>
      <c r="E2143" s="5"/>
    </row>
    <row r="2144" spans="1:5" ht="15.75" x14ac:dyDescent="0.25">
      <c r="A2144" s="7"/>
      <c r="B2144" s="8"/>
      <c r="C2144" s="9"/>
      <c r="D2144" s="5"/>
      <c r="E2144" s="5"/>
    </row>
    <row r="2145" spans="1:5" ht="15.75" x14ac:dyDescent="0.25">
      <c r="A2145" s="7"/>
      <c r="B2145" s="8"/>
      <c r="C2145" s="9"/>
      <c r="D2145" s="5"/>
      <c r="E2145" s="5"/>
    </row>
    <row r="2146" spans="1:5" ht="15.75" x14ac:dyDescent="0.25">
      <c r="A2146" s="7"/>
      <c r="B2146" s="8"/>
      <c r="C2146" s="9"/>
      <c r="D2146" s="5"/>
      <c r="E2146" s="5"/>
    </row>
    <row r="2147" spans="1:5" ht="15.75" x14ac:dyDescent="0.25">
      <c r="A2147" s="7"/>
      <c r="B2147" s="8"/>
      <c r="C2147" s="9"/>
      <c r="D2147" s="5"/>
      <c r="E2147" s="5"/>
    </row>
    <row r="2148" spans="1:5" ht="15.75" x14ac:dyDescent="0.25">
      <c r="A2148" s="7"/>
      <c r="B2148" s="8"/>
      <c r="C2148" s="9"/>
      <c r="D2148" s="5"/>
      <c r="E2148" s="5"/>
    </row>
    <row r="2149" spans="1:5" ht="15.75" x14ac:dyDescent="0.25">
      <c r="A2149" s="7"/>
      <c r="B2149" s="8"/>
      <c r="C2149" s="9"/>
      <c r="D2149" s="5"/>
      <c r="E2149" s="5"/>
    </row>
    <row r="2150" spans="1:5" ht="15.75" x14ac:dyDescent="0.25">
      <c r="A2150" s="7"/>
      <c r="B2150" s="8"/>
      <c r="C2150" s="9"/>
      <c r="D2150" s="5"/>
      <c r="E2150" s="5"/>
    </row>
    <row r="2151" spans="1:5" ht="15.75" x14ac:dyDescent="0.25">
      <c r="A2151" s="7"/>
      <c r="B2151" s="8"/>
      <c r="C2151" s="9"/>
      <c r="D2151" s="5"/>
      <c r="E2151" s="5"/>
    </row>
    <row r="2152" spans="1:5" ht="15.75" x14ac:dyDescent="0.25">
      <c r="A2152" s="7"/>
      <c r="B2152" s="8"/>
      <c r="C2152" s="9"/>
      <c r="D2152" s="5"/>
      <c r="E2152" s="5"/>
    </row>
    <row r="2153" spans="1:5" ht="15.75" x14ac:dyDescent="0.25">
      <c r="A2153" s="7"/>
      <c r="B2153" s="8"/>
      <c r="C2153" s="9"/>
      <c r="D2153" s="5"/>
      <c r="E2153" s="5"/>
    </row>
    <row r="2154" spans="1:5" ht="15.75" x14ac:dyDescent="0.25">
      <c r="A2154" s="7"/>
      <c r="B2154" s="8"/>
      <c r="C2154" s="9"/>
      <c r="D2154" s="5"/>
      <c r="E2154" s="5"/>
    </row>
    <row r="2155" spans="1:5" ht="15.75" x14ac:dyDescent="0.25">
      <c r="A2155" s="7"/>
      <c r="B2155" s="8"/>
      <c r="C2155" s="9"/>
      <c r="D2155" s="5"/>
      <c r="E2155" s="5"/>
    </row>
    <row r="2156" spans="1:5" ht="15.75" x14ac:dyDescent="0.25">
      <c r="A2156" s="7"/>
      <c r="B2156" s="8"/>
      <c r="C2156" s="9"/>
      <c r="D2156" s="5"/>
      <c r="E2156" s="5"/>
    </row>
    <row r="2157" spans="1:5" ht="15.75" x14ac:dyDescent="0.25">
      <c r="A2157" s="7"/>
      <c r="B2157" s="8"/>
      <c r="C2157" s="9"/>
      <c r="D2157" s="5"/>
      <c r="E2157" s="5"/>
    </row>
    <row r="2158" spans="1:5" ht="15.75" x14ac:dyDescent="0.25">
      <c r="A2158" s="7"/>
      <c r="B2158" s="8"/>
      <c r="C2158" s="9"/>
      <c r="D2158" s="5"/>
      <c r="E2158" s="5"/>
    </row>
    <row r="2159" spans="1:5" ht="15.75" x14ac:dyDescent="0.25">
      <c r="A2159" s="7"/>
      <c r="B2159" s="8"/>
      <c r="C2159" s="9"/>
      <c r="D2159" s="5"/>
      <c r="E2159" s="5"/>
    </row>
    <row r="2160" spans="1:5" ht="15.75" x14ac:dyDescent="0.25">
      <c r="A2160" s="7"/>
      <c r="B2160" s="8"/>
      <c r="C2160" s="9"/>
      <c r="D2160" s="5"/>
      <c r="E2160" s="5"/>
    </row>
    <row r="2161" spans="1:5" ht="15.75" x14ac:dyDescent="0.25">
      <c r="A2161" s="7"/>
      <c r="B2161" s="8"/>
      <c r="C2161" s="9"/>
      <c r="D2161" s="5"/>
      <c r="E2161" s="5"/>
    </row>
    <row r="2162" spans="1:5" ht="15.75" x14ac:dyDescent="0.25">
      <c r="A2162" s="7"/>
      <c r="B2162" s="8"/>
      <c r="C2162" s="9"/>
      <c r="D2162" s="5"/>
      <c r="E2162" s="5"/>
    </row>
    <row r="2163" spans="1:5" ht="15.75" x14ac:dyDescent="0.25">
      <c r="A2163" s="7"/>
      <c r="B2163" s="8"/>
      <c r="C2163" s="9"/>
      <c r="D2163" s="5"/>
      <c r="E2163" s="5"/>
    </row>
    <row r="2164" spans="1:5" ht="15.75" x14ac:dyDescent="0.25">
      <c r="A2164" s="7"/>
      <c r="B2164" s="8"/>
      <c r="C2164" s="9"/>
      <c r="D2164" s="5"/>
      <c r="E2164" s="5"/>
    </row>
    <row r="2165" spans="1:5" ht="15.75" x14ac:dyDescent="0.25">
      <c r="A2165" s="7"/>
      <c r="B2165" s="8"/>
      <c r="C2165" s="9"/>
      <c r="D2165" s="5"/>
      <c r="E2165" s="5"/>
    </row>
    <row r="2166" spans="1:5" ht="15.75" x14ac:dyDescent="0.25">
      <c r="A2166" s="7"/>
      <c r="B2166" s="8"/>
      <c r="C2166" s="9"/>
      <c r="D2166" s="5"/>
      <c r="E2166" s="5"/>
    </row>
    <row r="2167" spans="1:5" ht="15.75" x14ac:dyDescent="0.25">
      <c r="A2167" s="7"/>
      <c r="B2167" s="8"/>
      <c r="C2167" s="9"/>
      <c r="D2167" s="5"/>
      <c r="E2167" s="5"/>
    </row>
    <row r="2168" spans="1:5" ht="15.75" x14ac:dyDescent="0.25">
      <c r="A2168" s="7"/>
      <c r="B2168" s="8"/>
      <c r="C2168" s="9"/>
      <c r="D2168" s="5"/>
      <c r="E2168" s="5"/>
    </row>
    <row r="2169" spans="1:5" ht="15.75" x14ac:dyDescent="0.25">
      <c r="A2169" s="7"/>
      <c r="B2169" s="8"/>
      <c r="C2169" s="9"/>
      <c r="D2169" s="5"/>
      <c r="E2169" s="5"/>
    </row>
    <row r="2170" spans="1:5" ht="15.75" x14ac:dyDescent="0.25">
      <c r="A2170" s="7"/>
      <c r="B2170" s="8"/>
      <c r="C2170" s="9"/>
      <c r="D2170" s="5"/>
      <c r="E2170" s="5"/>
    </row>
    <row r="2171" spans="1:5" ht="15.75" x14ac:dyDescent="0.25">
      <c r="A2171" s="7"/>
      <c r="B2171" s="8"/>
      <c r="C2171" s="9"/>
      <c r="D2171" s="5"/>
      <c r="E2171" s="5"/>
    </row>
    <row r="2172" spans="1:5" ht="15.75" x14ac:dyDescent="0.25">
      <c r="A2172" s="7"/>
      <c r="B2172" s="8"/>
      <c r="C2172" s="9"/>
      <c r="D2172" s="5"/>
      <c r="E2172" s="5"/>
    </row>
    <row r="2173" spans="1:5" ht="15.75" x14ac:dyDescent="0.25">
      <c r="A2173" s="7"/>
      <c r="B2173" s="8"/>
      <c r="C2173" s="9"/>
      <c r="D2173" s="5"/>
      <c r="E2173" s="5"/>
    </row>
    <row r="2174" spans="1:5" ht="15.75" x14ac:dyDescent="0.25">
      <c r="A2174" s="7"/>
      <c r="B2174" s="8"/>
      <c r="C2174" s="9"/>
      <c r="D2174" s="5"/>
      <c r="E2174" s="5"/>
    </row>
    <row r="2175" spans="1:5" ht="15.75" x14ac:dyDescent="0.25">
      <c r="A2175" s="7"/>
      <c r="B2175" s="8"/>
      <c r="C2175" s="9"/>
      <c r="D2175" s="5"/>
      <c r="E2175" s="5"/>
    </row>
    <row r="2176" spans="1:5" ht="15.75" x14ac:dyDescent="0.25">
      <c r="A2176" s="7"/>
      <c r="B2176" s="8"/>
      <c r="C2176" s="9"/>
      <c r="D2176" s="5"/>
      <c r="E2176" s="5"/>
    </row>
    <row r="2177" spans="1:5" ht="15.75" x14ac:dyDescent="0.25">
      <c r="A2177" s="7"/>
      <c r="B2177" s="8"/>
      <c r="C2177" s="9"/>
      <c r="D2177" s="5"/>
      <c r="E2177" s="5"/>
    </row>
    <row r="2178" spans="1:5" ht="15.75" x14ac:dyDescent="0.25">
      <c r="A2178" s="7"/>
      <c r="B2178" s="8"/>
      <c r="C2178" s="9"/>
      <c r="D2178" s="5"/>
      <c r="E2178" s="5"/>
    </row>
    <row r="2179" spans="1:5" ht="15.75" x14ac:dyDescent="0.25">
      <c r="A2179" s="7"/>
      <c r="B2179" s="8"/>
      <c r="C2179" s="9"/>
      <c r="D2179" s="5"/>
      <c r="E2179" s="5"/>
    </row>
    <row r="2180" spans="1:5" ht="15.75" x14ac:dyDescent="0.25">
      <c r="A2180" s="7"/>
      <c r="B2180" s="8"/>
      <c r="C2180" s="9"/>
      <c r="D2180" s="5"/>
      <c r="E2180" s="5"/>
    </row>
    <row r="2181" spans="1:5" ht="15.75" x14ac:dyDescent="0.25">
      <c r="A2181" s="7"/>
      <c r="B2181" s="8"/>
      <c r="C2181" s="9"/>
      <c r="D2181" s="5"/>
      <c r="E2181" s="5"/>
    </row>
    <row r="2182" spans="1:5" ht="15.75" x14ac:dyDescent="0.25">
      <c r="A2182" s="7"/>
      <c r="B2182" s="8"/>
      <c r="C2182" s="9"/>
      <c r="D2182" s="5"/>
      <c r="E2182" s="5"/>
    </row>
    <row r="2183" spans="1:5" ht="15.75" x14ac:dyDescent="0.25">
      <c r="A2183" s="7"/>
      <c r="B2183" s="8"/>
      <c r="C2183" s="9"/>
      <c r="D2183" s="5"/>
      <c r="E2183" s="5"/>
    </row>
    <row r="2184" spans="1:5" ht="15.75" x14ac:dyDescent="0.25">
      <c r="A2184" s="7"/>
      <c r="B2184" s="8"/>
      <c r="C2184" s="9"/>
      <c r="D2184" s="5"/>
      <c r="E2184" s="5"/>
    </row>
    <row r="2185" spans="1:5" ht="15.75" x14ac:dyDescent="0.25">
      <c r="A2185" s="7"/>
      <c r="B2185" s="8"/>
      <c r="C2185" s="9"/>
      <c r="D2185" s="5"/>
      <c r="E2185" s="5"/>
    </row>
    <row r="2186" spans="1:5" ht="15.75" x14ac:dyDescent="0.25">
      <c r="A2186" s="7"/>
      <c r="B2186" s="8"/>
      <c r="C2186" s="9"/>
      <c r="D2186" s="5"/>
      <c r="E2186" s="5"/>
    </row>
    <row r="2187" spans="1:5" ht="15.75" x14ac:dyDescent="0.25">
      <c r="A2187" s="7"/>
      <c r="B2187" s="8"/>
      <c r="C2187" s="9"/>
      <c r="D2187" s="5"/>
      <c r="E2187" s="5"/>
    </row>
    <row r="2188" spans="1:5" ht="15.75" x14ac:dyDescent="0.25">
      <c r="A2188" s="7"/>
      <c r="B2188" s="8"/>
      <c r="C2188" s="9"/>
      <c r="D2188" s="5"/>
      <c r="E2188" s="5"/>
    </row>
    <row r="2189" spans="1:5" ht="15.75" x14ac:dyDescent="0.25">
      <c r="A2189" s="7"/>
      <c r="B2189" s="8"/>
      <c r="C2189" s="9"/>
      <c r="D2189" s="5"/>
      <c r="E2189" s="5"/>
    </row>
    <row r="2190" spans="1:5" ht="15.75" x14ac:dyDescent="0.25">
      <c r="A2190" s="7"/>
      <c r="B2190" s="8"/>
      <c r="C2190" s="9"/>
      <c r="D2190" s="5"/>
      <c r="E2190" s="5"/>
    </row>
    <row r="2191" spans="1:5" ht="15.75" x14ac:dyDescent="0.25">
      <c r="A2191" s="7"/>
      <c r="B2191" s="8"/>
      <c r="C2191" s="9"/>
      <c r="D2191" s="5"/>
      <c r="E2191" s="5"/>
    </row>
    <row r="2192" spans="1:5" ht="15.75" x14ac:dyDescent="0.25">
      <c r="A2192" s="7"/>
      <c r="B2192" s="8"/>
      <c r="C2192" s="9"/>
      <c r="D2192" s="5"/>
      <c r="E2192" s="5"/>
    </row>
    <row r="2193" spans="1:5" ht="15.75" x14ac:dyDescent="0.25">
      <c r="A2193" s="7"/>
      <c r="B2193" s="8"/>
      <c r="C2193" s="9"/>
      <c r="D2193" s="5"/>
      <c r="E2193" s="5"/>
    </row>
    <row r="2194" spans="1:5" ht="15.75" x14ac:dyDescent="0.25">
      <c r="A2194" s="7"/>
      <c r="B2194" s="8"/>
      <c r="C2194" s="9"/>
      <c r="D2194" s="5"/>
      <c r="E2194" s="5"/>
    </row>
    <row r="2195" spans="1:5" ht="15.75" x14ac:dyDescent="0.25">
      <c r="A2195" s="7"/>
      <c r="B2195" s="8"/>
      <c r="C2195" s="9"/>
      <c r="D2195" s="5"/>
      <c r="E2195" s="5"/>
    </row>
    <row r="2196" spans="1:5" ht="15.75" x14ac:dyDescent="0.25">
      <c r="A2196" s="7"/>
      <c r="B2196" s="8"/>
      <c r="C2196" s="9"/>
      <c r="D2196" s="5"/>
      <c r="E2196" s="5"/>
    </row>
    <row r="2197" spans="1:5" ht="15.75" x14ac:dyDescent="0.25">
      <c r="A2197" s="7"/>
      <c r="B2197" s="8"/>
      <c r="C2197" s="9"/>
      <c r="D2197" s="5"/>
      <c r="E2197" s="5"/>
    </row>
    <row r="2198" spans="1:5" ht="15.75" x14ac:dyDescent="0.25">
      <c r="A2198" s="7"/>
      <c r="B2198" s="8"/>
      <c r="C2198" s="9"/>
      <c r="D2198" s="5"/>
      <c r="E2198" s="5"/>
    </row>
    <row r="2199" spans="1:5" ht="15.75" x14ac:dyDescent="0.25">
      <c r="A2199" s="7"/>
      <c r="B2199" s="8"/>
      <c r="C2199" s="9"/>
      <c r="D2199" s="5"/>
      <c r="E2199" s="5"/>
    </row>
    <row r="2200" spans="1:5" ht="15.75" x14ac:dyDescent="0.25">
      <c r="A2200" s="7"/>
      <c r="B2200" s="8"/>
      <c r="C2200" s="9"/>
      <c r="D2200" s="5"/>
      <c r="E2200" s="5"/>
    </row>
    <row r="2201" spans="1:5" ht="15.75" x14ac:dyDescent="0.25">
      <c r="A2201" s="7"/>
      <c r="B2201" s="8"/>
      <c r="C2201" s="9"/>
      <c r="D2201" s="5"/>
      <c r="E2201" s="5"/>
    </row>
    <row r="2202" spans="1:5" ht="15.75" x14ac:dyDescent="0.25">
      <c r="A2202" s="7"/>
      <c r="B2202" s="8"/>
      <c r="C2202" s="9"/>
      <c r="D2202" s="5"/>
      <c r="E2202" s="5"/>
    </row>
    <row r="2203" spans="1:5" ht="15.75" x14ac:dyDescent="0.25">
      <c r="A2203" s="7"/>
      <c r="B2203" s="8"/>
      <c r="C2203" s="9"/>
      <c r="D2203" s="5"/>
      <c r="E2203" s="5"/>
    </row>
    <row r="2204" spans="1:5" ht="15.75" x14ac:dyDescent="0.25">
      <c r="A2204" s="7"/>
      <c r="B2204" s="8"/>
      <c r="C2204" s="9"/>
      <c r="D2204" s="5"/>
      <c r="E2204" s="5"/>
    </row>
    <row r="2205" spans="1:5" ht="15.75" x14ac:dyDescent="0.25">
      <c r="A2205" s="7"/>
      <c r="B2205" s="8"/>
      <c r="C2205" s="9"/>
      <c r="D2205" s="5"/>
      <c r="E2205" s="5"/>
    </row>
    <row r="2206" spans="1:5" ht="15.75" x14ac:dyDescent="0.25">
      <c r="A2206" s="7"/>
      <c r="B2206" s="8"/>
      <c r="C2206" s="9"/>
      <c r="D2206" s="5"/>
      <c r="E2206" s="5"/>
    </row>
    <row r="2207" spans="1:5" ht="15.75" x14ac:dyDescent="0.25">
      <c r="A2207" s="7"/>
      <c r="B2207" s="8"/>
      <c r="C2207" s="9"/>
      <c r="D2207" s="5"/>
      <c r="E2207" s="5"/>
    </row>
    <row r="2208" spans="1:5" ht="15.75" x14ac:dyDescent="0.25">
      <c r="A2208" s="7"/>
      <c r="B2208" s="8"/>
      <c r="C2208" s="9"/>
      <c r="D2208" s="5"/>
      <c r="E2208" s="5"/>
    </row>
    <row r="2209" spans="1:5" ht="15.75" x14ac:dyDescent="0.25">
      <c r="A2209" s="7"/>
      <c r="B2209" s="8"/>
      <c r="C2209" s="9"/>
      <c r="D2209" s="5"/>
      <c r="E2209" s="5"/>
    </row>
    <row r="2210" spans="1:5" ht="15.75" x14ac:dyDescent="0.25">
      <c r="A2210" s="7"/>
      <c r="B2210" s="8"/>
      <c r="C2210" s="9"/>
      <c r="D2210" s="5"/>
      <c r="E2210" s="5"/>
    </row>
    <row r="2211" spans="1:5" ht="15.75" x14ac:dyDescent="0.25">
      <c r="A2211" s="7"/>
      <c r="B2211" s="8"/>
      <c r="C2211" s="9"/>
      <c r="D2211" s="5"/>
      <c r="E2211" s="5"/>
    </row>
    <row r="2212" spans="1:5" ht="15.75" x14ac:dyDescent="0.25">
      <c r="A2212" s="7"/>
      <c r="B2212" s="8"/>
      <c r="C2212" s="9"/>
      <c r="D2212" s="5"/>
      <c r="E2212" s="5"/>
    </row>
    <row r="2213" spans="1:5" ht="15.75" x14ac:dyDescent="0.25">
      <c r="A2213" s="7"/>
      <c r="B2213" s="8"/>
      <c r="C2213" s="9"/>
      <c r="D2213" s="5"/>
      <c r="E2213" s="5"/>
    </row>
    <row r="2214" spans="1:5" ht="15.75" x14ac:dyDescent="0.25">
      <c r="A2214" s="7"/>
      <c r="B2214" s="8"/>
      <c r="C2214" s="9"/>
      <c r="D2214" s="5"/>
      <c r="E2214" s="5"/>
    </row>
    <row r="2215" spans="1:5" ht="15.75" x14ac:dyDescent="0.25">
      <c r="A2215" s="7"/>
      <c r="B2215" s="8"/>
      <c r="C2215" s="9"/>
      <c r="D2215" s="5"/>
      <c r="E2215" s="5"/>
    </row>
    <row r="2216" spans="1:5" ht="15.75" x14ac:dyDescent="0.25">
      <c r="A2216" s="7"/>
      <c r="B2216" s="8"/>
      <c r="C2216" s="9"/>
      <c r="D2216" s="5"/>
      <c r="E2216" s="5"/>
    </row>
    <row r="2217" spans="1:5" ht="15.75" x14ac:dyDescent="0.25">
      <c r="A2217" s="7"/>
      <c r="B2217" s="8"/>
      <c r="C2217" s="9"/>
      <c r="D2217" s="5"/>
      <c r="E2217" s="5"/>
    </row>
    <row r="2218" spans="1:5" ht="15.75" x14ac:dyDescent="0.25">
      <c r="A2218" s="7"/>
      <c r="B2218" s="8"/>
      <c r="C2218" s="9"/>
      <c r="D2218" s="5"/>
      <c r="E2218" s="5"/>
    </row>
    <row r="2219" spans="1:5" ht="15.75" x14ac:dyDescent="0.25">
      <c r="A2219" s="7"/>
      <c r="B2219" s="8"/>
      <c r="C2219" s="9"/>
      <c r="D2219" s="5"/>
      <c r="E2219" s="5"/>
    </row>
    <row r="2220" spans="1:5" ht="15.75" x14ac:dyDescent="0.25">
      <c r="A2220" s="7"/>
      <c r="B2220" s="8"/>
      <c r="C2220" s="9"/>
      <c r="D2220" s="5"/>
      <c r="E2220" s="5"/>
    </row>
    <row r="2221" spans="1:5" ht="15.75" x14ac:dyDescent="0.25">
      <c r="A2221" s="7"/>
      <c r="B2221" s="8"/>
      <c r="C2221" s="9"/>
      <c r="D2221" s="5"/>
      <c r="E2221" s="5"/>
    </row>
    <row r="2222" spans="1:5" ht="15.75" x14ac:dyDescent="0.25">
      <c r="A2222" s="7"/>
      <c r="B2222" s="8"/>
      <c r="C2222" s="9"/>
      <c r="D2222" s="5"/>
      <c r="E2222" s="5"/>
    </row>
    <row r="2223" spans="1:5" ht="15.75" x14ac:dyDescent="0.25">
      <c r="A2223" s="7"/>
      <c r="B2223" s="8"/>
      <c r="C2223" s="9"/>
      <c r="D2223" s="5"/>
      <c r="E2223" s="5"/>
    </row>
    <row r="2224" spans="1:5" ht="15.75" x14ac:dyDescent="0.25">
      <c r="A2224" s="7"/>
      <c r="B2224" s="8"/>
      <c r="C2224" s="9"/>
      <c r="D2224" s="5"/>
      <c r="E2224" s="5"/>
    </row>
    <row r="2225" spans="1:5" ht="15.75" x14ac:dyDescent="0.25">
      <c r="A2225" s="7"/>
      <c r="B2225" s="8"/>
      <c r="C2225" s="9"/>
      <c r="D2225" s="5"/>
      <c r="E2225" s="5"/>
    </row>
    <row r="2226" spans="1:5" ht="15.75" x14ac:dyDescent="0.25">
      <c r="A2226" s="7"/>
      <c r="B2226" s="8"/>
      <c r="C2226" s="9"/>
      <c r="D2226" s="5"/>
      <c r="E2226" s="5"/>
    </row>
    <row r="2227" spans="1:5" ht="15.75" x14ac:dyDescent="0.25">
      <c r="A2227" s="7"/>
      <c r="B2227" s="8"/>
      <c r="C2227" s="9"/>
      <c r="D2227" s="5"/>
      <c r="E2227" s="5"/>
    </row>
    <row r="2228" spans="1:5" ht="15.75" x14ac:dyDescent="0.25">
      <c r="A2228" s="7"/>
      <c r="B2228" s="8"/>
      <c r="C2228" s="9"/>
      <c r="D2228" s="5"/>
      <c r="E2228" s="5"/>
    </row>
    <row r="2229" spans="1:5" ht="15.75" x14ac:dyDescent="0.25">
      <c r="A2229" s="7"/>
      <c r="B2229" s="8"/>
      <c r="C2229" s="9"/>
      <c r="D2229" s="5"/>
      <c r="E2229" s="5"/>
    </row>
    <row r="2230" spans="1:5" ht="15.75" x14ac:dyDescent="0.25">
      <c r="A2230" s="7"/>
      <c r="B2230" s="8"/>
      <c r="C2230" s="9"/>
      <c r="D2230" s="5"/>
      <c r="E2230" s="5"/>
    </row>
    <row r="2231" spans="1:5" ht="15.75" x14ac:dyDescent="0.25">
      <c r="A2231" s="7"/>
      <c r="B2231" s="8"/>
      <c r="C2231" s="9"/>
      <c r="D2231" s="5"/>
      <c r="E2231" s="5"/>
    </row>
    <row r="2232" spans="1:5" ht="15.75" x14ac:dyDescent="0.25">
      <c r="A2232" s="7"/>
      <c r="B2232" s="8"/>
      <c r="C2232" s="9"/>
      <c r="D2232" s="5"/>
      <c r="E2232" s="5"/>
    </row>
    <row r="2233" spans="1:5" ht="15.75" x14ac:dyDescent="0.25">
      <c r="A2233" s="7"/>
      <c r="B2233" s="8"/>
      <c r="C2233" s="9"/>
      <c r="D2233" s="5"/>
      <c r="E2233" s="5"/>
    </row>
    <row r="2234" spans="1:5" ht="15.75" x14ac:dyDescent="0.25">
      <c r="A2234" s="7"/>
      <c r="B2234" s="8"/>
      <c r="C2234" s="9"/>
      <c r="D2234" s="5"/>
      <c r="E2234" s="5"/>
    </row>
    <row r="2235" spans="1:5" ht="15.75" x14ac:dyDescent="0.25">
      <c r="A2235" s="7"/>
      <c r="B2235" s="8"/>
      <c r="C2235" s="9"/>
      <c r="D2235" s="5"/>
      <c r="E2235" s="5"/>
    </row>
    <row r="2236" spans="1:5" ht="15.75" x14ac:dyDescent="0.25">
      <c r="A2236" s="7"/>
      <c r="B2236" s="8"/>
      <c r="C2236" s="9"/>
      <c r="D2236" s="5"/>
      <c r="E2236" s="5"/>
    </row>
    <row r="2237" spans="1:5" ht="15.75" x14ac:dyDescent="0.25">
      <c r="A2237" s="7"/>
      <c r="B2237" s="8"/>
      <c r="C2237" s="9"/>
      <c r="D2237" s="5"/>
      <c r="E2237" s="5"/>
    </row>
    <row r="2238" spans="1:5" ht="15.75" x14ac:dyDescent="0.25">
      <c r="A2238" s="7"/>
      <c r="B2238" s="8"/>
      <c r="C2238" s="9"/>
      <c r="D2238" s="5"/>
      <c r="E2238" s="5"/>
    </row>
    <row r="2239" spans="1:5" ht="15.75" x14ac:dyDescent="0.25">
      <c r="A2239" s="7"/>
      <c r="B2239" s="8"/>
      <c r="C2239" s="9"/>
      <c r="D2239" s="5"/>
      <c r="E2239" s="5"/>
    </row>
    <row r="2240" spans="1:5" ht="15.75" x14ac:dyDescent="0.25">
      <c r="A2240" s="7"/>
      <c r="B2240" s="8"/>
      <c r="C2240" s="9"/>
      <c r="D2240" s="5"/>
      <c r="E2240" s="5"/>
    </row>
    <row r="2241" spans="1:5" ht="15.75" x14ac:dyDescent="0.25">
      <c r="A2241" s="7"/>
      <c r="B2241" s="8"/>
      <c r="C2241" s="9"/>
      <c r="D2241" s="5"/>
      <c r="E2241" s="5"/>
    </row>
    <row r="2242" spans="1:5" ht="15.75" x14ac:dyDescent="0.25">
      <c r="A2242" s="7"/>
      <c r="B2242" s="8"/>
      <c r="C2242" s="9"/>
      <c r="D2242" s="5"/>
      <c r="E2242" s="5"/>
    </row>
    <row r="2243" spans="1:5" ht="15.75" x14ac:dyDescent="0.25">
      <c r="A2243" s="7"/>
      <c r="B2243" s="8"/>
      <c r="C2243" s="9"/>
      <c r="D2243" s="5"/>
      <c r="E2243" s="5"/>
    </row>
    <row r="2244" spans="1:5" ht="15.75" x14ac:dyDescent="0.25">
      <c r="A2244" s="7"/>
      <c r="B2244" s="8"/>
      <c r="C2244" s="9"/>
      <c r="D2244" s="5"/>
      <c r="E2244" s="5"/>
    </row>
    <row r="2245" spans="1:5" ht="15.75" x14ac:dyDescent="0.25">
      <c r="A2245" s="7"/>
      <c r="B2245" s="8"/>
      <c r="C2245" s="9"/>
      <c r="D2245" s="5"/>
      <c r="E2245" s="5"/>
    </row>
    <row r="2246" spans="1:5" ht="15.75" x14ac:dyDescent="0.25">
      <c r="A2246" s="7"/>
      <c r="B2246" s="8"/>
      <c r="C2246" s="9"/>
      <c r="D2246" s="5"/>
      <c r="E2246" s="5"/>
    </row>
    <row r="2247" spans="1:5" ht="15.75" x14ac:dyDescent="0.25">
      <c r="A2247" s="7"/>
      <c r="B2247" s="8"/>
      <c r="C2247" s="9"/>
      <c r="D2247" s="5"/>
      <c r="E2247" s="5"/>
    </row>
    <row r="2248" spans="1:5" ht="15.75" x14ac:dyDescent="0.25">
      <c r="A2248" s="7"/>
      <c r="B2248" s="8"/>
      <c r="C2248" s="9"/>
      <c r="D2248" s="5"/>
      <c r="E2248" s="5"/>
    </row>
    <row r="2249" spans="1:5" ht="15.75" x14ac:dyDescent="0.25">
      <c r="A2249" s="7"/>
      <c r="B2249" s="8"/>
      <c r="C2249" s="9"/>
      <c r="D2249" s="5"/>
      <c r="E2249" s="5"/>
    </row>
    <row r="2250" spans="1:5" ht="15.75" x14ac:dyDescent="0.25">
      <c r="A2250" s="7"/>
      <c r="B2250" s="8"/>
      <c r="C2250" s="9"/>
      <c r="D2250" s="5"/>
      <c r="E2250" s="5"/>
    </row>
    <row r="2251" spans="1:5" ht="15.75" x14ac:dyDescent="0.25">
      <c r="A2251" s="7"/>
      <c r="B2251" s="8"/>
      <c r="C2251" s="9"/>
      <c r="D2251" s="5"/>
      <c r="E2251" s="5"/>
    </row>
    <row r="2252" spans="1:5" ht="15.75" x14ac:dyDescent="0.25">
      <c r="A2252" s="7"/>
      <c r="B2252" s="8"/>
      <c r="C2252" s="9"/>
      <c r="D2252" s="5"/>
      <c r="E2252" s="5"/>
    </row>
    <row r="2253" spans="1:5" ht="15.75" x14ac:dyDescent="0.25">
      <c r="A2253" s="7"/>
      <c r="B2253" s="8"/>
      <c r="C2253" s="9"/>
      <c r="D2253" s="5"/>
      <c r="E2253" s="5"/>
    </row>
    <row r="2254" spans="1:5" ht="15.75" x14ac:dyDescent="0.25">
      <c r="A2254" s="7"/>
      <c r="B2254" s="8"/>
      <c r="C2254" s="9"/>
      <c r="D2254" s="5"/>
      <c r="E2254" s="5"/>
    </row>
    <row r="2255" spans="1:5" ht="15.75" x14ac:dyDescent="0.25">
      <c r="A2255" s="7"/>
      <c r="B2255" s="8"/>
      <c r="C2255" s="9"/>
      <c r="D2255" s="5"/>
      <c r="E2255" s="5"/>
    </row>
    <row r="2256" spans="1:5" ht="15.75" x14ac:dyDescent="0.25">
      <c r="A2256" s="7"/>
      <c r="B2256" s="8"/>
      <c r="C2256" s="9"/>
      <c r="D2256" s="5"/>
      <c r="E2256" s="5"/>
    </row>
    <row r="2257" spans="1:5" ht="15.75" x14ac:dyDescent="0.25">
      <c r="A2257" s="7"/>
      <c r="B2257" s="8"/>
      <c r="C2257" s="9"/>
      <c r="D2257" s="5"/>
      <c r="E2257" s="5"/>
    </row>
    <row r="2258" spans="1:5" ht="15.75" x14ac:dyDescent="0.25">
      <c r="A2258" s="7"/>
      <c r="B2258" s="8"/>
      <c r="C2258" s="9"/>
      <c r="D2258" s="5"/>
      <c r="E2258" s="5"/>
    </row>
    <row r="2259" spans="1:5" ht="15.75" x14ac:dyDescent="0.25">
      <c r="A2259" s="7"/>
      <c r="B2259" s="8"/>
      <c r="C2259" s="9"/>
      <c r="D2259" s="5"/>
      <c r="E2259" s="5"/>
    </row>
    <row r="2260" spans="1:5" ht="15.75" x14ac:dyDescent="0.25">
      <c r="A2260" s="7"/>
      <c r="B2260" s="8"/>
      <c r="C2260" s="9"/>
      <c r="D2260" s="5"/>
      <c r="E2260" s="5"/>
    </row>
    <row r="2261" spans="1:5" ht="15.75" x14ac:dyDescent="0.25">
      <c r="A2261" s="7"/>
      <c r="B2261" s="8"/>
      <c r="C2261" s="9"/>
      <c r="D2261" s="5"/>
      <c r="E2261" s="5"/>
    </row>
    <row r="2262" spans="1:5" ht="15.75" x14ac:dyDescent="0.25">
      <c r="A2262" s="7"/>
      <c r="B2262" s="8"/>
      <c r="C2262" s="9"/>
      <c r="D2262" s="5"/>
      <c r="E2262" s="5"/>
    </row>
    <row r="2263" spans="1:5" ht="15.75" x14ac:dyDescent="0.25">
      <c r="A2263" s="7"/>
      <c r="B2263" s="8"/>
      <c r="C2263" s="9"/>
      <c r="D2263" s="5"/>
      <c r="E2263" s="5"/>
    </row>
    <row r="2264" spans="1:5" ht="15.75" x14ac:dyDescent="0.25">
      <c r="A2264" s="7"/>
      <c r="B2264" s="8"/>
      <c r="C2264" s="9"/>
      <c r="D2264" s="5"/>
      <c r="E2264" s="5"/>
    </row>
    <row r="2265" spans="1:5" ht="15.75" x14ac:dyDescent="0.25">
      <c r="A2265" s="7"/>
      <c r="B2265" s="8"/>
      <c r="C2265" s="9"/>
      <c r="D2265" s="5"/>
      <c r="E2265" s="5"/>
    </row>
    <row r="2266" spans="1:5" ht="15.75" x14ac:dyDescent="0.25">
      <c r="A2266" s="7"/>
      <c r="B2266" s="8"/>
      <c r="C2266" s="9"/>
      <c r="D2266" s="5"/>
      <c r="E2266" s="5"/>
    </row>
    <row r="2267" spans="1:5" ht="15.75" x14ac:dyDescent="0.25">
      <c r="A2267" s="7"/>
      <c r="B2267" s="8"/>
      <c r="C2267" s="9"/>
      <c r="D2267" s="5"/>
      <c r="E2267" s="5"/>
    </row>
    <row r="2268" spans="1:5" ht="15.75" x14ac:dyDescent="0.25">
      <c r="A2268" s="7"/>
      <c r="B2268" s="8"/>
      <c r="C2268" s="9"/>
      <c r="D2268" s="5"/>
      <c r="E2268" s="5"/>
    </row>
    <row r="2269" spans="1:5" ht="15.75" x14ac:dyDescent="0.25">
      <c r="A2269" s="7"/>
      <c r="B2269" s="8"/>
      <c r="C2269" s="9"/>
      <c r="D2269" s="5"/>
      <c r="E2269" s="5"/>
    </row>
    <row r="2270" spans="1:5" ht="15.75" x14ac:dyDescent="0.25">
      <c r="A2270" s="7"/>
      <c r="B2270" s="8"/>
      <c r="C2270" s="9"/>
      <c r="D2270" s="5"/>
      <c r="E2270" s="5"/>
    </row>
    <row r="2271" spans="1:5" ht="15.75" x14ac:dyDescent="0.25">
      <c r="A2271" s="7"/>
      <c r="B2271" s="8"/>
      <c r="C2271" s="9"/>
      <c r="D2271" s="5"/>
      <c r="E2271" s="5"/>
    </row>
    <row r="2272" spans="1:5" ht="15.75" x14ac:dyDescent="0.25">
      <c r="A2272" s="7"/>
      <c r="B2272" s="8"/>
      <c r="C2272" s="9"/>
      <c r="D2272" s="5"/>
      <c r="E2272" s="5"/>
    </row>
    <row r="2273" spans="1:5" ht="15.75" x14ac:dyDescent="0.25">
      <c r="A2273" s="7"/>
      <c r="B2273" s="8"/>
      <c r="C2273" s="9"/>
      <c r="D2273" s="5"/>
      <c r="E2273" s="5"/>
    </row>
    <row r="2274" spans="1:5" ht="15.75" x14ac:dyDescent="0.25">
      <c r="A2274" s="7"/>
      <c r="B2274" s="8"/>
      <c r="C2274" s="9"/>
      <c r="D2274" s="5"/>
      <c r="E2274" s="5"/>
    </row>
    <row r="2275" spans="1:5" ht="15.75" x14ac:dyDescent="0.25">
      <c r="A2275" s="7"/>
      <c r="B2275" s="8"/>
      <c r="C2275" s="9"/>
      <c r="D2275" s="5"/>
      <c r="E2275" s="5"/>
    </row>
    <row r="2276" spans="1:5" ht="15.75" x14ac:dyDescent="0.25">
      <c r="A2276" s="7"/>
      <c r="B2276" s="8"/>
      <c r="C2276" s="9"/>
      <c r="D2276" s="5"/>
      <c r="E2276" s="5"/>
    </row>
    <row r="2277" spans="1:5" ht="15.75" x14ac:dyDescent="0.25">
      <c r="A2277" s="7"/>
      <c r="B2277" s="8"/>
      <c r="C2277" s="9"/>
      <c r="D2277" s="5"/>
      <c r="E2277" s="5"/>
    </row>
    <row r="2278" spans="1:5" ht="15.75" x14ac:dyDescent="0.25">
      <c r="A2278" s="7"/>
      <c r="B2278" s="8"/>
      <c r="C2278" s="9"/>
      <c r="D2278" s="5"/>
      <c r="E2278" s="5"/>
    </row>
    <row r="2279" spans="1:5" ht="15.75" x14ac:dyDescent="0.25">
      <c r="A2279" s="7"/>
      <c r="B2279" s="8"/>
      <c r="C2279" s="9"/>
      <c r="D2279" s="5"/>
      <c r="E2279" s="5"/>
    </row>
    <row r="2280" spans="1:5" ht="15.75" x14ac:dyDescent="0.25">
      <c r="A2280" s="7"/>
      <c r="B2280" s="8"/>
      <c r="C2280" s="9"/>
      <c r="D2280" s="5"/>
      <c r="E2280" s="5"/>
    </row>
    <row r="2281" spans="1:5" ht="15.75" x14ac:dyDescent="0.25">
      <c r="A2281" s="7"/>
      <c r="B2281" s="8"/>
      <c r="C2281" s="9"/>
      <c r="D2281" s="5"/>
      <c r="E2281" s="5"/>
    </row>
    <row r="2282" spans="1:5" ht="15.75" x14ac:dyDescent="0.25">
      <c r="A2282" s="7"/>
      <c r="B2282" s="8"/>
      <c r="C2282" s="9"/>
      <c r="D2282" s="5"/>
      <c r="E2282" s="5"/>
    </row>
    <row r="2283" spans="1:5" ht="15.75" x14ac:dyDescent="0.25">
      <c r="A2283" s="7"/>
      <c r="B2283" s="8"/>
      <c r="C2283" s="9"/>
      <c r="D2283" s="5"/>
      <c r="E2283" s="5"/>
    </row>
    <row r="2284" spans="1:5" ht="15.75" x14ac:dyDescent="0.25">
      <c r="A2284" s="7"/>
      <c r="B2284" s="8"/>
      <c r="C2284" s="9"/>
      <c r="D2284" s="5"/>
      <c r="E2284" s="5"/>
    </row>
    <row r="2285" spans="1:5" ht="15.75" x14ac:dyDescent="0.25">
      <c r="A2285" s="7"/>
      <c r="B2285" s="8"/>
      <c r="C2285" s="9"/>
      <c r="D2285" s="5"/>
      <c r="E2285" s="5"/>
    </row>
    <row r="2286" spans="1:5" ht="15.75" x14ac:dyDescent="0.25">
      <c r="A2286" s="7"/>
      <c r="B2286" s="8"/>
      <c r="C2286" s="9"/>
      <c r="D2286" s="5"/>
      <c r="E2286" s="5"/>
    </row>
    <row r="2287" spans="1:5" ht="15.75" x14ac:dyDescent="0.25">
      <c r="A2287" s="7"/>
      <c r="B2287" s="8"/>
      <c r="C2287" s="9"/>
      <c r="D2287" s="5"/>
      <c r="E2287" s="5"/>
    </row>
    <row r="2288" spans="1:5" ht="15.75" x14ac:dyDescent="0.25">
      <c r="A2288" s="7"/>
      <c r="B2288" s="8"/>
      <c r="C2288" s="9"/>
      <c r="D2288" s="5"/>
      <c r="E2288" s="5"/>
    </row>
    <row r="2289" spans="1:5" ht="15.75" x14ac:dyDescent="0.25">
      <c r="A2289" s="7"/>
      <c r="B2289" s="8"/>
      <c r="C2289" s="9"/>
      <c r="D2289" s="5"/>
      <c r="E2289" s="5"/>
    </row>
    <row r="2290" spans="1:5" ht="15.75" x14ac:dyDescent="0.25">
      <c r="A2290" s="7"/>
      <c r="B2290" s="8"/>
      <c r="C2290" s="9"/>
      <c r="D2290" s="5"/>
      <c r="E2290" s="5"/>
    </row>
    <row r="2291" spans="1:5" ht="15.75" x14ac:dyDescent="0.25">
      <c r="A2291" s="7"/>
      <c r="B2291" s="8"/>
      <c r="C2291" s="9"/>
      <c r="D2291" s="5"/>
      <c r="E2291" s="5"/>
    </row>
    <row r="2292" spans="1:5" ht="15.75" x14ac:dyDescent="0.25">
      <c r="A2292" s="7"/>
      <c r="B2292" s="8"/>
      <c r="C2292" s="9"/>
      <c r="D2292" s="5"/>
      <c r="E2292" s="5"/>
    </row>
    <row r="2293" spans="1:5" ht="15.75" x14ac:dyDescent="0.25">
      <c r="A2293" s="7"/>
      <c r="B2293" s="8"/>
      <c r="C2293" s="9"/>
      <c r="D2293" s="5"/>
      <c r="E2293" s="5"/>
    </row>
    <row r="2294" spans="1:5" ht="15.75" x14ac:dyDescent="0.25">
      <c r="A2294" s="7"/>
      <c r="B2294" s="8"/>
      <c r="C2294" s="9"/>
      <c r="D2294" s="5"/>
      <c r="E2294" s="5"/>
    </row>
    <row r="2295" spans="1:5" ht="15.75" x14ac:dyDescent="0.25">
      <c r="A2295" s="7"/>
      <c r="B2295" s="8"/>
      <c r="C2295" s="9"/>
      <c r="D2295" s="5"/>
      <c r="E2295" s="5"/>
    </row>
    <row r="2296" spans="1:5" ht="15.75" x14ac:dyDescent="0.25">
      <c r="A2296" s="7"/>
      <c r="B2296" s="8"/>
      <c r="C2296" s="9"/>
      <c r="D2296" s="5"/>
      <c r="E2296" s="5"/>
    </row>
    <row r="2297" spans="1:5" ht="15.75" x14ac:dyDescent="0.25">
      <c r="A2297" s="7"/>
      <c r="B2297" s="8"/>
      <c r="C2297" s="9"/>
      <c r="D2297" s="5"/>
      <c r="E2297" s="5"/>
    </row>
    <row r="2298" spans="1:5" ht="15.75" x14ac:dyDescent="0.25">
      <c r="A2298" s="7"/>
      <c r="B2298" s="8"/>
      <c r="C2298" s="9"/>
      <c r="D2298" s="5"/>
      <c r="E2298" s="5"/>
    </row>
    <row r="2299" spans="1:5" ht="15.75" x14ac:dyDescent="0.25">
      <c r="A2299" s="7"/>
      <c r="B2299" s="8"/>
      <c r="C2299" s="9"/>
      <c r="D2299" s="5"/>
      <c r="E2299" s="5"/>
    </row>
    <row r="2300" spans="1:5" ht="15.75" x14ac:dyDescent="0.25">
      <c r="A2300" s="7"/>
      <c r="B2300" s="8"/>
      <c r="C2300" s="9"/>
      <c r="D2300" s="5"/>
      <c r="E2300" s="5"/>
    </row>
    <row r="2301" spans="1:5" ht="15.75" x14ac:dyDescent="0.25">
      <c r="A2301" s="7"/>
      <c r="B2301" s="8"/>
      <c r="C2301" s="9"/>
      <c r="D2301" s="5"/>
      <c r="E2301" s="5"/>
    </row>
    <row r="2302" spans="1:5" ht="15.75" x14ac:dyDescent="0.25">
      <c r="A2302" s="7"/>
      <c r="B2302" s="8"/>
      <c r="C2302" s="9"/>
      <c r="D2302" s="5"/>
      <c r="E2302" s="5"/>
    </row>
    <row r="2303" spans="1:5" ht="15.75" x14ac:dyDescent="0.25">
      <c r="A2303" s="7"/>
      <c r="B2303" s="8"/>
      <c r="C2303" s="9"/>
      <c r="D2303" s="5"/>
      <c r="E2303" s="5"/>
    </row>
    <row r="2304" spans="1:5" ht="15.75" x14ac:dyDescent="0.25">
      <c r="A2304" s="7"/>
      <c r="B2304" s="8"/>
      <c r="C2304" s="9"/>
      <c r="D2304" s="5"/>
      <c r="E2304" s="5"/>
    </row>
    <row r="2305" spans="1:5" ht="15.75" x14ac:dyDescent="0.25">
      <c r="A2305" s="7"/>
      <c r="B2305" s="8"/>
      <c r="C2305" s="9"/>
      <c r="D2305" s="5"/>
      <c r="E2305" s="5"/>
    </row>
    <row r="2306" spans="1:5" ht="15.75" x14ac:dyDescent="0.25">
      <c r="A2306" s="7"/>
      <c r="B2306" s="8"/>
      <c r="C2306" s="9"/>
      <c r="D2306" s="5"/>
      <c r="E2306" s="5"/>
    </row>
    <row r="2307" spans="1:5" ht="15.75" x14ac:dyDescent="0.25">
      <c r="A2307" s="7"/>
      <c r="B2307" s="8"/>
      <c r="C2307" s="9"/>
      <c r="D2307" s="5"/>
      <c r="E2307" s="5"/>
    </row>
    <row r="2308" spans="1:5" ht="15.75" x14ac:dyDescent="0.25">
      <c r="A2308" s="7"/>
      <c r="B2308" s="8"/>
      <c r="C2308" s="9"/>
      <c r="D2308" s="5"/>
      <c r="E2308" s="5"/>
    </row>
    <row r="2309" spans="1:5" ht="15.75" x14ac:dyDescent="0.25">
      <c r="A2309" s="7"/>
      <c r="B2309" s="8"/>
      <c r="C2309" s="9"/>
      <c r="D2309" s="5"/>
      <c r="E2309" s="5"/>
    </row>
    <row r="2310" spans="1:5" ht="15.75" x14ac:dyDescent="0.25">
      <c r="A2310" s="7"/>
      <c r="B2310" s="8"/>
      <c r="C2310" s="9"/>
      <c r="D2310" s="5"/>
      <c r="E2310" s="5"/>
    </row>
    <row r="2311" spans="1:5" ht="15.75" x14ac:dyDescent="0.25">
      <c r="A2311" s="7"/>
      <c r="B2311" s="8"/>
      <c r="C2311" s="9"/>
      <c r="D2311" s="5"/>
      <c r="E2311" s="5"/>
    </row>
    <row r="2312" spans="1:5" ht="15.75" x14ac:dyDescent="0.25">
      <c r="A2312" s="7"/>
      <c r="B2312" s="8"/>
      <c r="C2312" s="9"/>
      <c r="D2312" s="5"/>
      <c r="E2312" s="5"/>
    </row>
    <row r="2313" spans="1:5" ht="15.75" x14ac:dyDescent="0.25">
      <c r="A2313" s="7"/>
      <c r="B2313" s="8"/>
      <c r="C2313" s="9"/>
      <c r="D2313" s="5"/>
      <c r="E2313" s="5"/>
    </row>
    <row r="2314" spans="1:5" ht="15.75" x14ac:dyDescent="0.25">
      <c r="A2314" s="7"/>
      <c r="B2314" s="8"/>
      <c r="C2314" s="9"/>
      <c r="D2314" s="5"/>
      <c r="E2314" s="5"/>
    </row>
    <row r="2315" spans="1:5" ht="15.75" x14ac:dyDescent="0.25">
      <c r="A2315" s="7"/>
      <c r="B2315" s="8"/>
      <c r="C2315" s="9"/>
      <c r="D2315" s="5"/>
      <c r="E2315" s="5"/>
    </row>
    <row r="2316" spans="1:5" ht="15.75" x14ac:dyDescent="0.25">
      <c r="A2316" s="7"/>
      <c r="B2316" s="8"/>
      <c r="C2316" s="9"/>
      <c r="D2316" s="5"/>
      <c r="E2316" s="5"/>
    </row>
    <row r="2317" spans="1:5" ht="15.75" x14ac:dyDescent="0.25">
      <c r="A2317" s="7"/>
      <c r="B2317" s="8"/>
      <c r="C2317" s="9"/>
      <c r="D2317" s="5"/>
      <c r="E2317" s="5"/>
    </row>
    <row r="2318" spans="1:5" ht="15.75" x14ac:dyDescent="0.25">
      <c r="A2318" s="7"/>
      <c r="B2318" s="8"/>
      <c r="C2318" s="9"/>
      <c r="D2318" s="5"/>
      <c r="E2318" s="5"/>
    </row>
    <row r="2319" spans="1:5" ht="15.75" x14ac:dyDescent="0.25">
      <c r="A2319" s="7"/>
      <c r="B2319" s="8"/>
      <c r="C2319" s="9"/>
      <c r="D2319" s="5"/>
      <c r="E2319" s="5"/>
    </row>
    <row r="2320" spans="1:5" ht="15.75" x14ac:dyDescent="0.25">
      <c r="A2320" s="7"/>
      <c r="B2320" s="8"/>
      <c r="C2320" s="9"/>
      <c r="D2320" s="5"/>
      <c r="E2320" s="5"/>
    </row>
    <row r="2321" spans="1:5" ht="15.75" x14ac:dyDescent="0.25">
      <c r="A2321" s="7"/>
      <c r="B2321" s="8"/>
      <c r="C2321" s="9"/>
      <c r="D2321" s="5"/>
      <c r="E2321" s="5"/>
    </row>
    <row r="2322" spans="1:5" ht="15.75" x14ac:dyDescent="0.25">
      <c r="A2322" s="7"/>
      <c r="B2322" s="8"/>
      <c r="C2322" s="9"/>
      <c r="D2322" s="5"/>
      <c r="E2322" s="5"/>
    </row>
    <row r="2323" spans="1:5" ht="15.75" x14ac:dyDescent="0.25">
      <c r="A2323" s="7"/>
      <c r="B2323" s="8"/>
      <c r="C2323" s="9"/>
      <c r="D2323" s="5"/>
      <c r="E2323" s="5"/>
    </row>
    <row r="2324" spans="1:5" ht="15.75" x14ac:dyDescent="0.25">
      <c r="A2324" s="7"/>
      <c r="B2324" s="8"/>
      <c r="C2324" s="9"/>
      <c r="D2324" s="5"/>
      <c r="E2324" s="5"/>
    </row>
    <row r="2325" spans="1:5" ht="15.75" x14ac:dyDescent="0.25">
      <c r="A2325" s="7"/>
      <c r="B2325" s="8"/>
      <c r="C2325" s="9"/>
      <c r="D2325" s="5"/>
      <c r="E2325" s="5"/>
    </row>
    <row r="2326" spans="1:5" ht="15.75" x14ac:dyDescent="0.25">
      <c r="A2326" s="7"/>
      <c r="B2326" s="8"/>
      <c r="C2326" s="9"/>
      <c r="D2326" s="5"/>
      <c r="E2326" s="5"/>
    </row>
    <row r="2327" spans="1:5" ht="15.75" x14ac:dyDescent="0.25">
      <c r="A2327" s="7"/>
      <c r="B2327" s="8"/>
      <c r="C2327" s="9"/>
      <c r="D2327" s="5"/>
      <c r="E2327" s="5"/>
    </row>
    <row r="2328" spans="1:5" ht="15.75" x14ac:dyDescent="0.25">
      <c r="A2328" s="7"/>
      <c r="B2328" s="8"/>
      <c r="C2328" s="9"/>
      <c r="D2328" s="5"/>
      <c r="E2328" s="5"/>
    </row>
    <row r="2329" spans="1:5" ht="15.75" x14ac:dyDescent="0.25">
      <c r="A2329" s="7"/>
      <c r="B2329" s="8"/>
      <c r="C2329" s="9"/>
      <c r="D2329" s="5"/>
      <c r="E2329" s="5"/>
    </row>
    <row r="2330" spans="1:5" ht="15.75" x14ac:dyDescent="0.25">
      <c r="A2330" s="7"/>
      <c r="B2330" s="8"/>
      <c r="C2330" s="9"/>
      <c r="D2330" s="5"/>
      <c r="E2330" s="5"/>
    </row>
    <row r="2331" spans="1:5" ht="15.75" x14ac:dyDescent="0.25">
      <c r="A2331" s="7"/>
      <c r="B2331" s="8"/>
      <c r="C2331" s="9"/>
      <c r="D2331" s="5"/>
      <c r="E2331" s="5"/>
    </row>
    <row r="2332" spans="1:5" ht="15.75" x14ac:dyDescent="0.25">
      <c r="A2332" s="7"/>
      <c r="B2332" s="8"/>
      <c r="C2332" s="9"/>
      <c r="D2332" s="5"/>
      <c r="E2332" s="5"/>
    </row>
    <row r="2333" spans="1:5" ht="15.75" x14ac:dyDescent="0.25">
      <c r="A2333" s="7"/>
      <c r="B2333" s="8"/>
      <c r="C2333" s="9"/>
      <c r="D2333" s="5"/>
      <c r="E2333" s="5"/>
    </row>
    <row r="2334" spans="1:5" ht="15.75" x14ac:dyDescent="0.25">
      <c r="A2334" s="7"/>
      <c r="B2334" s="8"/>
      <c r="C2334" s="9"/>
      <c r="D2334" s="5"/>
      <c r="E2334" s="5"/>
    </row>
    <row r="2335" spans="1:5" ht="15.75" x14ac:dyDescent="0.25">
      <c r="A2335" s="7"/>
      <c r="B2335" s="8"/>
      <c r="C2335" s="9"/>
      <c r="D2335" s="5"/>
      <c r="E2335" s="5"/>
    </row>
    <row r="2336" spans="1:5" ht="15.75" x14ac:dyDescent="0.25">
      <c r="A2336" s="7"/>
      <c r="B2336" s="8"/>
      <c r="C2336" s="9"/>
      <c r="D2336" s="5"/>
      <c r="E2336" s="5"/>
    </row>
    <row r="2337" spans="1:5" ht="15.75" x14ac:dyDescent="0.25">
      <c r="A2337" s="7"/>
      <c r="B2337" s="8"/>
      <c r="C2337" s="9"/>
      <c r="D2337" s="5"/>
      <c r="E2337" s="5"/>
    </row>
    <row r="2338" spans="1:5" ht="15.75" x14ac:dyDescent="0.25">
      <c r="A2338" s="7"/>
      <c r="B2338" s="8"/>
      <c r="C2338" s="9"/>
      <c r="D2338" s="5"/>
      <c r="E2338" s="5"/>
    </row>
    <row r="2339" spans="1:5" ht="15.75" x14ac:dyDescent="0.25">
      <c r="A2339" s="7"/>
      <c r="B2339" s="8"/>
      <c r="C2339" s="9"/>
      <c r="D2339" s="5"/>
      <c r="E2339" s="5"/>
    </row>
    <row r="2340" spans="1:5" ht="15.75" x14ac:dyDescent="0.25">
      <c r="A2340" s="7"/>
      <c r="B2340" s="8"/>
      <c r="C2340" s="9"/>
      <c r="D2340" s="5"/>
      <c r="E2340" s="5"/>
    </row>
    <row r="2341" spans="1:5" ht="15.75" x14ac:dyDescent="0.25">
      <c r="A2341" s="7"/>
      <c r="B2341" s="8"/>
      <c r="C2341" s="9"/>
      <c r="D2341" s="5"/>
      <c r="E2341" s="5"/>
    </row>
    <row r="2342" spans="1:5" ht="15.75" x14ac:dyDescent="0.25">
      <c r="A2342" s="7"/>
      <c r="B2342" s="8"/>
      <c r="C2342" s="9"/>
      <c r="D2342" s="5"/>
      <c r="E2342" s="5"/>
    </row>
    <row r="2343" spans="1:5" ht="15.75" x14ac:dyDescent="0.25">
      <c r="A2343" s="7"/>
      <c r="B2343" s="8"/>
      <c r="C2343" s="9"/>
      <c r="D2343" s="5"/>
      <c r="E2343" s="5"/>
    </row>
    <row r="2344" spans="1:5" ht="15.75" x14ac:dyDescent="0.25">
      <c r="A2344" s="7"/>
      <c r="B2344" s="8"/>
      <c r="C2344" s="9"/>
      <c r="D2344" s="5"/>
      <c r="E2344" s="5"/>
    </row>
    <row r="2345" spans="1:5" ht="15.75" x14ac:dyDescent="0.25">
      <c r="A2345" s="7"/>
      <c r="B2345" s="8"/>
      <c r="C2345" s="9"/>
      <c r="D2345" s="5"/>
      <c r="E2345" s="5"/>
    </row>
    <row r="2346" spans="1:5" ht="15.75" x14ac:dyDescent="0.25">
      <c r="A2346" s="7"/>
      <c r="B2346" s="8"/>
      <c r="C2346" s="9"/>
      <c r="D2346" s="5"/>
      <c r="E2346" s="5"/>
    </row>
    <row r="2347" spans="1:5" ht="15.75" x14ac:dyDescent="0.25">
      <c r="A2347" s="7"/>
      <c r="B2347" s="8"/>
      <c r="C2347" s="9"/>
      <c r="D2347" s="5"/>
      <c r="E2347" s="5"/>
    </row>
    <row r="2348" spans="1:5" ht="15.75" x14ac:dyDescent="0.25">
      <c r="A2348" s="7"/>
      <c r="B2348" s="8"/>
      <c r="C2348" s="9"/>
      <c r="D2348" s="5"/>
      <c r="E2348" s="5"/>
    </row>
    <row r="2349" spans="1:5" ht="15.75" x14ac:dyDescent="0.25">
      <c r="A2349" s="7"/>
      <c r="B2349" s="8"/>
      <c r="C2349" s="9"/>
      <c r="D2349" s="5"/>
      <c r="E2349" s="5"/>
    </row>
    <row r="2350" spans="1:5" ht="15.75" x14ac:dyDescent="0.25">
      <c r="A2350" s="7"/>
      <c r="B2350" s="8"/>
      <c r="C2350" s="9"/>
      <c r="D2350" s="5"/>
      <c r="E2350" s="5"/>
    </row>
    <row r="2351" spans="1:5" ht="15.75" x14ac:dyDescent="0.25">
      <c r="A2351" s="7"/>
      <c r="B2351" s="8"/>
      <c r="C2351" s="9"/>
      <c r="D2351" s="5"/>
      <c r="E2351" s="5"/>
    </row>
    <row r="2352" spans="1:5" ht="15.75" x14ac:dyDescent="0.25">
      <c r="A2352" s="7"/>
      <c r="B2352" s="8"/>
      <c r="C2352" s="9"/>
      <c r="D2352" s="5"/>
      <c r="E2352" s="5"/>
    </row>
    <row r="2353" spans="1:5" ht="15.75" x14ac:dyDescent="0.25">
      <c r="A2353" s="7"/>
      <c r="B2353" s="8"/>
      <c r="C2353" s="9"/>
      <c r="D2353" s="5"/>
      <c r="E2353" s="5"/>
    </row>
    <row r="2354" spans="1:5" ht="15.75" x14ac:dyDescent="0.25">
      <c r="A2354" s="7"/>
      <c r="B2354" s="8"/>
      <c r="C2354" s="9"/>
      <c r="D2354" s="5"/>
      <c r="E2354" s="5"/>
    </row>
    <row r="2355" spans="1:5" ht="15.75" x14ac:dyDescent="0.25">
      <c r="A2355" s="7"/>
      <c r="B2355" s="8"/>
      <c r="C2355" s="9"/>
      <c r="D2355" s="5"/>
      <c r="E2355" s="5"/>
    </row>
    <row r="2356" spans="1:5" ht="15.75" x14ac:dyDescent="0.25">
      <c r="A2356" s="7"/>
      <c r="B2356" s="8"/>
      <c r="C2356" s="9"/>
      <c r="D2356" s="5"/>
      <c r="E2356" s="5"/>
    </row>
    <row r="2357" spans="1:5" ht="15.75" x14ac:dyDescent="0.25">
      <c r="A2357" s="7"/>
      <c r="B2357" s="8"/>
      <c r="C2357" s="9"/>
      <c r="D2357" s="5"/>
      <c r="E2357" s="5"/>
    </row>
    <row r="2358" spans="1:5" ht="15.75" x14ac:dyDescent="0.25">
      <c r="A2358" s="7"/>
      <c r="B2358" s="8"/>
      <c r="C2358" s="9"/>
      <c r="D2358" s="5"/>
      <c r="E2358" s="5"/>
    </row>
    <row r="2359" spans="1:5" ht="15.75" x14ac:dyDescent="0.25">
      <c r="A2359" s="7"/>
      <c r="B2359" s="8"/>
      <c r="C2359" s="9"/>
      <c r="D2359" s="5"/>
      <c r="E2359" s="5"/>
    </row>
    <row r="2360" spans="1:5" ht="15.75" x14ac:dyDescent="0.25">
      <c r="A2360" s="7"/>
      <c r="B2360" s="8"/>
      <c r="C2360" s="9"/>
      <c r="D2360" s="5"/>
      <c r="E2360" s="5"/>
    </row>
    <row r="2361" spans="1:5" ht="15.75" x14ac:dyDescent="0.25">
      <c r="A2361" s="7"/>
      <c r="B2361" s="8"/>
      <c r="C2361" s="9"/>
      <c r="D2361" s="5"/>
      <c r="E2361" s="5"/>
    </row>
    <row r="2362" spans="1:5" ht="15.75" x14ac:dyDescent="0.25">
      <c r="A2362" s="7"/>
      <c r="B2362" s="8"/>
      <c r="C2362" s="9"/>
      <c r="D2362" s="5"/>
      <c r="E2362" s="5"/>
    </row>
    <row r="2363" spans="1:5" ht="15.75" x14ac:dyDescent="0.25">
      <c r="A2363" s="7"/>
      <c r="B2363" s="8"/>
      <c r="C2363" s="9"/>
      <c r="D2363" s="5"/>
      <c r="E2363" s="5"/>
    </row>
    <row r="2364" spans="1:5" ht="15.75" x14ac:dyDescent="0.25">
      <c r="A2364" s="7"/>
      <c r="B2364" s="8"/>
      <c r="C2364" s="9"/>
      <c r="D2364" s="5"/>
      <c r="E2364" s="5"/>
    </row>
    <row r="2365" spans="1:5" ht="15.75" x14ac:dyDescent="0.25">
      <c r="A2365" s="7"/>
      <c r="B2365" s="8"/>
      <c r="C2365" s="9"/>
      <c r="D2365" s="5"/>
      <c r="E2365" s="5"/>
    </row>
    <row r="2366" spans="1:5" ht="15.75" x14ac:dyDescent="0.25">
      <c r="A2366" s="7"/>
      <c r="B2366" s="8"/>
      <c r="C2366" s="9"/>
      <c r="D2366" s="5"/>
      <c r="E2366" s="5"/>
    </row>
    <row r="2367" spans="1:5" ht="15.75" x14ac:dyDescent="0.25">
      <c r="A2367" s="7"/>
      <c r="B2367" s="8"/>
      <c r="C2367" s="9"/>
      <c r="D2367" s="5"/>
      <c r="E2367" s="5"/>
    </row>
    <row r="2368" spans="1:5" ht="15.75" x14ac:dyDescent="0.25">
      <c r="A2368" s="7"/>
      <c r="B2368" s="8"/>
      <c r="C2368" s="9"/>
      <c r="D2368" s="5"/>
      <c r="E2368" s="5"/>
    </row>
    <row r="2369" spans="1:5" ht="15.75" x14ac:dyDescent="0.25">
      <c r="A2369" s="7"/>
      <c r="B2369" s="8"/>
      <c r="C2369" s="9"/>
      <c r="D2369" s="5"/>
      <c r="E2369" s="5"/>
    </row>
    <row r="2370" spans="1:5" ht="15.75" x14ac:dyDescent="0.25">
      <c r="A2370" s="7"/>
      <c r="B2370" s="8"/>
      <c r="C2370" s="9"/>
      <c r="D2370" s="5"/>
      <c r="E2370" s="5"/>
    </row>
    <row r="2371" spans="1:5" ht="15.75" x14ac:dyDescent="0.25">
      <c r="A2371" s="7"/>
      <c r="B2371" s="8"/>
      <c r="C2371" s="9"/>
      <c r="D2371" s="5"/>
      <c r="E2371" s="5"/>
    </row>
    <row r="2372" spans="1:5" ht="15.75" x14ac:dyDescent="0.25">
      <c r="A2372" s="7"/>
      <c r="B2372" s="8"/>
      <c r="C2372" s="9"/>
      <c r="D2372" s="5"/>
      <c r="E2372" s="5"/>
    </row>
    <row r="2373" spans="1:5" ht="15.75" x14ac:dyDescent="0.25">
      <c r="A2373" s="7"/>
      <c r="B2373" s="8"/>
      <c r="C2373" s="9"/>
      <c r="D2373" s="5"/>
      <c r="E2373" s="5"/>
    </row>
    <row r="2374" spans="1:5" ht="15.75" x14ac:dyDescent="0.25">
      <c r="A2374" s="7"/>
      <c r="B2374" s="8"/>
      <c r="C2374" s="9"/>
      <c r="D2374" s="5"/>
      <c r="E2374" s="5"/>
    </row>
    <row r="2375" spans="1:5" ht="15.75" x14ac:dyDescent="0.25">
      <c r="A2375" s="7"/>
      <c r="B2375" s="8"/>
      <c r="C2375" s="9"/>
      <c r="D2375" s="5"/>
      <c r="E2375" s="5"/>
    </row>
    <row r="2376" spans="1:5" ht="15.75" x14ac:dyDescent="0.25">
      <c r="A2376" s="7"/>
      <c r="B2376" s="8"/>
      <c r="C2376" s="9"/>
      <c r="D2376" s="5"/>
      <c r="E2376" s="5"/>
    </row>
    <row r="2377" spans="1:5" ht="15.75" x14ac:dyDescent="0.25">
      <c r="A2377" s="7"/>
      <c r="B2377" s="8"/>
      <c r="C2377" s="9"/>
      <c r="D2377" s="5"/>
      <c r="E2377" s="5"/>
    </row>
    <row r="2378" spans="1:5" ht="15.75" x14ac:dyDescent="0.25">
      <c r="A2378" s="7"/>
      <c r="B2378" s="8"/>
      <c r="C2378" s="9"/>
      <c r="D2378" s="5"/>
      <c r="E2378" s="5"/>
    </row>
    <row r="2379" spans="1:5" ht="15.75" x14ac:dyDescent="0.25">
      <c r="A2379" s="7"/>
      <c r="B2379" s="8"/>
      <c r="C2379" s="9"/>
      <c r="D2379" s="5"/>
      <c r="E2379" s="5"/>
    </row>
    <row r="2380" spans="1:5" ht="15.75" x14ac:dyDescent="0.25">
      <c r="A2380" s="7"/>
      <c r="B2380" s="8"/>
      <c r="C2380" s="9"/>
      <c r="D2380" s="5"/>
      <c r="E2380" s="5"/>
    </row>
    <row r="2381" spans="1:5" ht="15.75" x14ac:dyDescent="0.25">
      <c r="A2381" s="7"/>
      <c r="B2381" s="8"/>
      <c r="C2381" s="9"/>
      <c r="D2381" s="5"/>
      <c r="E2381" s="5"/>
    </row>
    <row r="2382" spans="1:5" ht="15.75" x14ac:dyDescent="0.25">
      <c r="A2382" s="7"/>
      <c r="B2382" s="8"/>
      <c r="C2382" s="9"/>
      <c r="D2382" s="5"/>
      <c r="E2382" s="5"/>
    </row>
    <row r="2383" spans="1:5" ht="15.75" x14ac:dyDescent="0.25">
      <c r="A2383" s="7"/>
      <c r="B2383" s="8"/>
      <c r="C2383" s="9"/>
      <c r="D2383" s="5"/>
      <c r="E2383" s="5"/>
    </row>
    <row r="2384" spans="1:5" ht="15.75" x14ac:dyDescent="0.25">
      <c r="A2384" s="7"/>
      <c r="B2384" s="8"/>
      <c r="C2384" s="9"/>
      <c r="D2384" s="5"/>
      <c r="E2384" s="5"/>
    </row>
    <row r="2385" spans="1:5" ht="15.75" x14ac:dyDescent="0.25">
      <c r="A2385" s="7"/>
      <c r="B2385" s="8"/>
      <c r="C2385" s="9"/>
      <c r="D2385" s="5"/>
      <c r="E2385" s="5"/>
    </row>
    <row r="2386" spans="1:5" ht="15.75" x14ac:dyDescent="0.25">
      <c r="A2386" s="7"/>
      <c r="B2386" s="8"/>
      <c r="C2386" s="9"/>
      <c r="D2386" s="5"/>
      <c r="E2386" s="5"/>
    </row>
    <row r="2387" spans="1:5" ht="15.75" x14ac:dyDescent="0.25">
      <c r="A2387" s="7"/>
      <c r="B2387" s="8"/>
      <c r="C2387" s="9"/>
      <c r="D2387" s="5"/>
      <c r="E2387" s="5"/>
    </row>
    <row r="2388" spans="1:5" ht="15.75" x14ac:dyDescent="0.25">
      <c r="A2388" s="7"/>
      <c r="B2388" s="8"/>
      <c r="C2388" s="9"/>
      <c r="D2388" s="5"/>
      <c r="E2388" s="5"/>
    </row>
    <row r="2389" spans="1:5" ht="15.75" x14ac:dyDescent="0.25">
      <c r="A2389" s="7"/>
      <c r="B2389" s="8"/>
      <c r="C2389" s="9"/>
      <c r="D2389" s="5"/>
      <c r="E2389" s="5"/>
    </row>
    <row r="2390" spans="1:5" ht="15.75" x14ac:dyDescent="0.25">
      <c r="A2390" s="7"/>
      <c r="B2390" s="8"/>
      <c r="C2390" s="9"/>
      <c r="D2390" s="5"/>
      <c r="E2390" s="5"/>
    </row>
    <row r="2391" spans="1:5" ht="15.75" x14ac:dyDescent="0.25">
      <c r="A2391" s="7"/>
      <c r="B2391" s="8"/>
      <c r="C2391" s="9"/>
      <c r="D2391" s="5"/>
      <c r="E2391" s="5"/>
    </row>
    <row r="2392" spans="1:5" ht="15.75" x14ac:dyDescent="0.25">
      <c r="A2392" s="7"/>
      <c r="B2392" s="8"/>
      <c r="C2392" s="9"/>
      <c r="D2392" s="5"/>
      <c r="E2392" s="5"/>
    </row>
    <row r="2393" spans="1:5" ht="15.75" x14ac:dyDescent="0.25">
      <c r="A2393" s="7"/>
      <c r="B2393" s="8"/>
      <c r="C2393" s="9"/>
      <c r="D2393" s="5"/>
      <c r="E2393" s="5"/>
    </row>
    <row r="2394" spans="1:5" ht="15.75" x14ac:dyDescent="0.25">
      <c r="A2394" s="7"/>
      <c r="B2394" s="8"/>
      <c r="C2394" s="9"/>
      <c r="D2394" s="5"/>
      <c r="E2394" s="5"/>
    </row>
    <row r="2395" spans="1:5" ht="15.75" x14ac:dyDescent="0.25">
      <c r="A2395" s="7"/>
      <c r="B2395" s="8"/>
      <c r="C2395" s="9"/>
      <c r="D2395" s="5"/>
      <c r="E2395" s="5"/>
    </row>
    <row r="2396" spans="1:5" ht="15.75" x14ac:dyDescent="0.25">
      <c r="A2396" s="7"/>
      <c r="B2396" s="8"/>
      <c r="C2396" s="9"/>
      <c r="D2396" s="5"/>
      <c r="E2396" s="5"/>
    </row>
    <row r="2397" spans="1:5" ht="15.75" x14ac:dyDescent="0.25">
      <c r="A2397" s="7"/>
      <c r="B2397" s="8"/>
      <c r="C2397" s="9"/>
      <c r="D2397" s="5"/>
      <c r="E2397" s="5"/>
    </row>
    <row r="2398" spans="1:5" ht="15.75" x14ac:dyDescent="0.25">
      <c r="A2398" s="7"/>
      <c r="B2398" s="8"/>
      <c r="C2398" s="9"/>
      <c r="D2398" s="5"/>
      <c r="E2398" s="5"/>
    </row>
    <row r="2399" spans="1:5" ht="15.75" x14ac:dyDescent="0.25">
      <c r="A2399" s="7"/>
      <c r="B2399" s="8"/>
      <c r="C2399" s="9"/>
      <c r="D2399" s="5"/>
      <c r="E2399" s="5"/>
    </row>
    <row r="2400" spans="1:5" ht="15.75" x14ac:dyDescent="0.25">
      <c r="A2400" s="7"/>
      <c r="B2400" s="8"/>
      <c r="C2400" s="9"/>
      <c r="D2400" s="5"/>
      <c r="E2400" s="5"/>
    </row>
    <row r="2401" spans="1:5" ht="15.75" x14ac:dyDescent="0.25">
      <c r="A2401" s="7"/>
      <c r="B2401" s="8"/>
      <c r="C2401" s="9"/>
      <c r="D2401" s="5"/>
      <c r="E2401" s="5"/>
    </row>
    <row r="2402" spans="1:5" ht="15.75" x14ac:dyDescent="0.25">
      <c r="A2402" s="7"/>
      <c r="B2402" s="8"/>
      <c r="C2402" s="9"/>
      <c r="D2402" s="5"/>
      <c r="E2402" s="5"/>
    </row>
    <row r="2403" spans="1:5" ht="15.75" x14ac:dyDescent="0.25">
      <c r="A2403" s="7"/>
      <c r="B2403" s="8"/>
      <c r="C2403" s="9"/>
      <c r="D2403" s="5"/>
      <c r="E2403" s="5"/>
    </row>
    <row r="2404" spans="1:5" ht="15.75" x14ac:dyDescent="0.25">
      <c r="A2404" s="7"/>
      <c r="B2404" s="8"/>
      <c r="C2404" s="9"/>
      <c r="D2404" s="5"/>
      <c r="E2404" s="5"/>
    </row>
    <row r="2405" spans="1:5" ht="15.75" x14ac:dyDescent="0.25">
      <c r="A2405" s="7"/>
      <c r="B2405" s="8"/>
      <c r="C2405" s="9"/>
      <c r="D2405" s="5"/>
      <c r="E2405" s="5"/>
    </row>
    <row r="2406" spans="1:5" ht="15.75" x14ac:dyDescent="0.25">
      <c r="A2406" s="7"/>
      <c r="B2406" s="8"/>
      <c r="C2406" s="9"/>
      <c r="D2406" s="5"/>
      <c r="E2406" s="5"/>
    </row>
    <row r="2407" spans="1:5" ht="15.75" x14ac:dyDescent="0.25">
      <c r="A2407" s="7"/>
      <c r="B2407" s="8"/>
      <c r="C2407" s="9"/>
      <c r="D2407" s="5"/>
      <c r="E2407" s="5"/>
    </row>
    <row r="2408" spans="1:5" ht="15.75" x14ac:dyDescent="0.25">
      <c r="A2408" s="7"/>
      <c r="B2408" s="8"/>
      <c r="C2408" s="9"/>
      <c r="D2408" s="5"/>
      <c r="E2408" s="5"/>
    </row>
    <row r="2409" spans="1:5" ht="15.75" x14ac:dyDescent="0.25">
      <c r="A2409" s="7"/>
      <c r="B2409" s="8"/>
      <c r="C2409" s="9"/>
      <c r="D2409" s="5"/>
      <c r="E2409" s="5"/>
    </row>
    <row r="2410" spans="1:5" ht="15.75" x14ac:dyDescent="0.25">
      <c r="A2410" s="7"/>
      <c r="B2410" s="8"/>
      <c r="C2410" s="9"/>
      <c r="D2410" s="5"/>
      <c r="E2410" s="5"/>
    </row>
    <row r="2411" spans="1:5" ht="15.75" x14ac:dyDescent="0.25">
      <c r="A2411" s="7"/>
      <c r="B2411" s="8"/>
      <c r="C2411" s="9"/>
      <c r="D2411" s="5"/>
      <c r="E2411" s="5"/>
    </row>
    <row r="2412" spans="1:5" ht="15.75" x14ac:dyDescent="0.25">
      <c r="A2412" s="7"/>
      <c r="B2412" s="8"/>
      <c r="C2412" s="9"/>
      <c r="D2412" s="5"/>
      <c r="E2412" s="5"/>
    </row>
    <row r="2413" spans="1:5" ht="15.75" x14ac:dyDescent="0.25">
      <c r="A2413" s="7"/>
      <c r="B2413" s="8"/>
      <c r="C2413" s="9"/>
      <c r="D2413" s="5"/>
      <c r="E2413" s="5"/>
    </row>
    <row r="2414" spans="1:5" ht="15.75" x14ac:dyDescent="0.25">
      <c r="A2414" s="7"/>
      <c r="B2414" s="8"/>
      <c r="C2414" s="9"/>
      <c r="D2414" s="5"/>
      <c r="E2414" s="5"/>
    </row>
    <row r="2415" spans="1:5" ht="15.75" x14ac:dyDescent="0.25">
      <c r="A2415" s="7"/>
      <c r="B2415" s="8"/>
      <c r="C2415" s="9"/>
      <c r="D2415" s="5"/>
      <c r="E2415" s="5"/>
    </row>
    <row r="2416" spans="1:5" ht="15.75" x14ac:dyDescent="0.25">
      <c r="A2416" s="7"/>
      <c r="B2416" s="8"/>
      <c r="C2416" s="9"/>
      <c r="D2416" s="5"/>
      <c r="E2416" s="5"/>
    </row>
    <row r="2417" spans="1:5" ht="15.75" x14ac:dyDescent="0.25">
      <c r="A2417" s="7"/>
      <c r="B2417" s="8"/>
      <c r="C2417" s="9"/>
      <c r="D2417" s="5"/>
      <c r="E2417" s="5"/>
    </row>
    <row r="2418" spans="1:5" ht="15.75" x14ac:dyDescent="0.25">
      <c r="A2418" s="7"/>
      <c r="B2418" s="8"/>
      <c r="C2418" s="9"/>
      <c r="D2418" s="5"/>
      <c r="E2418" s="5"/>
    </row>
    <row r="2419" spans="1:5" ht="15.75" x14ac:dyDescent="0.25">
      <c r="A2419" s="7"/>
      <c r="B2419" s="8"/>
      <c r="C2419" s="9"/>
      <c r="D2419" s="5"/>
      <c r="E2419" s="5"/>
    </row>
    <row r="2420" spans="1:5" ht="15.75" x14ac:dyDescent="0.25">
      <c r="A2420" s="7"/>
      <c r="B2420" s="8"/>
      <c r="C2420" s="9"/>
      <c r="D2420" s="5"/>
      <c r="E2420" s="5"/>
    </row>
    <row r="2421" spans="1:5" ht="15.75" x14ac:dyDescent="0.25">
      <c r="A2421" s="7"/>
      <c r="B2421" s="8"/>
      <c r="C2421" s="9"/>
      <c r="D2421" s="5"/>
      <c r="E2421" s="5"/>
    </row>
    <row r="2422" spans="1:5" ht="15.75" x14ac:dyDescent="0.25">
      <c r="A2422" s="7"/>
      <c r="B2422" s="8"/>
      <c r="C2422" s="9"/>
      <c r="D2422" s="5"/>
      <c r="E2422" s="5"/>
    </row>
    <row r="2423" spans="1:5" ht="15.75" x14ac:dyDescent="0.25">
      <c r="A2423" s="7"/>
      <c r="B2423" s="8"/>
      <c r="C2423" s="9"/>
      <c r="D2423" s="5"/>
      <c r="E2423" s="5"/>
    </row>
    <row r="2424" spans="1:5" ht="15.75" x14ac:dyDescent="0.25">
      <c r="A2424" s="7"/>
      <c r="B2424" s="8"/>
      <c r="C2424" s="9"/>
      <c r="D2424" s="5"/>
      <c r="E2424" s="5"/>
    </row>
    <row r="2425" spans="1:5" ht="15.75" x14ac:dyDescent="0.25">
      <c r="A2425" s="7"/>
      <c r="B2425" s="8"/>
      <c r="C2425" s="9"/>
      <c r="D2425" s="5"/>
      <c r="E2425" s="5"/>
    </row>
    <row r="2426" spans="1:5" ht="15.75" x14ac:dyDescent="0.25">
      <c r="A2426" s="7"/>
      <c r="B2426" s="8"/>
      <c r="C2426" s="9"/>
      <c r="D2426" s="5"/>
      <c r="E2426" s="5"/>
    </row>
    <row r="2427" spans="1:5" ht="15.75" x14ac:dyDescent="0.25">
      <c r="A2427" s="7"/>
      <c r="B2427" s="8"/>
      <c r="C2427" s="9"/>
      <c r="D2427" s="5"/>
      <c r="E2427" s="5"/>
    </row>
    <row r="2428" spans="1:5" ht="15.75" x14ac:dyDescent="0.25">
      <c r="A2428" s="7"/>
      <c r="B2428" s="8"/>
      <c r="C2428" s="9"/>
      <c r="D2428" s="5"/>
      <c r="E2428" s="5"/>
    </row>
    <row r="2429" spans="1:5" ht="15.75" x14ac:dyDescent="0.25">
      <c r="A2429" s="7"/>
      <c r="B2429" s="8"/>
      <c r="C2429" s="9"/>
      <c r="D2429" s="5"/>
      <c r="E2429" s="5"/>
    </row>
    <row r="2430" spans="1:5" ht="15.75" x14ac:dyDescent="0.25">
      <c r="A2430" s="7"/>
      <c r="B2430" s="8"/>
      <c r="C2430" s="9"/>
      <c r="D2430" s="5"/>
      <c r="E2430" s="5"/>
    </row>
    <row r="2431" spans="1:5" ht="15.75" x14ac:dyDescent="0.25">
      <c r="A2431" s="7"/>
      <c r="B2431" s="8"/>
      <c r="C2431" s="9"/>
      <c r="D2431" s="5"/>
      <c r="E2431" s="5"/>
    </row>
    <row r="2432" spans="1:5" ht="15.75" x14ac:dyDescent="0.25">
      <c r="A2432" s="7"/>
      <c r="B2432" s="8"/>
      <c r="C2432" s="9"/>
      <c r="D2432" s="5"/>
      <c r="E2432" s="5"/>
    </row>
    <row r="2433" spans="1:5" ht="15.75" x14ac:dyDescent="0.25">
      <c r="A2433" s="7"/>
      <c r="B2433" s="8"/>
      <c r="C2433" s="9"/>
      <c r="D2433" s="5"/>
      <c r="E2433" s="5"/>
    </row>
    <row r="2434" spans="1:5" ht="15.75" x14ac:dyDescent="0.25">
      <c r="A2434" s="7"/>
      <c r="B2434" s="8"/>
      <c r="C2434" s="9"/>
      <c r="D2434" s="5"/>
      <c r="E2434" s="5"/>
    </row>
    <row r="2435" spans="1:5" ht="15.75" x14ac:dyDescent="0.25">
      <c r="A2435" s="7"/>
      <c r="B2435" s="8"/>
      <c r="C2435" s="9"/>
      <c r="D2435" s="5"/>
      <c r="E2435" s="5"/>
    </row>
    <row r="2436" spans="1:5" ht="15.75" x14ac:dyDescent="0.25">
      <c r="A2436" s="7"/>
      <c r="B2436" s="8"/>
      <c r="C2436" s="9"/>
      <c r="D2436" s="5"/>
      <c r="E2436" s="5"/>
    </row>
    <row r="2437" spans="1:5" ht="15.75" x14ac:dyDescent="0.25">
      <c r="A2437" s="7"/>
      <c r="B2437" s="8"/>
      <c r="C2437" s="9"/>
      <c r="D2437" s="5"/>
      <c r="E2437" s="5"/>
    </row>
    <row r="2438" spans="1:5" ht="15.75" x14ac:dyDescent="0.25">
      <c r="A2438" s="7"/>
      <c r="B2438" s="8"/>
      <c r="C2438" s="9"/>
      <c r="D2438" s="5"/>
      <c r="E2438" s="5"/>
    </row>
    <row r="2439" spans="1:5" ht="15.75" x14ac:dyDescent="0.25">
      <c r="A2439" s="7"/>
      <c r="B2439" s="8"/>
      <c r="C2439" s="9"/>
      <c r="D2439" s="5"/>
      <c r="E2439" s="5"/>
    </row>
    <row r="2440" spans="1:5" ht="15.75" x14ac:dyDescent="0.25">
      <c r="A2440" s="7"/>
      <c r="B2440" s="8"/>
      <c r="C2440" s="9"/>
      <c r="D2440" s="5"/>
      <c r="E2440" s="5"/>
    </row>
    <row r="2441" spans="1:5" ht="15.75" x14ac:dyDescent="0.25">
      <c r="A2441" s="7"/>
      <c r="B2441" s="8"/>
      <c r="C2441" s="9"/>
      <c r="D2441" s="5"/>
      <c r="E2441" s="5"/>
    </row>
    <row r="2442" spans="1:5" ht="15.75" x14ac:dyDescent="0.25">
      <c r="A2442" s="7"/>
      <c r="B2442" s="8"/>
      <c r="C2442" s="9"/>
      <c r="D2442" s="5"/>
      <c r="E2442" s="5"/>
    </row>
    <row r="2443" spans="1:5" ht="15.75" x14ac:dyDescent="0.25">
      <c r="A2443" s="7"/>
      <c r="B2443" s="8"/>
      <c r="C2443" s="9"/>
      <c r="D2443" s="5"/>
      <c r="E2443" s="5"/>
    </row>
    <row r="2444" spans="1:5" ht="15.75" x14ac:dyDescent="0.25">
      <c r="A2444" s="7"/>
      <c r="B2444" s="8"/>
      <c r="C2444" s="9"/>
      <c r="D2444" s="5"/>
      <c r="E2444" s="5"/>
    </row>
    <row r="2445" spans="1:5" ht="15.75" x14ac:dyDescent="0.25">
      <c r="A2445" s="7"/>
      <c r="B2445" s="8"/>
      <c r="C2445" s="9"/>
      <c r="D2445" s="5"/>
      <c r="E2445" s="5"/>
    </row>
    <row r="2446" spans="1:5" ht="15.75" x14ac:dyDescent="0.25">
      <c r="A2446" s="7"/>
      <c r="B2446" s="8"/>
      <c r="C2446" s="9"/>
      <c r="D2446" s="5"/>
      <c r="E2446" s="5"/>
    </row>
    <row r="2447" spans="1:5" ht="15.75" x14ac:dyDescent="0.25">
      <c r="A2447" s="7"/>
      <c r="B2447" s="8"/>
      <c r="C2447" s="9"/>
      <c r="D2447" s="5"/>
      <c r="E2447" s="5"/>
    </row>
    <row r="2448" spans="1:5" ht="15.75" x14ac:dyDescent="0.25">
      <c r="A2448" s="7"/>
      <c r="B2448" s="8"/>
      <c r="C2448" s="9"/>
      <c r="D2448" s="5"/>
      <c r="E2448" s="5"/>
    </row>
    <row r="2449" spans="1:5" ht="15.75" x14ac:dyDescent="0.25">
      <c r="A2449" s="7"/>
      <c r="B2449" s="8"/>
      <c r="C2449" s="9"/>
      <c r="D2449" s="5"/>
      <c r="E2449" s="5"/>
    </row>
    <row r="2450" spans="1:5" ht="15.75" x14ac:dyDescent="0.25">
      <c r="A2450" s="7"/>
      <c r="B2450" s="8"/>
      <c r="C2450" s="9"/>
      <c r="D2450" s="5"/>
      <c r="E2450" s="5"/>
    </row>
    <row r="2451" spans="1:5" ht="15.75" x14ac:dyDescent="0.25">
      <c r="A2451" s="7"/>
      <c r="B2451" s="8"/>
      <c r="C2451" s="9"/>
      <c r="D2451" s="5"/>
      <c r="E2451" s="5"/>
    </row>
    <row r="2452" spans="1:5" ht="15.75" x14ac:dyDescent="0.25">
      <c r="A2452" s="7"/>
      <c r="B2452" s="8"/>
      <c r="C2452" s="9"/>
      <c r="D2452" s="5"/>
      <c r="E2452" s="5"/>
    </row>
    <row r="2453" spans="1:5" ht="15.75" x14ac:dyDescent="0.25">
      <c r="A2453" s="7"/>
      <c r="B2453" s="8"/>
      <c r="C2453" s="9"/>
      <c r="D2453" s="5"/>
      <c r="E2453" s="5"/>
    </row>
    <row r="2454" spans="1:5" ht="15.75" x14ac:dyDescent="0.25">
      <c r="A2454" s="7"/>
      <c r="B2454" s="8"/>
      <c r="C2454" s="9"/>
      <c r="D2454" s="5"/>
      <c r="E2454" s="5"/>
    </row>
    <row r="2455" spans="1:5" ht="15.75" x14ac:dyDescent="0.25">
      <c r="A2455" s="7"/>
      <c r="B2455" s="8"/>
      <c r="C2455" s="9"/>
      <c r="D2455" s="5"/>
      <c r="E2455" s="5"/>
    </row>
    <row r="2456" spans="1:5" ht="15.75" x14ac:dyDescent="0.25">
      <c r="A2456" s="7"/>
      <c r="B2456" s="8"/>
      <c r="C2456" s="9"/>
      <c r="D2456" s="5"/>
      <c r="E2456" s="5"/>
    </row>
    <row r="2457" spans="1:5" ht="15.75" x14ac:dyDescent="0.25">
      <c r="A2457" s="7"/>
      <c r="B2457" s="8"/>
      <c r="C2457" s="9"/>
      <c r="D2457" s="5"/>
      <c r="E2457" s="5"/>
    </row>
    <row r="2458" spans="1:5" ht="15.75" x14ac:dyDescent="0.25">
      <c r="A2458" s="7"/>
      <c r="B2458" s="8"/>
      <c r="C2458" s="9"/>
      <c r="D2458" s="5"/>
      <c r="E2458" s="5"/>
    </row>
    <row r="2459" spans="1:5" ht="15.75" x14ac:dyDescent="0.25">
      <c r="A2459" s="7"/>
      <c r="B2459" s="8"/>
      <c r="C2459" s="9"/>
      <c r="D2459" s="5"/>
      <c r="E2459" s="5"/>
    </row>
    <row r="2460" spans="1:5" ht="15.75" x14ac:dyDescent="0.25">
      <c r="A2460" s="7"/>
      <c r="B2460" s="8"/>
      <c r="C2460" s="9"/>
      <c r="D2460" s="5"/>
      <c r="E2460" s="5"/>
    </row>
    <row r="2461" spans="1:5" ht="15.75" x14ac:dyDescent="0.25">
      <c r="A2461" s="7"/>
      <c r="B2461" s="8"/>
      <c r="C2461" s="9"/>
      <c r="D2461" s="5"/>
      <c r="E2461" s="5"/>
    </row>
    <row r="2462" spans="1:5" ht="15.75" x14ac:dyDescent="0.25">
      <c r="A2462" s="7"/>
      <c r="B2462" s="8"/>
      <c r="C2462" s="9"/>
      <c r="D2462" s="5"/>
      <c r="E2462" s="5"/>
    </row>
    <row r="2463" spans="1:5" ht="15.75" x14ac:dyDescent="0.25">
      <c r="A2463" s="7"/>
      <c r="B2463" s="8"/>
      <c r="C2463" s="9"/>
      <c r="D2463" s="5"/>
      <c r="E2463" s="5"/>
    </row>
    <row r="2464" spans="1:5" ht="15.75" x14ac:dyDescent="0.25">
      <c r="A2464" s="7"/>
      <c r="B2464" s="8"/>
      <c r="C2464" s="9"/>
      <c r="D2464" s="5"/>
      <c r="E2464" s="5"/>
    </row>
    <row r="2465" spans="1:5" ht="15.75" x14ac:dyDescent="0.25">
      <c r="A2465" s="7"/>
      <c r="B2465" s="8"/>
      <c r="C2465" s="9"/>
      <c r="D2465" s="5"/>
      <c r="E2465" s="5"/>
    </row>
    <row r="2466" spans="1:5" ht="15.75" x14ac:dyDescent="0.25">
      <c r="A2466" s="7"/>
      <c r="B2466" s="8"/>
      <c r="C2466" s="9"/>
      <c r="D2466" s="5"/>
      <c r="E2466" s="5"/>
    </row>
    <row r="2467" spans="1:5" ht="15.75" x14ac:dyDescent="0.25">
      <c r="A2467" s="7"/>
      <c r="B2467" s="8"/>
      <c r="C2467" s="9"/>
      <c r="D2467" s="5"/>
      <c r="E2467" s="5"/>
    </row>
    <row r="2468" spans="1:5" ht="15.75" x14ac:dyDescent="0.25">
      <c r="A2468" s="7"/>
      <c r="B2468" s="8"/>
      <c r="C2468" s="9"/>
      <c r="D2468" s="5"/>
      <c r="E2468" s="5"/>
    </row>
    <row r="2469" spans="1:5" ht="15.75" x14ac:dyDescent="0.25">
      <c r="A2469" s="7"/>
      <c r="B2469" s="8"/>
      <c r="C2469" s="9"/>
      <c r="D2469" s="5"/>
      <c r="E2469" s="5"/>
    </row>
    <row r="2470" spans="1:5" ht="15.75" x14ac:dyDescent="0.25">
      <c r="A2470" s="7"/>
      <c r="B2470" s="8"/>
      <c r="C2470" s="9"/>
      <c r="D2470" s="5"/>
      <c r="E2470" s="5"/>
    </row>
    <row r="2471" spans="1:5" ht="15.75" x14ac:dyDescent="0.25">
      <c r="A2471" s="7"/>
      <c r="B2471" s="8"/>
      <c r="C2471" s="9"/>
      <c r="D2471" s="5"/>
      <c r="E2471" s="5"/>
    </row>
    <row r="2472" spans="1:5" ht="15.75" x14ac:dyDescent="0.25">
      <c r="A2472" s="7"/>
      <c r="B2472" s="8"/>
      <c r="C2472" s="9"/>
      <c r="D2472" s="5"/>
      <c r="E2472" s="5"/>
    </row>
    <row r="2473" spans="1:5" ht="15.75" x14ac:dyDescent="0.25">
      <c r="A2473" s="7"/>
      <c r="B2473" s="8"/>
      <c r="C2473" s="9"/>
      <c r="D2473" s="5"/>
      <c r="E2473" s="5"/>
    </row>
    <row r="2474" spans="1:5" ht="15.75" x14ac:dyDescent="0.25">
      <c r="A2474" s="7"/>
      <c r="B2474" s="8"/>
      <c r="C2474" s="9"/>
      <c r="D2474" s="5"/>
      <c r="E2474" s="5"/>
    </row>
    <row r="2475" spans="1:5" ht="15.75" x14ac:dyDescent="0.25">
      <c r="A2475" s="7"/>
      <c r="B2475" s="8"/>
      <c r="C2475" s="9"/>
      <c r="D2475" s="5"/>
      <c r="E2475" s="5"/>
    </row>
    <row r="2476" spans="1:5" ht="15.75" x14ac:dyDescent="0.25">
      <c r="A2476" s="7"/>
      <c r="B2476" s="8"/>
      <c r="C2476" s="9"/>
      <c r="D2476" s="5"/>
      <c r="E2476" s="5"/>
    </row>
    <row r="2477" spans="1:5" ht="15.75" x14ac:dyDescent="0.25">
      <c r="A2477" s="7"/>
      <c r="B2477" s="8"/>
      <c r="C2477" s="9"/>
      <c r="D2477" s="5"/>
      <c r="E2477" s="5"/>
    </row>
    <row r="2478" spans="1:5" ht="15.75" x14ac:dyDescent="0.25">
      <c r="A2478" s="7"/>
      <c r="B2478" s="8"/>
      <c r="C2478" s="9"/>
      <c r="D2478" s="5"/>
      <c r="E2478" s="5"/>
    </row>
    <row r="2479" spans="1:5" ht="15.75" x14ac:dyDescent="0.25">
      <c r="A2479" s="7"/>
      <c r="B2479" s="8"/>
      <c r="C2479" s="9"/>
      <c r="D2479" s="5"/>
      <c r="E2479" s="5"/>
    </row>
    <row r="2480" spans="1:5" ht="15.75" x14ac:dyDescent="0.25">
      <c r="A2480" s="7"/>
      <c r="B2480" s="8"/>
      <c r="C2480" s="9"/>
      <c r="D2480" s="5"/>
      <c r="E2480" s="5"/>
    </row>
    <row r="2481" spans="1:5" ht="15.75" x14ac:dyDescent="0.25">
      <c r="A2481" s="7"/>
      <c r="B2481" s="8"/>
      <c r="C2481" s="9"/>
      <c r="D2481" s="5"/>
      <c r="E2481" s="5"/>
    </row>
    <row r="2482" spans="1:5" ht="15.75" x14ac:dyDescent="0.25">
      <c r="A2482" s="7"/>
      <c r="B2482" s="8"/>
      <c r="C2482" s="9"/>
      <c r="D2482" s="5"/>
      <c r="E2482" s="5"/>
    </row>
    <row r="2483" spans="1:5" ht="15.75" x14ac:dyDescent="0.25">
      <c r="A2483" s="7"/>
      <c r="B2483" s="8"/>
      <c r="C2483" s="9"/>
      <c r="D2483" s="5"/>
      <c r="E2483" s="5"/>
    </row>
    <row r="2484" spans="1:5" ht="15.75" x14ac:dyDescent="0.25">
      <c r="A2484" s="7"/>
      <c r="B2484" s="8"/>
      <c r="C2484" s="9"/>
      <c r="D2484" s="5"/>
      <c r="E2484" s="5"/>
    </row>
    <row r="2485" spans="1:5" ht="15.75" x14ac:dyDescent="0.25">
      <c r="A2485" s="7"/>
      <c r="B2485" s="8"/>
      <c r="C2485" s="9"/>
      <c r="D2485" s="5"/>
      <c r="E2485" s="5"/>
    </row>
    <row r="2486" spans="1:5" ht="15.75" x14ac:dyDescent="0.25">
      <c r="A2486" s="7"/>
      <c r="B2486" s="8"/>
      <c r="C2486" s="9"/>
      <c r="D2486" s="5"/>
      <c r="E2486" s="5"/>
    </row>
    <row r="2487" spans="1:5" ht="15.75" x14ac:dyDescent="0.25">
      <c r="A2487" s="7"/>
      <c r="B2487" s="8"/>
      <c r="C2487" s="9"/>
      <c r="D2487" s="5"/>
      <c r="E2487" s="5"/>
    </row>
    <row r="2488" spans="1:5" ht="15.75" x14ac:dyDescent="0.25">
      <c r="A2488" s="7"/>
      <c r="B2488" s="8"/>
      <c r="C2488" s="9"/>
      <c r="D2488" s="5"/>
      <c r="E2488" s="5"/>
    </row>
    <row r="2489" spans="1:5" ht="15.75" x14ac:dyDescent="0.25">
      <c r="A2489" s="7"/>
      <c r="B2489" s="8"/>
      <c r="C2489" s="9"/>
      <c r="D2489" s="5"/>
      <c r="E2489" s="5"/>
    </row>
    <row r="2490" spans="1:5" ht="15.75" x14ac:dyDescent="0.25">
      <c r="A2490" s="7"/>
      <c r="B2490" s="8"/>
      <c r="C2490" s="9"/>
      <c r="D2490" s="5"/>
      <c r="E2490" s="5"/>
    </row>
    <row r="2491" spans="1:5" ht="15.75" x14ac:dyDescent="0.25">
      <c r="A2491" s="7"/>
      <c r="B2491" s="8"/>
      <c r="C2491" s="9"/>
      <c r="D2491" s="5"/>
      <c r="E2491" s="5"/>
    </row>
    <row r="2492" spans="1:5" ht="15.75" x14ac:dyDescent="0.25">
      <c r="A2492" s="7"/>
      <c r="B2492" s="8"/>
      <c r="C2492" s="9"/>
      <c r="D2492" s="5"/>
      <c r="E2492" s="5"/>
    </row>
    <row r="2493" spans="1:5" ht="15.75" x14ac:dyDescent="0.25">
      <c r="A2493" s="7"/>
      <c r="B2493" s="8"/>
      <c r="C2493" s="9"/>
      <c r="D2493" s="5"/>
      <c r="E2493" s="5"/>
    </row>
    <row r="2494" spans="1:5" ht="15.75" x14ac:dyDescent="0.25">
      <c r="A2494" s="7"/>
      <c r="B2494" s="8"/>
      <c r="C2494" s="9"/>
      <c r="D2494" s="5"/>
      <c r="E2494" s="5"/>
    </row>
    <row r="2495" spans="1:5" ht="15.75" x14ac:dyDescent="0.25">
      <c r="A2495" s="7"/>
      <c r="B2495" s="8"/>
      <c r="C2495" s="9"/>
      <c r="D2495" s="5"/>
      <c r="E2495" s="5"/>
    </row>
    <row r="2496" spans="1:5" ht="15.75" x14ac:dyDescent="0.25">
      <c r="A2496" s="7"/>
      <c r="B2496" s="8"/>
      <c r="C2496" s="9"/>
      <c r="D2496" s="5"/>
      <c r="E2496" s="5"/>
    </row>
    <row r="2497" spans="1:5" ht="15.75" x14ac:dyDescent="0.25">
      <c r="A2497" s="7"/>
      <c r="B2497" s="8"/>
      <c r="C2497" s="9"/>
      <c r="D2497" s="5"/>
      <c r="E2497" s="5"/>
    </row>
    <row r="2498" spans="1:5" ht="15.75" x14ac:dyDescent="0.25">
      <c r="A2498" s="7"/>
      <c r="B2498" s="8"/>
      <c r="C2498" s="9"/>
      <c r="D2498" s="5"/>
      <c r="E2498" s="5"/>
    </row>
    <row r="2499" spans="1:5" ht="15.75" x14ac:dyDescent="0.25">
      <c r="A2499" s="7"/>
      <c r="B2499" s="8"/>
      <c r="C2499" s="9"/>
      <c r="D2499" s="5"/>
      <c r="E2499" s="5"/>
    </row>
    <row r="2500" spans="1:5" ht="15.75" x14ac:dyDescent="0.25">
      <c r="A2500" s="7"/>
      <c r="B2500" s="8"/>
      <c r="C2500" s="9"/>
      <c r="D2500" s="5"/>
      <c r="E2500" s="5"/>
    </row>
    <row r="2501" spans="1:5" ht="15.75" x14ac:dyDescent="0.25">
      <c r="A2501" s="7"/>
      <c r="B2501" s="8"/>
      <c r="C2501" s="9"/>
      <c r="D2501" s="5"/>
      <c r="E2501" s="5"/>
    </row>
    <row r="2502" spans="1:5" ht="15.75" x14ac:dyDescent="0.25">
      <c r="A2502" s="7"/>
      <c r="B2502" s="8"/>
      <c r="C2502" s="9"/>
      <c r="D2502" s="5"/>
      <c r="E2502" s="5"/>
    </row>
    <row r="2503" spans="1:5" ht="15.75" x14ac:dyDescent="0.25">
      <c r="A2503" s="7"/>
      <c r="B2503" s="8"/>
      <c r="C2503" s="9"/>
      <c r="D2503" s="5"/>
      <c r="E2503" s="5"/>
    </row>
    <row r="2504" spans="1:5" ht="15.75" x14ac:dyDescent="0.25">
      <c r="A2504" s="7"/>
      <c r="B2504" s="8"/>
      <c r="C2504" s="9"/>
      <c r="D2504" s="5"/>
      <c r="E2504" s="5"/>
    </row>
    <row r="2505" spans="1:5" ht="15.75" x14ac:dyDescent="0.25">
      <c r="A2505" s="7"/>
      <c r="B2505" s="8"/>
      <c r="C2505" s="9"/>
      <c r="D2505" s="5"/>
      <c r="E2505" s="5"/>
    </row>
    <row r="2506" spans="1:5" ht="15.75" x14ac:dyDescent="0.25">
      <c r="A2506" s="7"/>
      <c r="B2506" s="8"/>
      <c r="C2506" s="9"/>
      <c r="D2506" s="5"/>
      <c r="E2506" s="5"/>
    </row>
    <row r="2507" spans="1:5" ht="15.75" x14ac:dyDescent="0.25">
      <c r="A2507" s="7"/>
      <c r="B2507" s="8"/>
      <c r="C2507" s="9"/>
      <c r="D2507" s="5"/>
      <c r="E2507" s="5"/>
    </row>
    <row r="2508" spans="1:5" ht="15.75" x14ac:dyDescent="0.25">
      <c r="A2508" s="7"/>
      <c r="B2508" s="8"/>
      <c r="C2508" s="9"/>
      <c r="D2508" s="5"/>
      <c r="E2508" s="5"/>
    </row>
    <row r="2509" spans="1:5" ht="15.75" x14ac:dyDescent="0.25">
      <c r="A2509" s="7"/>
      <c r="B2509" s="8"/>
      <c r="C2509" s="9"/>
      <c r="D2509" s="5"/>
      <c r="E2509" s="5"/>
    </row>
    <row r="2510" spans="1:5" ht="15.75" x14ac:dyDescent="0.25">
      <c r="A2510" s="7"/>
      <c r="B2510" s="8"/>
      <c r="C2510" s="9"/>
      <c r="D2510" s="5"/>
      <c r="E2510" s="5"/>
    </row>
    <row r="2511" spans="1:5" ht="15.75" x14ac:dyDescent="0.25">
      <c r="A2511" s="7"/>
      <c r="B2511" s="8"/>
      <c r="C2511" s="9"/>
      <c r="D2511" s="5"/>
      <c r="E2511" s="5"/>
    </row>
    <row r="2512" spans="1:5" ht="15.75" x14ac:dyDescent="0.25">
      <c r="A2512" s="7"/>
      <c r="B2512" s="8"/>
      <c r="C2512" s="9"/>
      <c r="D2512" s="5"/>
      <c r="E2512" s="5"/>
    </row>
    <row r="2513" spans="1:5" ht="15.75" x14ac:dyDescent="0.25">
      <c r="A2513" s="7"/>
      <c r="B2513" s="8"/>
      <c r="C2513" s="9"/>
      <c r="D2513" s="5"/>
      <c r="E2513" s="5"/>
    </row>
    <row r="2514" spans="1:5" ht="15.75" x14ac:dyDescent="0.25">
      <c r="A2514" s="7"/>
      <c r="B2514" s="8"/>
      <c r="C2514" s="9"/>
      <c r="D2514" s="5"/>
      <c r="E2514" s="5"/>
    </row>
    <row r="2515" spans="1:5" ht="15.75" x14ac:dyDescent="0.25">
      <c r="A2515" s="7"/>
      <c r="B2515" s="8"/>
      <c r="C2515" s="9"/>
      <c r="D2515" s="5"/>
      <c r="E2515" s="5"/>
    </row>
    <row r="2516" spans="1:5" ht="15.75" x14ac:dyDescent="0.25">
      <c r="A2516" s="7"/>
      <c r="B2516" s="8"/>
      <c r="C2516" s="9"/>
      <c r="D2516" s="5"/>
      <c r="E2516" s="5"/>
    </row>
    <row r="2517" spans="1:5" ht="15.75" x14ac:dyDescent="0.25">
      <c r="A2517" s="7"/>
      <c r="B2517" s="8"/>
      <c r="C2517" s="9"/>
      <c r="D2517" s="5"/>
      <c r="E2517" s="5"/>
    </row>
    <row r="2518" spans="1:5" ht="15.75" x14ac:dyDescent="0.25">
      <c r="A2518" s="7"/>
      <c r="B2518" s="8"/>
      <c r="C2518" s="9"/>
      <c r="D2518" s="5"/>
      <c r="E2518" s="5"/>
    </row>
    <row r="2519" spans="1:5" ht="15.75" x14ac:dyDescent="0.25">
      <c r="A2519" s="7"/>
      <c r="B2519" s="8"/>
      <c r="C2519" s="9"/>
      <c r="D2519" s="5"/>
      <c r="E2519" s="5"/>
    </row>
    <row r="2520" spans="1:5" ht="15.75" x14ac:dyDescent="0.25">
      <c r="A2520" s="7"/>
      <c r="B2520" s="8"/>
      <c r="C2520" s="9"/>
      <c r="D2520" s="5"/>
      <c r="E2520" s="5"/>
    </row>
    <row r="2521" spans="1:5" ht="15.75" x14ac:dyDescent="0.25">
      <c r="A2521" s="7"/>
      <c r="B2521" s="8"/>
      <c r="C2521" s="9"/>
      <c r="D2521" s="5"/>
      <c r="E2521" s="5"/>
    </row>
    <row r="2522" spans="1:5" ht="15.75" x14ac:dyDescent="0.25">
      <c r="A2522" s="7"/>
      <c r="B2522" s="8"/>
      <c r="C2522" s="9"/>
      <c r="D2522" s="5"/>
      <c r="E2522" s="5"/>
    </row>
    <row r="2523" spans="1:5" ht="15.75" x14ac:dyDescent="0.25">
      <c r="A2523" s="7"/>
      <c r="B2523" s="8"/>
      <c r="C2523" s="9"/>
      <c r="D2523" s="5"/>
      <c r="E2523" s="5"/>
    </row>
    <row r="2524" spans="1:5" ht="15.75" x14ac:dyDescent="0.25">
      <c r="A2524" s="7"/>
      <c r="B2524" s="8"/>
      <c r="C2524" s="9"/>
      <c r="D2524" s="5"/>
      <c r="E2524" s="5"/>
    </row>
    <row r="2525" spans="1:5" ht="15.75" x14ac:dyDescent="0.25">
      <c r="A2525" s="7"/>
      <c r="B2525" s="8"/>
      <c r="C2525" s="9"/>
      <c r="D2525" s="5"/>
      <c r="E2525" s="5"/>
    </row>
    <row r="2526" spans="1:5" ht="15.75" x14ac:dyDescent="0.25">
      <c r="A2526" s="7"/>
      <c r="B2526" s="8"/>
      <c r="C2526" s="9"/>
      <c r="D2526" s="5"/>
      <c r="E2526" s="5"/>
    </row>
    <row r="2527" spans="1:5" ht="15.75" x14ac:dyDescent="0.25">
      <c r="A2527" s="7"/>
      <c r="B2527" s="8"/>
      <c r="C2527" s="9"/>
      <c r="D2527" s="5"/>
      <c r="E2527" s="5"/>
    </row>
    <row r="2528" spans="1:5" ht="15.75" x14ac:dyDescent="0.25">
      <c r="A2528" s="7"/>
      <c r="B2528" s="8"/>
      <c r="C2528" s="9"/>
      <c r="D2528" s="5"/>
      <c r="E2528" s="5"/>
    </row>
    <row r="2529" spans="1:5" ht="15.75" x14ac:dyDescent="0.25">
      <c r="A2529" s="7"/>
      <c r="B2529" s="8"/>
      <c r="C2529" s="9"/>
      <c r="D2529" s="5"/>
      <c r="E2529" s="5"/>
    </row>
    <row r="2530" spans="1:5" ht="15.75" x14ac:dyDescent="0.25">
      <c r="A2530" s="7"/>
      <c r="B2530" s="8"/>
      <c r="C2530" s="9"/>
      <c r="D2530" s="5"/>
      <c r="E2530" s="5"/>
    </row>
    <row r="2531" spans="1:5" ht="15.75" x14ac:dyDescent="0.25">
      <c r="A2531" s="7"/>
      <c r="B2531" s="8"/>
      <c r="C2531" s="9"/>
      <c r="D2531" s="5"/>
      <c r="E2531" s="5"/>
    </row>
    <row r="2532" spans="1:5" ht="15.75" x14ac:dyDescent="0.25">
      <c r="A2532" s="7"/>
      <c r="B2532" s="8"/>
      <c r="C2532" s="9"/>
      <c r="D2532" s="5"/>
      <c r="E2532" s="5"/>
    </row>
    <row r="2533" spans="1:5" ht="15.75" x14ac:dyDescent="0.25">
      <c r="A2533" s="7"/>
      <c r="B2533" s="8"/>
      <c r="C2533" s="9"/>
      <c r="D2533" s="5"/>
      <c r="E2533" s="5"/>
    </row>
    <row r="2534" spans="1:5" ht="15.75" x14ac:dyDescent="0.25">
      <c r="A2534" s="7"/>
      <c r="B2534" s="8"/>
      <c r="C2534" s="9"/>
      <c r="D2534" s="5"/>
      <c r="E2534" s="5"/>
    </row>
    <row r="2535" spans="1:5" ht="15.75" x14ac:dyDescent="0.25">
      <c r="A2535" s="7"/>
      <c r="B2535" s="8"/>
      <c r="C2535" s="9"/>
      <c r="D2535" s="5"/>
      <c r="E2535" s="5"/>
    </row>
    <row r="2536" spans="1:5" ht="15.75" x14ac:dyDescent="0.25">
      <c r="A2536" s="7"/>
      <c r="B2536" s="8"/>
      <c r="C2536" s="9"/>
      <c r="D2536" s="5"/>
      <c r="E2536" s="5"/>
    </row>
    <row r="2537" spans="1:5" ht="15.75" x14ac:dyDescent="0.25">
      <c r="A2537" s="7"/>
      <c r="B2537" s="8"/>
      <c r="C2537" s="9"/>
      <c r="D2537" s="5"/>
      <c r="E2537" s="5"/>
    </row>
    <row r="2538" spans="1:5" ht="15.75" x14ac:dyDescent="0.25">
      <c r="A2538" s="7"/>
      <c r="B2538" s="8"/>
      <c r="C2538" s="9"/>
      <c r="D2538" s="5"/>
      <c r="E2538" s="5"/>
    </row>
    <row r="2539" spans="1:5" ht="15.75" x14ac:dyDescent="0.25">
      <c r="A2539" s="7"/>
      <c r="B2539" s="8"/>
      <c r="C2539" s="9"/>
      <c r="D2539" s="5"/>
      <c r="E2539" s="5"/>
    </row>
    <row r="2540" spans="1:5" ht="15.75" x14ac:dyDescent="0.25">
      <c r="A2540" s="7"/>
      <c r="B2540" s="8"/>
      <c r="C2540" s="9"/>
      <c r="D2540" s="5"/>
      <c r="E2540" s="5"/>
    </row>
    <row r="2541" spans="1:5" ht="15.75" x14ac:dyDescent="0.25">
      <c r="A2541" s="7"/>
      <c r="B2541" s="8"/>
      <c r="C2541" s="9"/>
      <c r="D2541" s="5"/>
      <c r="E2541" s="5"/>
    </row>
    <row r="2542" spans="1:5" ht="15.75" x14ac:dyDescent="0.25">
      <c r="A2542" s="7"/>
      <c r="B2542" s="8"/>
      <c r="C2542" s="9"/>
      <c r="D2542" s="5"/>
      <c r="E2542" s="5"/>
    </row>
    <row r="2543" spans="1:5" ht="15.75" x14ac:dyDescent="0.25">
      <c r="A2543" s="7"/>
      <c r="B2543" s="8"/>
      <c r="C2543" s="9"/>
      <c r="D2543" s="5"/>
      <c r="E2543" s="5"/>
    </row>
    <row r="2544" spans="1:5" ht="15.75" x14ac:dyDescent="0.25">
      <c r="A2544" s="7"/>
      <c r="B2544" s="8"/>
      <c r="C2544" s="9"/>
      <c r="D2544" s="5"/>
      <c r="E2544" s="5"/>
    </row>
    <row r="2545" spans="1:5" ht="15.75" x14ac:dyDescent="0.25">
      <c r="A2545" s="7"/>
      <c r="B2545" s="8"/>
      <c r="C2545" s="9"/>
      <c r="D2545" s="5"/>
      <c r="E2545" s="5"/>
    </row>
    <row r="2546" spans="1:5" ht="15.75" x14ac:dyDescent="0.25">
      <c r="A2546" s="7"/>
      <c r="B2546" s="8"/>
      <c r="C2546" s="9"/>
      <c r="D2546" s="5"/>
      <c r="E2546" s="5"/>
    </row>
    <row r="2547" spans="1:5" ht="15.75" x14ac:dyDescent="0.25">
      <c r="A2547" s="7"/>
      <c r="B2547" s="8"/>
      <c r="C2547" s="9"/>
      <c r="D2547" s="5"/>
      <c r="E2547" s="5"/>
    </row>
    <row r="2548" spans="1:5" ht="15.75" x14ac:dyDescent="0.25">
      <c r="A2548" s="7"/>
      <c r="B2548" s="8"/>
      <c r="C2548" s="9"/>
      <c r="D2548" s="5"/>
      <c r="E2548" s="5"/>
    </row>
    <row r="2549" spans="1:5" ht="15.75" x14ac:dyDescent="0.25">
      <c r="A2549" s="7"/>
      <c r="B2549" s="8"/>
      <c r="C2549" s="9"/>
      <c r="D2549" s="5"/>
      <c r="E2549" s="5"/>
    </row>
    <row r="2550" spans="1:5" ht="15.75" x14ac:dyDescent="0.25">
      <c r="A2550" s="7"/>
      <c r="B2550" s="8"/>
      <c r="C2550" s="9"/>
      <c r="D2550" s="5"/>
      <c r="E2550" s="5"/>
    </row>
    <row r="2551" spans="1:5" ht="15.75" x14ac:dyDescent="0.25">
      <c r="A2551" s="7"/>
      <c r="B2551" s="8"/>
      <c r="C2551" s="9"/>
      <c r="D2551" s="5"/>
      <c r="E2551" s="5"/>
    </row>
    <row r="2552" spans="1:5" ht="15.75" x14ac:dyDescent="0.25">
      <c r="A2552" s="7"/>
      <c r="B2552" s="8"/>
      <c r="C2552" s="9"/>
      <c r="D2552" s="5"/>
      <c r="E2552" s="5"/>
    </row>
    <row r="2553" spans="1:5" ht="15.75" x14ac:dyDescent="0.25">
      <c r="A2553" s="7"/>
      <c r="B2553" s="8"/>
      <c r="C2553" s="9"/>
      <c r="D2553" s="5"/>
      <c r="E2553" s="5"/>
    </row>
    <row r="2554" spans="1:5" ht="15.75" x14ac:dyDescent="0.25">
      <c r="A2554" s="7"/>
      <c r="B2554" s="8"/>
      <c r="C2554" s="9"/>
      <c r="D2554" s="5"/>
      <c r="E2554" s="5"/>
    </row>
    <row r="2555" spans="1:5" ht="15.75" x14ac:dyDescent="0.25">
      <c r="A2555" s="7"/>
      <c r="B2555" s="8"/>
      <c r="C2555" s="9"/>
      <c r="D2555" s="5"/>
      <c r="E2555" s="5"/>
    </row>
    <row r="2556" spans="1:5" ht="15.75" x14ac:dyDescent="0.25">
      <c r="A2556" s="7"/>
      <c r="B2556" s="8"/>
      <c r="C2556" s="9"/>
      <c r="D2556" s="5"/>
      <c r="E2556" s="5"/>
    </row>
    <row r="2557" spans="1:5" ht="15.75" x14ac:dyDescent="0.25">
      <c r="A2557" s="7"/>
      <c r="B2557" s="8"/>
      <c r="C2557" s="9"/>
      <c r="D2557" s="5"/>
      <c r="E2557" s="5"/>
    </row>
    <row r="2558" spans="1:5" ht="15.75" x14ac:dyDescent="0.25">
      <c r="A2558" s="7"/>
      <c r="B2558" s="8"/>
      <c r="C2558" s="9"/>
      <c r="D2558" s="5"/>
      <c r="E2558" s="5"/>
    </row>
    <row r="2559" spans="1:5" ht="15.75" x14ac:dyDescent="0.25">
      <c r="A2559" s="7"/>
      <c r="B2559" s="8"/>
      <c r="C2559" s="9"/>
      <c r="D2559" s="5"/>
      <c r="E2559" s="5"/>
    </row>
    <row r="2560" spans="1:5" ht="15.75" x14ac:dyDescent="0.25">
      <c r="A2560" s="7"/>
      <c r="B2560" s="8"/>
      <c r="C2560" s="9"/>
      <c r="D2560" s="5"/>
      <c r="E2560" s="5"/>
    </row>
    <row r="2561" spans="1:5" ht="15.75" x14ac:dyDescent="0.25">
      <c r="A2561" s="7"/>
      <c r="B2561" s="8"/>
      <c r="C2561" s="9"/>
      <c r="D2561" s="5"/>
      <c r="E2561" s="5"/>
    </row>
    <row r="2562" spans="1:5" ht="15.75" x14ac:dyDescent="0.25">
      <c r="A2562" s="7"/>
      <c r="B2562" s="8"/>
      <c r="C2562" s="9"/>
      <c r="D2562" s="5"/>
      <c r="E2562" s="5"/>
    </row>
    <row r="2563" spans="1:5" ht="15.75" x14ac:dyDescent="0.25">
      <c r="A2563" s="7"/>
      <c r="B2563" s="8"/>
      <c r="C2563" s="9"/>
      <c r="D2563" s="5"/>
      <c r="E2563" s="5"/>
    </row>
  </sheetData>
  <sheetProtection formatColumns="0" insertColumns="0" insertHyperlinks="0"/>
  <autoFilter ref="A1:E783">
    <filterColumn colId="2">
      <filters>
        <filter val="CORTAPLUMAS 17 FUNCIONES 4209"/>
        <filter val="CUCHILLO 19CM KARAMBIT NEGRO 17/4,24"/>
        <filter val="CUCHILLO 30CM CAMU BOSQUE   16-305/3,6"/>
        <filter val="CUCHILLO COLUMBIA C/FUNDA RIGIDA IMP"/>
        <filter val="CUCHILLO CON FUNDA VERDE 6 TK063 6-7,7/2"/>
        <filter val="CUCHILLO NEGRO C/FUNDA Y AFILADOR IMP"/>
        <filter val="NAVAJA 21CM BUCK/GRIS DA139   10-3/3"/>
        <filter val="NAVAJA 21CM MASTIFF/CAMUFLADA   14-28/3"/>
        <filter val="NAVAJA 21CM MASTIFF/GRIS DA162  9-11/3"/>
        <filter val="NAVAJA BROWNING DA73-1 IMP 0005"/>
        <filter val="NAVAJA COLUMBIA ESCORPION SAQUE RAPIDO 1"/>
        <filter val="NAVAJA COLUMBIA SPIDER SAQUE RAPIDO IMP"/>
        <filter val="NAVAJA GERBER GRIS Y NARANJA C/FUNDA IMP"/>
        <filter val="NAVAJA MARIPOSA GRIS  19-12/3"/>
        <filter val="NAVAJA MARIPOSA NEGRA 86B LUG"/>
        <filter val="NAVAJA MULTIUSO IMP"/>
        <filter val="NAVAJA STRIDER KNIVES 352 IMP 0005"/>
        <filter val="NAVAJA SUREFIRE D38 5542 ROMPE VIDRIO IM"/>
      </filters>
    </filterColumn>
  </autoFilter>
  <pageMargins left="0.23622047244094491" right="0.23622047244094491" top="0.74803149606299213" bottom="0.74803149606299213" header="0.31496062992125984" footer="0.31496062992125984"/>
  <pageSetup paperSize="9" scale="105" orientation="portrait" horizontalDpi="300" verticalDpi="300" r:id="rId1"/>
  <headerFooter>
    <oddHeader>&amp;C&amp;"-,Negrita"&amp;9&amp;UCATALOGO RERDA&amp;"-,Normal"&amp;U
www.rerda.com</oddHeader>
    <oddFooter>&amp;C&amp;P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F6003"/>
  <sheetViews>
    <sheetView workbookViewId="0">
      <selection activeCell="B13" sqref="B13"/>
    </sheetView>
  </sheetViews>
  <sheetFormatPr baseColWidth="10" defaultRowHeight="15" x14ac:dyDescent="0.25"/>
  <cols>
    <col min="1" max="1" width="7.85546875" customWidth="1"/>
    <col min="2" max="2" width="10.42578125" customWidth="1"/>
    <col min="3" max="3" width="49" bestFit="1" customWidth="1"/>
    <col min="4" max="4" width="9" bestFit="1" customWidth="1"/>
    <col min="6" max="6" width="11.85546875" bestFit="1" customWidth="1"/>
  </cols>
  <sheetData>
    <row r="1" spans="1:6" ht="18.75" x14ac:dyDescent="0.3">
      <c r="A1" s="18" t="s">
        <v>1858</v>
      </c>
      <c r="B1" s="18"/>
      <c r="C1" s="18"/>
      <c r="D1" s="18"/>
    </row>
    <row r="4" spans="1:6" ht="25.5" x14ac:dyDescent="0.25">
      <c r="A4" s="10" t="s">
        <v>4</v>
      </c>
      <c r="B4" s="13" t="s">
        <v>4</v>
      </c>
      <c r="C4" s="13" t="s">
        <v>1</v>
      </c>
      <c r="D4" s="13" t="s">
        <v>2</v>
      </c>
      <c r="E4" s="13" t="s">
        <v>1438</v>
      </c>
      <c r="F4" s="12" t="s">
        <v>1414</v>
      </c>
    </row>
    <row r="5" spans="1:6" x14ac:dyDescent="0.25">
      <c r="A5" s="11">
        <f>IFERROR(B5*1,"")</f>
        <v>1000800</v>
      </c>
      <c r="B5" s="17">
        <v>1000800</v>
      </c>
      <c r="C5" s="17" t="s">
        <v>1860</v>
      </c>
      <c r="D5" s="17">
        <v>107.15</v>
      </c>
      <c r="E5" s="17">
        <v>20</v>
      </c>
      <c r="F5" s="7" t="str">
        <f>IF(A5=IFERROR(VLOOKUP(A5,CATALOGO!$B$2:$B$600,1,FALSE),"Falta"),"", "Falta")</f>
        <v>Falta</v>
      </c>
    </row>
    <row r="6" spans="1:6" x14ac:dyDescent="0.25">
      <c r="A6" s="11">
        <f t="shared" ref="A6:A69" si="0">IFERROR(B6*1,"")</f>
        <v>1120001</v>
      </c>
      <c r="B6" s="17">
        <v>1120001</v>
      </c>
      <c r="C6" s="17" t="s">
        <v>129</v>
      </c>
      <c r="D6" s="17">
        <v>3024.99</v>
      </c>
      <c r="E6" s="17">
        <v>122</v>
      </c>
      <c r="F6" s="7" t="str">
        <f>IF(A6=IFERROR(VLOOKUP(A6,CATALOGO!$B$2:$B$600,1,FALSE),"Falta"),"", "Falta")</f>
        <v>Falta</v>
      </c>
    </row>
    <row r="7" spans="1:6" x14ac:dyDescent="0.25">
      <c r="A7" s="11">
        <f t="shared" si="0"/>
        <v>1120002</v>
      </c>
      <c r="B7" s="17">
        <v>1120002</v>
      </c>
      <c r="C7" s="17" t="s">
        <v>130</v>
      </c>
      <c r="D7" s="17">
        <v>3085.49</v>
      </c>
      <c r="E7" s="17">
        <v>107</v>
      </c>
      <c r="F7" s="7" t="str">
        <f>IF(A7=IFERROR(VLOOKUP(A7,CATALOGO!$B$2:$B$600,1,FALSE),"Falta"),"", "Falta")</f>
        <v>Falta</v>
      </c>
    </row>
    <row r="8" spans="1:6" x14ac:dyDescent="0.25">
      <c r="A8" s="11">
        <f t="shared" si="0"/>
        <v>1120003</v>
      </c>
      <c r="B8" s="17">
        <v>1120003</v>
      </c>
      <c r="C8" s="17" t="s">
        <v>41</v>
      </c>
      <c r="D8" s="17">
        <v>3790</v>
      </c>
      <c r="E8" s="17">
        <v>128</v>
      </c>
      <c r="F8" s="7" t="str">
        <f>IF(A8=IFERROR(VLOOKUP(A8,CATALOGO!$B$2:$B$600,1,FALSE),"Falta"),"", "Falta")</f>
        <v>Falta</v>
      </c>
    </row>
    <row r="9" spans="1:6" x14ac:dyDescent="0.25">
      <c r="A9" s="11">
        <f t="shared" si="0"/>
        <v>1120004</v>
      </c>
      <c r="B9" s="17">
        <v>1120004</v>
      </c>
      <c r="C9" s="17" t="s">
        <v>42</v>
      </c>
      <c r="D9" s="17">
        <v>3890</v>
      </c>
      <c r="E9" s="17">
        <v>58</v>
      </c>
      <c r="F9" s="7" t="str">
        <f>IF(A9=IFERROR(VLOOKUP(A9,CATALOGO!$B$2:$B$600,1,FALSE),"Falta"),"", "Falta")</f>
        <v>Falta</v>
      </c>
    </row>
    <row r="10" spans="1:6" x14ac:dyDescent="0.25">
      <c r="A10" s="11">
        <f t="shared" si="0"/>
        <v>1120005</v>
      </c>
      <c r="B10" s="17">
        <v>1120005</v>
      </c>
      <c r="C10" s="17" t="s">
        <v>43</v>
      </c>
      <c r="D10" s="17">
        <v>3990</v>
      </c>
      <c r="E10" s="17">
        <v>8</v>
      </c>
      <c r="F10" s="7" t="str">
        <f>IF(A10=IFERROR(VLOOKUP(A10,CATALOGO!$B$2:$B$600,1,FALSE),"Falta"),"", "Falta")</f>
        <v>Falta</v>
      </c>
    </row>
    <row r="11" spans="1:6" x14ac:dyDescent="0.25">
      <c r="A11" s="11">
        <f t="shared" si="0"/>
        <v>1120007</v>
      </c>
      <c r="B11" s="17">
        <v>1120007</v>
      </c>
      <c r="C11" s="17" t="s">
        <v>131</v>
      </c>
      <c r="D11" s="17">
        <v>3206.49</v>
      </c>
      <c r="E11" s="17">
        <v>11</v>
      </c>
      <c r="F11" s="7" t="str">
        <f>IF(A11=IFERROR(VLOOKUP(A11,CATALOGO!$B$2:$B$600,1,FALSE),"Falta"),"", "Falta")</f>
        <v>Falta</v>
      </c>
    </row>
    <row r="12" spans="1:6" x14ac:dyDescent="0.25">
      <c r="A12" s="11">
        <f t="shared" si="0"/>
        <v>1120061</v>
      </c>
      <c r="B12" s="17">
        <v>1120061</v>
      </c>
      <c r="C12" s="17" t="s">
        <v>148</v>
      </c>
      <c r="D12" s="17">
        <v>4290</v>
      </c>
      <c r="E12" s="17">
        <v>15</v>
      </c>
      <c r="F12" s="7" t="str">
        <f>IF(A12=IFERROR(VLOOKUP(A12,CATALOGO!$B$2:$B$600,1,FALSE),"Falta"),"", "Falta")</f>
        <v>Falta</v>
      </c>
    </row>
    <row r="13" spans="1:6" x14ac:dyDescent="0.25">
      <c r="A13" s="11">
        <f t="shared" si="0"/>
        <v>1120072</v>
      </c>
      <c r="B13" s="17">
        <v>1120072</v>
      </c>
      <c r="C13" s="17" t="s">
        <v>1862</v>
      </c>
      <c r="D13" s="17">
        <v>0</v>
      </c>
      <c r="E13" s="17">
        <v>4</v>
      </c>
      <c r="F13" s="7" t="str">
        <f>IF(A13=IFERROR(VLOOKUP(A13,CATALOGO!$B$2:$B$600,1,FALSE),"Falta"),"", "Falta")</f>
        <v>Falta</v>
      </c>
    </row>
    <row r="14" spans="1:6" x14ac:dyDescent="0.25">
      <c r="A14" s="11">
        <f t="shared" si="0"/>
        <v>1120106</v>
      </c>
      <c r="B14" s="17">
        <v>1120106</v>
      </c>
      <c r="C14" s="17" t="s">
        <v>44</v>
      </c>
      <c r="D14" s="17">
        <v>3790</v>
      </c>
      <c r="E14" s="17">
        <v>103</v>
      </c>
      <c r="F14" s="7" t="str">
        <f>IF(A14=IFERROR(VLOOKUP(A14,CATALOGO!$B$2:$B$600,1,FALSE),"Falta"),"", "Falta")</f>
        <v>Falta</v>
      </c>
    </row>
    <row r="15" spans="1:6" x14ac:dyDescent="0.25">
      <c r="A15" s="11">
        <f t="shared" si="0"/>
        <v>1120107</v>
      </c>
      <c r="B15" s="17">
        <v>1120107</v>
      </c>
      <c r="C15" s="17" t="s">
        <v>45</v>
      </c>
      <c r="D15" s="17">
        <v>3890</v>
      </c>
      <c r="E15" s="17">
        <v>21</v>
      </c>
      <c r="F15" s="7" t="str">
        <f>IF(A15=IFERROR(VLOOKUP(A15,CATALOGO!$B$2:$B$600,1,FALSE),"Falta"),"", "Falta")</f>
        <v>Falta</v>
      </c>
    </row>
    <row r="16" spans="1:6" x14ac:dyDescent="0.25">
      <c r="A16" s="11">
        <f t="shared" si="0"/>
        <v>1120110</v>
      </c>
      <c r="B16" s="17">
        <v>1120110</v>
      </c>
      <c r="C16" s="17" t="s">
        <v>46</v>
      </c>
      <c r="D16" s="17">
        <v>3990</v>
      </c>
      <c r="E16" s="17">
        <v>13</v>
      </c>
      <c r="F16" s="7" t="str">
        <f>IF(A16=IFERROR(VLOOKUP(A16,CATALOGO!$B$2:$B$600,1,FALSE),"Falta"),"", "Falta")</f>
        <v>Falta</v>
      </c>
    </row>
    <row r="17" spans="1:6" x14ac:dyDescent="0.25">
      <c r="A17" s="11">
        <f t="shared" si="0"/>
        <v>1120111</v>
      </c>
      <c r="B17" s="17">
        <v>1120111</v>
      </c>
      <c r="C17" s="17" t="s">
        <v>47</v>
      </c>
      <c r="D17" s="17">
        <v>4140</v>
      </c>
      <c r="E17" s="17">
        <v>3</v>
      </c>
      <c r="F17" s="7" t="str">
        <f>IF(A17=IFERROR(VLOOKUP(A17,CATALOGO!$B$2:$B$600,1,FALSE),"Falta"),"", "Falta")</f>
        <v>Falta</v>
      </c>
    </row>
    <row r="18" spans="1:6" x14ac:dyDescent="0.25">
      <c r="A18" s="11">
        <f t="shared" si="0"/>
        <v>1120125</v>
      </c>
      <c r="B18" s="17">
        <v>1120125</v>
      </c>
      <c r="C18" s="17" t="s">
        <v>1863</v>
      </c>
      <c r="D18" s="17">
        <v>0</v>
      </c>
      <c r="E18" s="17">
        <v>1</v>
      </c>
      <c r="F18" s="7" t="str">
        <f>IF(A18=IFERROR(VLOOKUP(A18,CATALOGO!$B$2:$B$600,1,FALSE),"Falta"),"", "Falta")</f>
        <v>Falta</v>
      </c>
    </row>
    <row r="19" spans="1:6" x14ac:dyDescent="0.25">
      <c r="A19" s="11">
        <f t="shared" si="0"/>
        <v>1120130</v>
      </c>
      <c r="B19" s="17">
        <v>1120130</v>
      </c>
      <c r="C19" s="17" t="s">
        <v>84</v>
      </c>
      <c r="D19" s="17">
        <v>3024.99</v>
      </c>
      <c r="E19" s="17">
        <v>18</v>
      </c>
      <c r="F19" s="7" t="str">
        <f>IF(A19=IFERROR(VLOOKUP(A19,CATALOGO!$B$2:$B$600,1,FALSE),"Falta"),"", "Falta")</f>
        <v>Falta</v>
      </c>
    </row>
    <row r="20" spans="1:6" x14ac:dyDescent="0.25">
      <c r="A20" s="11">
        <f t="shared" si="0"/>
        <v>1120131</v>
      </c>
      <c r="B20" s="17">
        <v>1120131</v>
      </c>
      <c r="C20" s="17" t="s">
        <v>85</v>
      </c>
      <c r="D20" s="17">
        <v>3085.49</v>
      </c>
      <c r="E20" s="17">
        <v>11</v>
      </c>
      <c r="F20" s="7" t="str">
        <f>IF(A20=IFERROR(VLOOKUP(A20,CATALOGO!$B$2:$B$600,1,FALSE),"Falta"),"", "Falta")</f>
        <v>Falta</v>
      </c>
    </row>
    <row r="21" spans="1:6" x14ac:dyDescent="0.25">
      <c r="A21" s="11">
        <f t="shared" si="0"/>
        <v>1120140</v>
      </c>
      <c r="B21" s="17">
        <v>1120140</v>
      </c>
      <c r="C21" s="17" t="s">
        <v>78</v>
      </c>
      <c r="D21" s="17">
        <v>3024.99</v>
      </c>
      <c r="E21" s="17">
        <v>100</v>
      </c>
      <c r="F21" s="7" t="str">
        <f>IF(A21=IFERROR(VLOOKUP(A21,CATALOGO!$B$2:$B$600,1,FALSE),"Falta"),"", "Falta")</f>
        <v>Falta</v>
      </c>
    </row>
    <row r="22" spans="1:6" x14ac:dyDescent="0.25">
      <c r="A22" s="11">
        <f t="shared" si="0"/>
        <v>1120150</v>
      </c>
      <c r="B22" s="17">
        <v>1120150</v>
      </c>
      <c r="C22" s="17" t="s">
        <v>79</v>
      </c>
      <c r="D22" s="17">
        <v>3085.49</v>
      </c>
      <c r="E22" s="17">
        <v>19</v>
      </c>
      <c r="F22" s="7" t="str">
        <f>IF(A22=IFERROR(VLOOKUP(A22,CATALOGO!$B$2:$B$600,1,FALSE),"Falta"),"", "Falta")</f>
        <v>Falta</v>
      </c>
    </row>
    <row r="23" spans="1:6" x14ac:dyDescent="0.25">
      <c r="A23" s="11">
        <f t="shared" si="0"/>
        <v>1120160</v>
      </c>
      <c r="B23" s="17">
        <v>1120160</v>
      </c>
      <c r="C23" s="17" t="s">
        <v>80</v>
      </c>
      <c r="D23" s="17">
        <v>3206.49</v>
      </c>
      <c r="E23" s="17">
        <v>18</v>
      </c>
      <c r="F23" s="7" t="str">
        <f>IF(A23=IFERROR(VLOOKUP(A23,CATALOGO!$B$2:$B$600,1,FALSE),"Falta"),"", "Falta")</f>
        <v>Falta</v>
      </c>
    </row>
    <row r="24" spans="1:6" x14ac:dyDescent="0.25">
      <c r="A24" s="11">
        <f t="shared" si="0"/>
        <v>1120170</v>
      </c>
      <c r="B24" s="17">
        <v>1120170</v>
      </c>
      <c r="C24" s="17" t="s">
        <v>81</v>
      </c>
      <c r="D24" s="17">
        <v>3024.99</v>
      </c>
      <c r="E24" s="17">
        <v>56</v>
      </c>
      <c r="F24" s="7" t="str">
        <f>IF(A24=IFERROR(VLOOKUP(A24,CATALOGO!$B$2:$B$600,1,FALSE),"Falta"),"", "Falta")</f>
        <v>Falta</v>
      </c>
    </row>
    <row r="25" spans="1:6" x14ac:dyDescent="0.25">
      <c r="A25" s="11">
        <f t="shared" si="0"/>
        <v>1120173</v>
      </c>
      <c r="B25" s="17">
        <v>1120173</v>
      </c>
      <c r="C25" s="17" t="s">
        <v>158</v>
      </c>
      <c r="D25" s="17">
        <v>4658.49</v>
      </c>
      <c r="E25" s="17">
        <v>11</v>
      </c>
      <c r="F25" s="7" t="str">
        <f>IF(A25=IFERROR(VLOOKUP(A25,CATALOGO!$B$2:$B$600,1,FALSE),"Falta"),"", "Falta")</f>
        <v>Falta</v>
      </c>
    </row>
    <row r="26" spans="1:6" x14ac:dyDescent="0.25">
      <c r="A26" s="11">
        <f t="shared" si="0"/>
        <v>1120174</v>
      </c>
      <c r="B26" s="17">
        <v>1120174</v>
      </c>
      <c r="C26" s="17" t="s">
        <v>159</v>
      </c>
      <c r="D26" s="17">
        <v>4718.99</v>
      </c>
      <c r="E26" s="17">
        <v>27</v>
      </c>
      <c r="F26" s="7" t="str">
        <f>IF(A26=IFERROR(VLOOKUP(A26,CATALOGO!$B$2:$B$600,1,FALSE),"Falta"),"", "Falta")</f>
        <v>Falta</v>
      </c>
    </row>
    <row r="27" spans="1:6" x14ac:dyDescent="0.25">
      <c r="A27" s="11">
        <f t="shared" si="0"/>
        <v>1120175</v>
      </c>
      <c r="B27" s="17">
        <v>1120175</v>
      </c>
      <c r="C27" s="17" t="s">
        <v>1450</v>
      </c>
      <c r="D27" s="17">
        <v>3327.49</v>
      </c>
      <c r="E27" s="17">
        <v>1</v>
      </c>
      <c r="F27" s="7" t="str">
        <f>IF(A27=IFERROR(VLOOKUP(A27,CATALOGO!$B$2:$B$600,1,FALSE),"Falta"),"", "Falta")</f>
        <v>Falta</v>
      </c>
    </row>
    <row r="28" spans="1:6" x14ac:dyDescent="0.25">
      <c r="A28" s="11">
        <f t="shared" si="0"/>
        <v>1120176</v>
      </c>
      <c r="B28" s="17">
        <v>1120176</v>
      </c>
      <c r="C28" s="17" t="s">
        <v>160</v>
      </c>
      <c r="D28" s="17">
        <v>4839.99</v>
      </c>
      <c r="E28" s="17">
        <v>2</v>
      </c>
      <c r="F28" s="7" t="str">
        <f>IF(A28=IFERROR(VLOOKUP(A28,CATALOGO!$B$2:$B$600,1,FALSE),"Falta"),"", "Falta")</f>
        <v>Falta</v>
      </c>
    </row>
    <row r="29" spans="1:6" x14ac:dyDescent="0.25">
      <c r="A29" s="11">
        <f t="shared" si="0"/>
        <v>1120180</v>
      </c>
      <c r="B29" s="17">
        <v>1120180</v>
      </c>
      <c r="C29" s="17" t="s">
        <v>82</v>
      </c>
      <c r="D29" s="17">
        <v>3085.49</v>
      </c>
      <c r="E29" s="17">
        <v>29</v>
      </c>
      <c r="F29" s="7" t="str">
        <f>IF(A29=IFERROR(VLOOKUP(A29,CATALOGO!$B$2:$B$600,1,FALSE),"Falta"),"", "Falta")</f>
        <v>Falta</v>
      </c>
    </row>
    <row r="30" spans="1:6" x14ac:dyDescent="0.25">
      <c r="A30" s="11">
        <f t="shared" si="0"/>
        <v>1120182</v>
      </c>
      <c r="B30" s="17">
        <v>1120182</v>
      </c>
      <c r="C30" s="17" t="s">
        <v>90</v>
      </c>
      <c r="D30" s="17">
        <v>2970</v>
      </c>
      <c r="E30" s="17">
        <v>58</v>
      </c>
      <c r="F30" s="7" t="str">
        <f>IF(A30=IFERROR(VLOOKUP(A30,CATALOGO!$B$2:$B$600,1,FALSE),"Falta"),"", "Falta")</f>
        <v>Falta</v>
      </c>
    </row>
    <row r="31" spans="1:6" x14ac:dyDescent="0.25">
      <c r="A31" s="11">
        <f t="shared" si="0"/>
        <v>1120183</v>
      </c>
      <c r="B31" s="17">
        <v>1120183</v>
      </c>
      <c r="C31" s="17" t="s">
        <v>91</v>
      </c>
      <c r="D31" s="17">
        <v>3080</v>
      </c>
      <c r="E31" s="17">
        <v>40</v>
      </c>
      <c r="F31" s="7" t="str">
        <f>IF(A31=IFERROR(VLOOKUP(A31,CATALOGO!$B$2:$B$600,1,FALSE),"Falta"),"", "Falta")</f>
        <v>Falta</v>
      </c>
    </row>
    <row r="32" spans="1:6" x14ac:dyDescent="0.25">
      <c r="A32" s="11">
        <f t="shared" si="0"/>
        <v>1120184</v>
      </c>
      <c r="B32" s="17">
        <v>1120184</v>
      </c>
      <c r="C32" s="17" t="s">
        <v>92</v>
      </c>
      <c r="D32" s="17">
        <v>3190</v>
      </c>
      <c r="E32" s="17">
        <v>4</v>
      </c>
      <c r="F32" s="7" t="str">
        <f>IF(A32=IFERROR(VLOOKUP(A32,CATALOGO!$B$2:$B$600,1,FALSE),"Falta"),"", "Falta")</f>
        <v>Falta</v>
      </c>
    </row>
    <row r="33" spans="1:6" x14ac:dyDescent="0.25">
      <c r="A33" s="11">
        <f t="shared" si="0"/>
        <v>1120185</v>
      </c>
      <c r="B33" s="17">
        <v>1120185</v>
      </c>
      <c r="C33" s="17" t="s">
        <v>93</v>
      </c>
      <c r="D33" s="17">
        <v>3300</v>
      </c>
      <c r="E33" s="17">
        <v>14</v>
      </c>
      <c r="F33" s="7" t="str">
        <f>IF(A33=IFERROR(VLOOKUP(A33,CATALOGO!$B$2:$B$600,1,FALSE),"Falta"),"", "Falta")</f>
        <v>Falta</v>
      </c>
    </row>
    <row r="34" spans="1:6" x14ac:dyDescent="0.25">
      <c r="A34" s="11">
        <f t="shared" si="0"/>
        <v>1120188</v>
      </c>
      <c r="B34" s="17">
        <v>1120188</v>
      </c>
      <c r="C34" s="17" t="s">
        <v>141</v>
      </c>
      <c r="D34" s="17">
        <v>4690</v>
      </c>
      <c r="E34" s="17">
        <v>5</v>
      </c>
      <c r="F34" s="7" t="str">
        <f>IF(A34=IFERROR(VLOOKUP(A34,CATALOGO!$B$2:$B$600,1,FALSE),"Falta"),"", "Falta")</f>
        <v>Falta</v>
      </c>
    </row>
    <row r="35" spans="1:6" x14ac:dyDescent="0.25">
      <c r="A35" s="11">
        <f t="shared" si="0"/>
        <v>1120191</v>
      </c>
      <c r="B35" s="17">
        <v>1120191</v>
      </c>
      <c r="C35" s="17" t="s">
        <v>149</v>
      </c>
      <c r="D35" s="17">
        <v>4718.99</v>
      </c>
      <c r="E35" s="17">
        <v>23</v>
      </c>
      <c r="F35" s="7" t="str">
        <f>IF(A35=IFERROR(VLOOKUP(A35,CATALOGO!$B$2:$B$600,1,FALSE),"Falta"),"", "Falta")</f>
        <v>Falta</v>
      </c>
    </row>
    <row r="36" spans="1:6" x14ac:dyDescent="0.25">
      <c r="A36" s="11">
        <f t="shared" si="0"/>
        <v>1120192</v>
      </c>
      <c r="B36" s="17">
        <v>1120192</v>
      </c>
      <c r="C36" s="17" t="s">
        <v>150</v>
      </c>
      <c r="D36" s="17">
        <v>4779.49</v>
      </c>
      <c r="E36" s="17">
        <v>14</v>
      </c>
      <c r="F36" s="7" t="str">
        <f>IF(A36=IFERROR(VLOOKUP(A36,CATALOGO!$B$2:$B$600,1,FALSE),"Falta"),"", "Falta")</f>
        <v>Falta</v>
      </c>
    </row>
    <row r="37" spans="1:6" x14ac:dyDescent="0.25">
      <c r="A37" s="11">
        <f t="shared" si="0"/>
        <v>1120193</v>
      </c>
      <c r="B37" s="17">
        <v>1120193</v>
      </c>
      <c r="C37" s="17" t="s">
        <v>1451</v>
      </c>
      <c r="D37" s="17">
        <v>4900.49</v>
      </c>
      <c r="E37" s="17">
        <v>2</v>
      </c>
      <c r="F37" s="7" t="str">
        <f>IF(A37=IFERROR(VLOOKUP(A37,CATALOGO!$B$2:$B$600,1,FALSE),"Falta"),"", "Falta")</f>
        <v>Falta</v>
      </c>
    </row>
    <row r="38" spans="1:6" x14ac:dyDescent="0.25">
      <c r="A38" s="11">
        <f t="shared" si="0"/>
        <v>1120195</v>
      </c>
      <c r="B38" s="17">
        <v>1120195</v>
      </c>
      <c r="C38" s="17" t="s">
        <v>83</v>
      </c>
      <c r="D38" s="17">
        <v>3327.49</v>
      </c>
      <c r="E38" s="17">
        <v>7</v>
      </c>
      <c r="F38" s="7" t="str">
        <f>IF(A38=IFERROR(VLOOKUP(A38,CATALOGO!$B$2:$B$600,1,FALSE),"Falta"),"", "Falta")</f>
        <v>Falta</v>
      </c>
    </row>
    <row r="39" spans="1:6" x14ac:dyDescent="0.25">
      <c r="A39" s="11">
        <f t="shared" si="0"/>
        <v>1120196</v>
      </c>
      <c r="B39" s="17">
        <v>1120196</v>
      </c>
      <c r="C39" s="17" t="s">
        <v>139</v>
      </c>
      <c r="D39" s="17">
        <v>4490</v>
      </c>
      <c r="E39" s="17">
        <v>98</v>
      </c>
      <c r="F39" s="7" t="str">
        <f>IF(A39=IFERROR(VLOOKUP(A39,CATALOGO!$B$2:$B$600,1,FALSE),"Falta"),"", "Falta")</f>
        <v>Falta</v>
      </c>
    </row>
    <row r="40" spans="1:6" x14ac:dyDescent="0.25">
      <c r="A40" s="11">
        <f t="shared" si="0"/>
        <v>1120197</v>
      </c>
      <c r="B40" s="17">
        <v>1120197</v>
      </c>
      <c r="C40" s="17" t="s">
        <v>140</v>
      </c>
      <c r="D40" s="17">
        <v>4590</v>
      </c>
      <c r="E40" s="17">
        <v>39</v>
      </c>
      <c r="F40" s="7" t="str">
        <f>IF(A40=IFERROR(VLOOKUP(A40,CATALOGO!$B$2:$B$600,1,FALSE),"Falta"),"", "Falta")</f>
        <v>Falta</v>
      </c>
    </row>
    <row r="41" spans="1:6" x14ac:dyDescent="0.25">
      <c r="A41" s="11">
        <f t="shared" si="0"/>
        <v>1120201</v>
      </c>
      <c r="B41" s="17">
        <v>1120201</v>
      </c>
      <c r="C41" s="17" t="s">
        <v>142</v>
      </c>
      <c r="D41" s="17">
        <v>4490</v>
      </c>
      <c r="E41" s="17">
        <v>17</v>
      </c>
      <c r="F41" s="7" t="str">
        <f>IF(A41=IFERROR(VLOOKUP(A41,CATALOGO!$B$2:$B$600,1,FALSE),"Falta"),"", "Falta")</f>
        <v>Falta</v>
      </c>
    </row>
    <row r="42" spans="1:6" x14ac:dyDescent="0.25">
      <c r="A42" s="11">
        <f t="shared" si="0"/>
        <v>1120202</v>
      </c>
      <c r="B42" s="17">
        <v>1120202</v>
      </c>
      <c r="C42" s="17" t="s">
        <v>143</v>
      </c>
      <c r="D42" s="17">
        <v>4590</v>
      </c>
      <c r="E42" s="17">
        <v>32</v>
      </c>
      <c r="F42" s="7" t="str">
        <f>IF(A42=IFERROR(VLOOKUP(A42,CATALOGO!$B$2:$B$600,1,FALSE),"Falta"),"", "Falta")</f>
        <v>Falta</v>
      </c>
    </row>
    <row r="43" spans="1:6" x14ac:dyDescent="0.25">
      <c r="A43" s="11">
        <f t="shared" si="0"/>
        <v>1120203</v>
      </c>
      <c r="B43" s="17">
        <v>1120203</v>
      </c>
      <c r="C43" s="17" t="s">
        <v>144</v>
      </c>
      <c r="D43" s="17">
        <v>4690</v>
      </c>
      <c r="E43" s="17">
        <v>1</v>
      </c>
      <c r="F43" s="7" t="str">
        <f>IF(A43=IFERROR(VLOOKUP(A43,CATALOGO!$B$2:$B$600,1,FALSE),"Falta"),"", "Falta")</f>
        <v>Falta</v>
      </c>
    </row>
    <row r="44" spans="1:6" x14ac:dyDescent="0.25">
      <c r="A44" s="11">
        <f t="shared" si="0"/>
        <v>1120206</v>
      </c>
      <c r="B44" s="17">
        <v>1120206</v>
      </c>
      <c r="C44" s="17" t="s">
        <v>48</v>
      </c>
      <c r="D44" s="17">
        <v>3790</v>
      </c>
      <c r="E44" s="17">
        <v>106</v>
      </c>
      <c r="F44" s="7" t="str">
        <f>IF(A44=IFERROR(VLOOKUP(A44,CATALOGO!$B$2:$B$600,1,FALSE),"Falta"),"", "Falta")</f>
        <v>Falta</v>
      </c>
    </row>
    <row r="45" spans="1:6" x14ac:dyDescent="0.25">
      <c r="A45" s="11">
        <f t="shared" si="0"/>
        <v>1120207</v>
      </c>
      <c r="B45" s="17">
        <v>1120207</v>
      </c>
      <c r="C45" s="17" t="s">
        <v>49</v>
      </c>
      <c r="D45" s="17">
        <v>3890</v>
      </c>
      <c r="E45" s="17">
        <v>36</v>
      </c>
      <c r="F45" s="7" t="str">
        <f>IF(A45=IFERROR(VLOOKUP(A45,CATALOGO!$B$2:$B$600,1,FALSE),"Falta"),"", "Falta")</f>
        <v>Falta</v>
      </c>
    </row>
    <row r="46" spans="1:6" x14ac:dyDescent="0.25">
      <c r="A46" s="11">
        <f t="shared" si="0"/>
        <v>1120208</v>
      </c>
      <c r="B46" s="17">
        <v>1120208</v>
      </c>
      <c r="C46" s="17" t="s">
        <v>50</v>
      </c>
      <c r="D46" s="17">
        <v>3990</v>
      </c>
      <c r="E46" s="17">
        <v>2</v>
      </c>
      <c r="F46" s="7" t="str">
        <f>IF(A46=IFERROR(VLOOKUP(A46,CATALOGO!$B$2:$B$600,1,FALSE),"Falta"),"", "Falta")</f>
        <v>Falta</v>
      </c>
    </row>
    <row r="47" spans="1:6" x14ac:dyDescent="0.25">
      <c r="A47" s="11">
        <f t="shared" si="0"/>
        <v>1120209</v>
      </c>
      <c r="B47" s="17">
        <v>1120209</v>
      </c>
      <c r="C47" s="17" t="s">
        <v>51</v>
      </c>
      <c r="D47" s="17">
        <v>4140</v>
      </c>
      <c r="E47" s="17">
        <v>7</v>
      </c>
      <c r="F47" s="7" t="str">
        <f>IF(A47=IFERROR(VLOOKUP(A47,CATALOGO!$B$2:$B$600,1,FALSE),"Falta"),"", "Falta")</f>
        <v>Falta</v>
      </c>
    </row>
    <row r="48" spans="1:6" x14ac:dyDescent="0.25">
      <c r="A48" s="11">
        <f t="shared" si="0"/>
        <v>1120230</v>
      </c>
      <c r="B48" s="17">
        <v>1120230</v>
      </c>
      <c r="C48" s="17" t="s">
        <v>1850</v>
      </c>
      <c r="D48" s="17">
        <v>3200</v>
      </c>
      <c r="E48" s="17">
        <v>11</v>
      </c>
      <c r="F48" s="7" t="str">
        <f>IF(A48=IFERROR(VLOOKUP(A48,CATALOGO!$B$2:$B$600,1,FALSE),"Falta"),"", "Falta")</f>
        <v>Falta</v>
      </c>
    </row>
    <row r="49" spans="1:6" x14ac:dyDescent="0.25">
      <c r="A49" s="11">
        <f t="shared" si="0"/>
        <v>1120231</v>
      </c>
      <c r="B49" s="17">
        <v>1120231</v>
      </c>
      <c r="C49" s="17" t="s">
        <v>1864</v>
      </c>
      <c r="D49" s="17">
        <v>3400</v>
      </c>
      <c r="E49" s="17">
        <v>2</v>
      </c>
      <c r="F49" s="7" t="str">
        <f>IF(A49=IFERROR(VLOOKUP(A49,CATALOGO!$B$2:$B$600,1,FALSE),"Falta"),"", "Falta")</f>
        <v>Falta</v>
      </c>
    </row>
    <row r="50" spans="1:6" x14ac:dyDescent="0.25">
      <c r="A50" s="11">
        <f t="shared" si="0"/>
        <v>1120233</v>
      </c>
      <c r="B50" s="17">
        <v>1120233</v>
      </c>
      <c r="C50" s="17" t="s">
        <v>1839</v>
      </c>
      <c r="D50" s="17">
        <v>4720</v>
      </c>
      <c r="E50" s="17">
        <v>4</v>
      </c>
      <c r="F50" s="7" t="str">
        <f>IF(A50=IFERROR(VLOOKUP(A50,CATALOGO!$B$2:$B$600,1,FALSE),"Falta"),"", "Falta")</f>
        <v>Falta</v>
      </c>
    </row>
    <row r="51" spans="1:6" x14ac:dyDescent="0.25">
      <c r="A51" s="11">
        <f t="shared" si="0"/>
        <v>1120238</v>
      </c>
      <c r="B51" s="17">
        <v>1120238</v>
      </c>
      <c r="C51" s="17" t="s">
        <v>1851</v>
      </c>
      <c r="D51" s="17">
        <v>2400</v>
      </c>
      <c r="E51" s="17">
        <v>25</v>
      </c>
      <c r="F51" s="7" t="str">
        <f>IF(A51=IFERROR(VLOOKUP(A51,CATALOGO!$B$2:$B$600,1,FALSE),"Falta"),"", "Falta")</f>
        <v>Falta</v>
      </c>
    </row>
    <row r="52" spans="1:6" x14ac:dyDescent="0.25">
      <c r="A52" s="11">
        <f t="shared" si="0"/>
        <v>1120242</v>
      </c>
      <c r="B52" s="17">
        <v>1120242</v>
      </c>
      <c r="C52" s="17" t="s">
        <v>74</v>
      </c>
      <c r="D52" s="17">
        <v>3206.49</v>
      </c>
      <c r="E52" s="17">
        <v>2</v>
      </c>
      <c r="F52" s="7" t="str">
        <f>IF(A52=IFERROR(VLOOKUP(A52,CATALOGO!$B$2:$B$600,1,FALSE),"Falta"),"", "Falta")</f>
        <v>Falta</v>
      </c>
    </row>
    <row r="53" spans="1:6" x14ac:dyDescent="0.25">
      <c r="A53" s="11">
        <f t="shared" si="0"/>
        <v>1120246</v>
      </c>
      <c r="B53" s="17">
        <v>1120246</v>
      </c>
      <c r="C53" s="17" t="s">
        <v>71</v>
      </c>
      <c r="D53" s="17">
        <v>3085.49</v>
      </c>
      <c r="E53" s="17">
        <v>31</v>
      </c>
      <c r="F53" s="7" t="str">
        <f>IF(A53=IFERROR(VLOOKUP(A53,CATALOGO!$B$2:$B$600,1,FALSE),"Falta"),"", "Falta")</f>
        <v>Falta</v>
      </c>
    </row>
    <row r="54" spans="1:6" x14ac:dyDescent="0.25">
      <c r="A54" s="11">
        <f t="shared" si="0"/>
        <v>1120247</v>
      </c>
      <c r="B54" s="17">
        <v>1120247</v>
      </c>
      <c r="C54" s="17" t="s">
        <v>72</v>
      </c>
      <c r="D54" s="17">
        <v>3206.49</v>
      </c>
      <c r="E54" s="17">
        <v>14</v>
      </c>
      <c r="F54" s="7" t="str">
        <f>IF(A54=IFERROR(VLOOKUP(A54,CATALOGO!$B$2:$B$600,1,FALSE),"Falta"),"", "Falta")</f>
        <v>Falta</v>
      </c>
    </row>
    <row r="55" spans="1:6" x14ac:dyDescent="0.25">
      <c r="A55" s="11">
        <f t="shared" si="0"/>
        <v>1120248</v>
      </c>
      <c r="B55" s="17">
        <v>1120248</v>
      </c>
      <c r="C55" s="17" t="s">
        <v>73</v>
      </c>
      <c r="D55" s="17">
        <v>3327.49</v>
      </c>
      <c r="E55" s="17">
        <v>1</v>
      </c>
      <c r="F55" s="7" t="str">
        <f>IF(A55=IFERROR(VLOOKUP(A55,CATALOGO!$B$2:$B$600,1,FALSE),"Falta"),"", "Falta")</f>
        <v>Falta</v>
      </c>
    </row>
    <row r="56" spans="1:6" x14ac:dyDescent="0.25">
      <c r="A56" s="11">
        <f t="shared" si="0"/>
        <v>1120267</v>
      </c>
      <c r="B56" s="17">
        <v>1120267</v>
      </c>
      <c r="C56" s="17" t="s">
        <v>135</v>
      </c>
      <c r="D56" s="17">
        <v>3387.99</v>
      </c>
      <c r="E56" s="17">
        <v>1</v>
      </c>
      <c r="F56" s="7" t="str">
        <f>IF(A56=IFERROR(VLOOKUP(A56,CATALOGO!$B$2:$B$600,1,FALSE),"Falta"),"", "Falta")</f>
        <v>Falta</v>
      </c>
    </row>
    <row r="57" spans="1:6" x14ac:dyDescent="0.25">
      <c r="A57" s="11">
        <f t="shared" si="0"/>
        <v>1120271</v>
      </c>
      <c r="B57" s="17">
        <v>1120271</v>
      </c>
      <c r="C57" s="17" t="s">
        <v>137</v>
      </c>
      <c r="D57" s="17">
        <v>3387.99</v>
      </c>
      <c r="E57" s="17">
        <v>6</v>
      </c>
      <c r="F57" s="7" t="str">
        <f>IF(A57=IFERROR(VLOOKUP(A57,CATALOGO!$B$2:$B$600,1,FALSE),"Falta"),"", "Falta")</f>
        <v>Falta</v>
      </c>
    </row>
    <row r="58" spans="1:6" x14ac:dyDescent="0.25">
      <c r="A58" s="11">
        <f t="shared" si="0"/>
        <v>1120272</v>
      </c>
      <c r="B58" s="17">
        <v>1120272</v>
      </c>
      <c r="C58" s="17" t="s">
        <v>138</v>
      </c>
      <c r="D58" s="17">
        <v>3448.49</v>
      </c>
      <c r="E58" s="17">
        <v>3</v>
      </c>
      <c r="F58" s="7" t="str">
        <f>IF(A58=IFERROR(VLOOKUP(A58,CATALOGO!$B$2:$B$600,1,FALSE),"Falta"),"", "Falta")</f>
        <v>Falta</v>
      </c>
    </row>
    <row r="59" spans="1:6" x14ac:dyDescent="0.25">
      <c r="A59" s="11">
        <f t="shared" si="0"/>
        <v>1120275</v>
      </c>
      <c r="B59" s="17">
        <v>1120275</v>
      </c>
      <c r="C59" s="17" t="s">
        <v>136</v>
      </c>
      <c r="D59" s="17">
        <v>3992.99</v>
      </c>
      <c r="E59" s="17">
        <v>1</v>
      </c>
      <c r="F59" s="7" t="str">
        <f>IF(A59=IFERROR(VLOOKUP(A59,CATALOGO!$B$2:$B$600,1,FALSE),"Falta"),"", "Falta")</f>
        <v>Falta</v>
      </c>
    </row>
    <row r="60" spans="1:6" x14ac:dyDescent="0.25">
      <c r="A60" s="11">
        <f t="shared" si="0"/>
        <v>1120280</v>
      </c>
      <c r="B60" s="17">
        <v>1120280</v>
      </c>
      <c r="C60" s="17" t="s">
        <v>1089</v>
      </c>
      <c r="D60" s="17">
        <v>3200</v>
      </c>
      <c r="E60" s="17">
        <v>81</v>
      </c>
      <c r="F60" s="7" t="str">
        <f>IF(A60=IFERROR(VLOOKUP(A60,CATALOGO!$B$2:$B$600,1,FALSE),"Falta"),"", "Falta")</f>
        <v/>
      </c>
    </row>
    <row r="61" spans="1:6" x14ac:dyDescent="0.25">
      <c r="A61" s="11">
        <f t="shared" si="0"/>
        <v>1120285</v>
      </c>
      <c r="B61" s="17">
        <v>1120285</v>
      </c>
      <c r="C61" s="17" t="s">
        <v>70</v>
      </c>
      <c r="D61" s="17">
        <v>3024.99</v>
      </c>
      <c r="E61" s="17">
        <v>64</v>
      </c>
      <c r="F61" s="7" t="str">
        <f>IF(A61=IFERROR(VLOOKUP(A61,CATALOGO!$B$2:$B$600,1,FALSE),"Falta"),"", "Falta")</f>
        <v>Falta</v>
      </c>
    </row>
    <row r="62" spans="1:6" x14ac:dyDescent="0.25">
      <c r="A62" s="11">
        <f t="shared" si="0"/>
        <v>1120323</v>
      </c>
      <c r="B62" s="17">
        <v>1120323</v>
      </c>
      <c r="C62" s="17" t="s">
        <v>119</v>
      </c>
      <c r="D62" s="17">
        <v>3508.99</v>
      </c>
      <c r="E62" s="17">
        <v>10</v>
      </c>
      <c r="F62" s="7" t="str">
        <f>IF(A62=IFERROR(VLOOKUP(A62,CATALOGO!$B$2:$B$600,1,FALSE),"Falta"),"", "Falta")</f>
        <v>Falta</v>
      </c>
    </row>
    <row r="63" spans="1:6" x14ac:dyDescent="0.25">
      <c r="A63" s="11">
        <f t="shared" si="0"/>
        <v>1120330</v>
      </c>
      <c r="B63" s="17">
        <v>1120330</v>
      </c>
      <c r="C63" s="17" t="s">
        <v>107</v>
      </c>
      <c r="D63" s="17">
        <v>3267</v>
      </c>
      <c r="E63" s="17">
        <v>20</v>
      </c>
      <c r="F63" s="7" t="str">
        <f>IF(A63=IFERROR(VLOOKUP(A63,CATALOGO!$B$2:$B$600,1,FALSE),"Falta"),"", "Falta")</f>
        <v>Falta</v>
      </c>
    </row>
    <row r="64" spans="1:6" x14ac:dyDescent="0.25">
      <c r="A64" s="11">
        <f t="shared" si="0"/>
        <v>1120331</v>
      </c>
      <c r="B64" s="17">
        <v>1120331</v>
      </c>
      <c r="C64" s="17" t="s">
        <v>108</v>
      </c>
      <c r="D64" s="17">
        <v>3388</v>
      </c>
      <c r="E64" s="17">
        <v>14</v>
      </c>
      <c r="F64" s="7" t="str">
        <f>IF(A64=IFERROR(VLOOKUP(A64,CATALOGO!$B$2:$B$600,1,FALSE),"Falta"),"", "Falta")</f>
        <v>Falta</v>
      </c>
    </row>
    <row r="65" spans="1:6" x14ac:dyDescent="0.25">
      <c r="A65" s="11">
        <f t="shared" si="0"/>
        <v>1120332</v>
      </c>
      <c r="B65" s="17">
        <v>1120332</v>
      </c>
      <c r="C65" s="17" t="s">
        <v>1865</v>
      </c>
      <c r="D65" s="17">
        <v>3530</v>
      </c>
      <c r="E65" s="17">
        <v>1</v>
      </c>
      <c r="F65" s="7" t="str">
        <f>IF(A65=IFERROR(VLOOKUP(A65,CATALOGO!$B$2:$B$600,1,FALSE),"Falta"),"", "Falta")</f>
        <v>Falta</v>
      </c>
    </row>
    <row r="66" spans="1:6" x14ac:dyDescent="0.25">
      <c r="A66" s="11">
        <f t="shared" si="0"/>
        <v>1120333</v>
      </c>
      <c r="B66" s="17">
        <v>1120333</v>
      </c>
      <c r="C66" s="17" t="s">
        <v>105</v>
      </c>
      <c r="D66" s="17">
        <v>3508.99</v>
      </c>
      <c r="E66" s="17">
        <v>4</v>
      </c>
      <c r="F66" s="7" t="str">
        <f>IF(A66=IFERROR(VLOOKUP(A66,CATALOGO!$B$2:$B$600,1,FALSE),"Falta"),"", "Falta")</f>
        <v>Falta</v>
      </c>
    </row>
    <row r="67" spans="1:6" x14ac:dyDescent="0.25">
      <c r="A67" s="11">
        <f t="shared" si="0"/>
        <v>1120335</v>
      </c>
      <c r="B67" s="17">
        <v>1120335</v>
      </c>
      <c r="C67" s="17" t="s">
        <v>106</v>
      </c>
      <c r="D67" s="17">
        <v>3690.49</v>
      </c>
      <c r="E67" s="17">
        <v>6</v>
      </c>
      <c r="F67" s="7" t="str">
        <f>IF(A67=IFERROR(VLOOKUP(A67,CATALOGO!$B$2:$B$600,1,FALSE),"Falta"),"", "Falta")</f>
        <v>Falta</v>
      </c>
    </row>
    <row r="68" spans="1:6" x14ac:dyDescent="0.25">
      <c r="A68" s="11">
        <f t="shared" si="0"/>
        <v>1120356</v>
      </c>
      <c r="B68" s="17">
        <v>1120356</v>
      </c>
      <c r="C68" s="17" t="s">
        <v>1866</v>
      </c>
      <c r="D68" s="17">
        <v>0</v>
      </c>
      <c r="E68" s="17">
        <v>1</v>
      </c>
      <c r="F68" s="7" t="str">
        <f>IF(A68=IFERROR(VLOOKUP(A68,CATALOGO!$B$2:$B$600,1,FALSE),"Falta"),"", "Falta")</f>
        <v>Falta</v>
      </c>
    </row>
    <row r="69" spans="1:6" x14ac:dyDescent="0.25">
      <c r="A69" s="11">
        <f t="shared" si="0"/>
        <v>1120414</v>
      </c>
      <c r="B69" s="17">
        <v>1120414</v>
      </c>
      <c r="C69" s="17" t="s">
        <v>161</v>
      </c>
      <c r="D69" s="17">
        <v>4658.49</v>
      </c>
      <c r="E69" s="17">
        <v>22</v>
      </c>
      <c r="F69" s="7" t="str">
        <f>IF(A69=IFERROR(VLOOKUP(A69,CATALOGO!$B$2:$B$600,1,FALSE),"Falta"),"", "Falta")</f>
        <v>Falta</v>
      </c>
    </row>
    <row r="70" spans="1:6" x14ac:dyDescent="0.25">
      <c r="A70" s="11">
        <f t="shared" ref="A70:A133" si="1">IFERROR(B70*1,"")</f>
        <v>1120415</v>
      </c>
      <c r="B70" s="17">
        <v>1120415</v>
      </c>
      <c r="C70" s="17" t="s">
        <v>162</v>
      </c>
      <c r="D70" s="17">
        <v>4718.99</v>
      </c>
      <c r="E70" s="17">
        <v>12</v>
      </c>
      <c r="F70" s="7" t="str">
        <f>IF(A70=IFERROR(VLOOKUP(A70,CATALOGO!$B$2:$B$600,1,FALSE),"Falta"),"", "Falta")</f>
        <v>Falta</v>
      </c>
    </row>
    <row r="71" spans="1:6" x14ac:dyDescent="0.25">
      <c r="A71" s="11">
        <f t="shared" si="1"/>
        <v>1120416</v>
      </c>
      <c r="B71" s="17">
        <v>1120416</v>
      </c>
      <c r="C71" s="17" t="s">
        <v>163</v>
      </c>
      <c r="D71" s="17">
        <v>4839.99</v>
      </c>
      <c r="E71" s="17">
        <v>9</v>
      </c>
      <c r="F71" s="7" t="str">
        <f>IF(A71=IFERROR(VLOOKUP(A71,CATALOGO!$B$2:$B$600,1,FALSE),"Falta"),"", "Falta")</f>
        <v>Falta</v>
      </c>
    </row>
    <row r="72" spans="1:6" x14ac:dyDescent="0.25">
      <c r="A72" s="11">
        <f t="shared" si="1"/>
        <v>1120428</v>
      </c>
      <c r="B72" s="17">
        <v>1120428</v>
      </c>
      <c r="C72" s="17" t="s">
        <v>180</v>
      </c>
      <c r="D72" s="17">
        <v>3266.99</v>
      </c>
      <c r="E72" s="17">
        <v>29</v>
      </c>
      <c r="F72" s="7" t="str">
        <f>IF(A72=IFERROR(VLOOKUP(A72,CATALOGO!$B$2:$B$600,1,FALSE),"Falta"),"", "Falta")</f>
        <v>Falta</v>
      </c>
    </row>
    <row r="73" spans="1:6" x14ac:dyDescent="0.25">
      <c r="A73" s="11">
        <f t="shared" si="1"/>
        <v>1120429</v>
      </c>
      <c r="B73" s="17">
        <v>1120429</v>
      </c>
      <c r="C73" s="17" t="s">
        <v>181</v>
      </c>
      <c r="D73" s="17">
        <v>3327.49</v>
      </c>
      <c r="E73" s="17">
        <v>26</v>
      </c>
      <c r="F73" s="7" t="str">
        <f>IF(A73=IFERROR(VLOOKUP(A73,CATALOGO!$B$2:$B$600,1,FALSE),"Falta"),"", "Falta")</f>
        <v>Falta</v>
      </c>
    </row>
    <row r="74" spans="1:6" x14ac:dyDescent="0.25">
      <c r="A74" s="11">
        <f t="shared" si="1"/>
        <v>1120433</v>
      </c>
      <c r="B74" s="17">
        <v>1120433</v>
      </c>
      <c r="C74" s="17" t="s">
        <v>56</v>
      </c>
      <c r="D74" s="17">
        <v>3690</v>
      </c>
      <c r="E74" s="17">
        <v>2</v>
      </c>
      <c r="F74" s="7" t="str">
        <f>IF(A74=IFERROR(VLOOKUP(A74,CATALOGO!$B$2:$B$600,1,FALSE),"Falta"),"", "Falta")</f>
        <v>Falta</v>
      </c>
    </row>
    <row r="75" spans="1:6" x14ac:dyDescent="0.25">
      <c r="A75" s="11">
        <f t="shared" si="1"/>
        <v>1120445</v>
      </c>
      <c r="B75" s="17">
        <v>1120445</v>
      </c>
      <c r="C75" s="17" t="s">
        <v>1452</v>
      </c>
      <c r="D75" s="17">
        <v>3490</v>
      </c>
      <c r="E75" s="17">
        <v>79</v>
      </c>
      <c r="F75" s="7" t="str">
        <f>IF(A75=IFERROR(VLOOKUP(A75,CATALOGO!$B$2:$B$600,1,FALSE),"Falta"),"", "Falta")</f>
        <v>Falta</v>
      </c>
    </row>
    <row r="76" spans="1:6" x14ac:dyDescent="0.25">
      <c r="A76" s="11">
        <f t="shared" si="1"/>
        <v>1120446</v>
      </c>
      <c r="B76" s="17">
        <v>1120446</v>
      </c>
      <c r="C76" s="17" t="s">
        <v>55</v>
      </c>
      <c r="D76" s="17">
        <v>3590</v>
      </c>
      <c r="E76" s="17">
        <v>2</v>
      </c>
      <c r="F76" s="7" t="str">
        <f>IF(A76=IFERROR(VLOOKUP(A76,CATALOGO!$B$2:$B$600,1,FALSE),"Falta"),"", "Falta")</f>
        <v>Falta</v>
      </c>
    </row>
    <row r="77" spans="1:6" x14ac:dyDescent="0.25">
      <c r="A77" s="11">
        <f t="shared" si="1"/>
        <v>1120449</v>
      </c>
      <c r="B77" s="17">
        <v>1120449</v>
      </c>
      <c r="C77" s="17" t="s">
        <v>183</v>
      </c>
      <c r="D77" s="17">
        <v>3327.49</v>
      </c>
      <c r="E77" s="17">
        <v>13</v>
      </c>
      <c r="F77" s="7" t="str">
        <f>IF(A77=IFERROR(VLOOKUP(A77,CATALOGO!$B$2:$B$600,1,FALSE),"Falta"),"", "Falta")</f>
        <v>Falta</v>
      </c>
    </row>
    <row r="78" spans="1:6" x14ac:dyDescent="0.25">
      <c r="A78" s="11">
        <f t="shared" si="1"/>
        <v>1120450</v>
      </c>
      <c r="B78" s="17">
        <v>1120450</v>
      </c>
      <c r="C78" s="17" t="s">
        <v>182</v>
      </c>
      <c r="D78" s="17">
        <v>3266.99</v>
      </c>
      <c r="E78" s="17">
        <v>17</v>
      </c>
      <c r="F78" s="7" t="str">
        <f>IF(A78=IFERROR(VLOOKUP(A78,CATALOGO!$B$2:$B$600,1,FALSE),"Falta"),"", "Falta")</f>
        <v>Falta</v>
      </c>
    </row>
    <row r="79" spans="1:6" x14ac:dyDescent="0.25">
      <c r="A79" s="11">
        <f t="shared" si="1"/>
        <v>1120455</v>
      </c>
      <c r="B79" s="17">
        <v>1120455</v>
      </c>
      <c r="C79" s="17" t="s">
        <v>68</v>
      </c>
      <c r="D79" s="17">
        <v>3629.99</v>
      </c>
      <c r="E79" s="17">
        <v>34</v>
      </c>
      <c r="F79" s="7" t="str">
        <f>IF(A79=IFERROR(VLOOKUP(A79,CATALOGO!$B$2:$B$600,1,FALSE),"Falta"),"", "Falta")</f>
        <v>Falta</v>
      </c>
    </row>
    <row r="80" spans="1:6" x14ac:dyDescent="0.25">
      <c r="A80" s="11">
        <f t="shared" si="1"/>
        <v>1120462</v>
      </c>
      <c r="B80" s="17">
        <v>1120462</v>
      </c>
      <c r="C80" s="17" t="s">
        <v>113</v>
      </c>
      <c r="D80" s="17">
        <v>3569.49</v>
      </c>
      <c r="E80" s="17">
        <v>40</v>
      </c>
      <c r="F80" s="7" t="str">
        <f>IF(A80=IFERROR(VLOOKUP(A80,CATALOGO!$B$2:$B$600,1,FALSE),"Falta"),"", "Falta")</f>
        <v>Falta</v>
      </c>
    </row>
    <row r="81" spans="1:6" x14ac:dyDescent="0.25">
      <c r="A81" s="11">
        <f t="shared" si="1"/>
        <v>1120463</v>
      </c>
      <c r="B81" s="17">
        <v>1120463</v>
      </c>
      <c r="C81" s="17" t="s">
        <v>114</v>
      </c>
      <c r="D81" s="17">
        <v>3690.49</v>
      </c>
      <c r="E81" s="17">
        <v>7</v>
      </c>
      <c r="F81" s="7" t="str">
        <f>IF(A81=IFERROR(VLOOKUP(A81,CATALOGO!$B$2:$B$600,1,FALSE),"Falta"),"", "Falta")</f>
        <v>Falta</v>
      </c>
    </row>
    <row r="82" spans="1:6" x14ac:dyDescent="0.25">
      <c r="A82" s="11">
        <f t="shared" si="1"/>
        <v>1120485</v>
      </c>
      <c r="B82" s="17">
        <v>1120485</v>
      </c>
      <c r="C82" s="17" t="s">
        <v>1090</v>
      </c>
      <c r="D82" s="17">
        <v>3600</v>
      </c>
      <c r="E82" s="17">
        <v>10</v>
      </c>
      <c r="F82" s="7" t="str">
        <f>IF(A82=IFERROR(VLOOKUP(A82,CATALOGO!$B$2:$B$600,1,FALSE),"Falta"),"", "Falta")</f>
        <v>Falta</v>
      </c>
    </row>
    <row r="83" spans="1:6" x14ac:dyDescent="0.25">
      <c r="A83" s="11">
        <f t="shared" si="1"/>
        <v>1120496</v>
      </c>
      <c r="B83" s="17">
        <v>1120496</v>
      </c>
      <c r="C83" s="17" t="s">
        <v>87</v>
      </c>
      <c r="D83" s="17">
        <v>3085.5</v>
      </c>
      <c r="E83" s="17">
        <v>15</v>
      </c>
      <c r="F83" s="7" t="str">
        <f>IF(A83=IFERROR(VLOOKUP(A83,CATALOGO!$B$2:$B$600,1,FALSE),"Falta"),"", "Falta")</f>
        <v>Falta</v>
      </c>
    </row>
    <row r="84" spans="1:6" x14ac:dyDescent="0.25">
      <c r="A84" s="11">
        <f t="shared" si="1"/>
        <v>1120497</v>
      </c>
      <c r="B84" s="17">
        <v>1120497</v>
      </c>
      <c r="C84" s="17" t="s">
        <v>88</v>
      </c>
      <c r="D84" s="17">
        <v>3146</v>
      </c>
      <c r="E84" s="17">
        <v>6</v>
      </c>
      <c r="F84" s="7" t="str">
        <f>IF(A84=IFERROR(VLOOKUP(A84,CATALOGO!$B$2:$B$600,1,FALSE),"Falta"),"", "Falta")</f>
        <v>Falta</v>
      </c>
    </row>
    <row r="85" spans="1:6" x14ac:dyDescent="0.25">
      <c r="A85" s="11">
        <f t="shared" si="1"/>
        <v>1120498</v>
      </c>
      <c r="B85" s="17">
        <v>1120498</v>
      </c>
      <c r="C85" s="17" t="s">
        <v>89</v>
      </c>
      <c r="D85" s="17">
        <v>3267</v>
      </c>
      <c r="E85" s="17">
        <v>1</v>
      </c>
      <c r="F85" s="7" t="str">
        <f>IF(A85=IFERROR(VLOOKUP(A85,CATALOGO!$B$2:$B$600,1,FALSE),"Falta"),"", "Falta")</f>
        <v>Falta</v>
      </c>
    </row>
    <row r="86" spans="1:6" x14ac:dyDescent="0.25">
      <c r="A86" s="11">
        <f t="shared" si="1"/>
        <v>1120499</v>
      </c>
      <c r="B86" s="17">
        <v>1120499</v>
      </c>
      <c r="C86" s="17" t="s">
        <v>86</v>
      </c>
      <c r="D86" s="17">
        <v>3025</v>
      </c>
      <c r="E86" s="17">
        <v>142</v>
      </c>
      <c r="F86" s="7" t="str">
        <f>IF(A86=IFERROR(VLOOKUP(A86,CATALOGO!$B$2:$B$600,1,FALSE),"Falta"),"", "Falta")</f>
        <v>Falta</v>
      </c>
    </row>
    <row r="87" spans="1:6" x14ac:dyDescent="0.25">
      <c r="A87" s="11">
        <f t="shared" si="1"/>
        <v>1120500</v>
      </c>
      <c r="B87" s="17">
        <v>1120500</v>
      </c>
      <c r="C87" s="17" t="s">
        <v>145</v>
      </c>
      <c r="D87" s="17">
        <v>4190</v>
      </c>
      <c r="E87" s="17">
        <v>14</v>
      </c>
      <c r="F87" s="7" t="str">
        <f>IF(A87=IFERROR(VLOOKUP(A87,CATALOGO!$B$2:$B$600,1,FALSE),"Falta"),"", "Falta")</f>
        <v>Falta</v>
      </c>
    </row>
    <row r="88" spans="1:6" x14ac:dyDescent="0.25">
      <c r="A88" s="11">
        <f t="shared" si="1"/>
        <v>1120501</v>
      </c>
      <c r="B88" s="17">
        <v>1120501</v>
      </c>
      <c r="C88" s="17" t="s">
        <v>146</v>
      </c>
      <c r="D88" s="17">
        <v>4290</v>
      </c>
      <c r="E88" s="17">
        <v>15</v>
      </c>
      <c r="F88" s="7" t="str">
        <f>IF(A88=IFERROR(VLOOKUP(A88,CATALOGO!$B$2:$B$600,1,FALSE),"Falta"),"", "Falta")</f>
        <v>Falta</v>
      </c>
    </row>
    <row r="89" spans="1:6" x14ac:dyDescent="0.25">
      <c r="A89" s="11">
        <f t="shared" si="1"/>
        <v>1120502</v>
      </c>
      <c r="B89" s="17">
        <v>1120502</v>
      </c>
      <c r="C89" s="17" t="s">
        <v>147</v>
      </c>
      <c r="D89" s="17">
        <v>4390</v>
      </c>
      <c r="E89" s="17">
        <v>4</v>
      </c>
      <c r="F89" s="7" t="str">
        <f>IF(A89=IFERROR(VLOOKUP(A89,CATALOGO!$B$2:$B$600,1,FALSE),"Falta"),"", "Falta")</f>
        <v>Falta</v>
      </c>
    </row>
    <row r="90" spans="1:6" x14ac:dyDescent="0.25">
      <c r="A90" s="11">
        <f t="shared" si="1"/>
        <v>1120504</v>
      </c>
      <c r="B90" s="17">
        <v>1120504</v>
      </c>
      <c r="C90" s="17" t="s">
        <v>151</v>
      </c>
      <c r="D90" s="17">
        <v>4190</v>
      </c>
      <c r="E90" s="17">
        <v>59</v>
      </c>
      <c r="F90" s="7" t="str">
        <f>IF(A90=IFERROR(VLOOKUP(A90,CATALOGO!$B$2:$B$600,1,FALSE),"Falta"),"", "Falta")</f>
        <v>Falta</v>
      </c>
    </row>
    <row r="91" spans="1:6" x14ac:dyDescent="0.25">
      <c r="A91" s="11">
        <f t="shared" si="1"/>
        <v>1120505</v>
      </c>
      <c r="B91" s="17">
        <v>1120505</v>
      </c>
      <c r="C91" s="17" t="s">
        <v>152</v>
      </c>
      <c r="D91" s="17">
        <v>4290</v>
      </c>
      <c r="E91" s="17">
        <v>12</v>
      </c>
      <c r="F91" s="7" t="str">
        <f>IF(A91=IFERROR(VLOOKUP(A91,CATALOGO!$B$2:$B$600,1,FALSE),"Falta"),"", "Falta")</f>
        <v>Falta</v>
      </c>
    </row>
    <row r="92" spans="1:6" x14ac:dyDescent="0.25">
      <c r="A92" s="11">
        <f t="shared" si="1"/>
        <v>1120506</v>
      </c>
      <c r="B92" s="17">
        <v>1120506</v>
      </c>
      <c r="C92" s="17" t="s">
        <v>153</v>
      </c>
      <c r="D92" s="17">
        <v>4390</v>
      </c>
      <c r="E92" s="17">
        <v>1</v>
      </c>
      <c r="F92" s="7" t="str">
        <f>IF(A92=IFERROR(VLOOKUP(A92,CATALOGO!$B$2:$B$600,1,FALSE),"Falta"),"", "Falta")</f>
        <v>Falta</v>
      </c>
    </row>
    <row r="93" spans="1:6" x14ac:dyDescent="0.25">
      <c r="A93" s="11">
        <f t="shared" si="1"/>
        <v>1120560</v>
      </c>
      <c r="B93" s="17">
        <v>1120560</v>
      </c>
      <c r="C93" s="17" t="s">
        <v>1092</v>
      </c>
      <c r="D93" s="17">
        <v>1376.06</v>
      </c>
      <c r="E93" s="17">
        <v>1</v>
      </c>
      <c r="F93" s="7" t="str">
        <f>IF(A93=IFERROR(VLOOKUP(A93,CATALOGO!$B$2:$B$600,1,FALSE),"Falta"),"", "Falta")</f>
        <v>Falta</v>
      </c>
    </row>
    <row r="94" spans="1:6" x14ac:dyDescent="0.25">
      <c r="A94" s="11">
        <f t="shared" si="1"/>
        <v>1120623</v>
      </c>
      <c r="B94" s="17">
        <v>1120623</v>
      </c>
      <c r="C94" s="17" t="s">
        <v>1443</v>
      </c>
      <c r="D94" s="17">
        <v>3490</v>
      </c>
      <c r="E94" s="17">
        <v>28</v>
      </c>
      <c r="F94" s="7" t="str">
        <f>IF(A94=IFERROR(VLOOKUP(A94,CATALOGO!$B$2:$B$600,1,FALSE),"Falta"),"", "Falta")</f>
        <v>Falta</v>
      </c>
    </row>
    <row r="95" spans="1:6" x14ac:dyDescent="0.25">
      <c r="A95" s="11">
        <f t="shared" si="1"/>
        <v>1120640</v>
      </c>
      <c r="B95" s="17">
        <v>1120640</v>
      </c>
      <c r="C95" s="17" t="s">
        <v>57</v>
      </c>
      <c r="D95" s="17">
        <v>3871.99</v>
      </c>
      <c r="E95" s="17">
        <v>38</v>
      </c>
      <c r="F95" s="7" t="str">
        <f>IF(A95=IFERROR(VLOOKUP(A95,CATALOGO!$B$2:$B$600,1,FALSE),"Falta"),"", "Falta")</f>
        <v>Falta</v>
      </c>
    </row>
    <row r="96" spans="1:6" x14ac:dyDescent="0.25">
      <c r="A96" s="11">
        <f t="shared" si="1"/>
        <v>1120641</v>
      </c>
      <c r="B96" s="17">
        <v>1120641</v>
      </c>
      <c r="C96" s="17" t="s">
        <v>58</v>
      </c>
      <c r="D96" s="17">
        <v>3932.49</v>
      </c>
      <c r="E96" s="17">
        <v>21</v>
      </c>
      <c r="F96" s="7" t="str">
        <f>IF(A96=IFERROR(VLOOKUP(A96,CATALOGO!$B$2:$B$600,1,FALSE),"Falta"),"", "Falta")</f>
        <v>Falta</v>
      </c>
    </row>
    <row r="97" spans="1:6" x14ac:dyDescent="0.25">
      <c r="A97" s="11">
        <f t="shared" si="1"/>
        <v>1120642</v>
      </c>
      <c r="B97" s="17">
        <v>1120642</v>
      </c>
      <c r="C97" s="17" t="s">
        <v>59</v>
      </c>
      <c r="D97" s="17">
        <v>4053.49</v>
      </c>
      <c r="E97" s="17">
        <v>2</v>
      </c>
      <c r="F97" s="7" t="str">
        <f>IF(A97=IFERROR(VLOOKUP(A97,CATALOGO!$B$2:$B$600,1,FALSE),"Falta"),"", "Falta")</f>
        <v>Falta</v>
      </c>
    </row>
    <row r="98" spans="1:6" x14ac:dyDescent="0.25">
      <c r="A98" s="11">
        <f t="shared" si="1"/>
        <v>1120666</v>
      </c>
      <c r="B98" s="17">
        <v>1120666</v>
      </c>
      <c r="C98" s="17" t="s">
        <v>101</v>
      </c>
      <c r="D98" s="17">
        <v>3508.99</v>
      </c>
      <c r="E98" s="17">
        <v>2</v>
      </c>
      <c r="F98" s="7" t="str">
        <f>IF(A98=IFERROR(VLOOKUP(A98,CATALOGO!$B$2:$B$600,1,FALSE),"Falta"),"", "Falta")</f>
        <v>Falta</v>
      </c>
    </row>
    <row r="99" spans="1:6" x14ac:dyDescent="0.25">
      <c r="A99" s="11">
        <f t="shared" si="1"/>
        <v>1120667</v>
      </c>
      <c r="B99" s="17">
        <v>1120667</v>
      </c>
      <c r="C99" s="17" t="s">
        <v>102</v>
      </c>
      <c r="D99" s="17">
        <v>3569.49</v>
      </c>
      <c r="E99" s="17">
        <v>4</v>
      </c>
      <c r="F99" s="7" t="str">
        <f>IF(A99=IFERROR(VLOOKUP(A99,CATALOGO!$B$2:$B$600,1,FALSE),"Falta"),"", "Falta")</f>
        <v>Falta</v>
      </c>
    </row>
    <row r="100" spans="1:6" x14ac:dyDescent="0.25">
      <c r="A100" s="11">
        <f t="shared" si="1"/>
        <v>1120668</v>
      </c>
      <c r="B100" s="17">
        <v>1120668</v>
      </c>
      <c r="C100" s="17" t="s">
        <v>103</v>
      </c>
      <c r="D100" s="17">
        <v>3690.49</v>
      </c>
      <c r="E100" s="17">
        <v>1</v>
      </c>
      <c r="F100" s="7" t="str">
        <f>IF(A100=IFERROR(VLOOKUP(A100,CATALOGO!$B$2:$B$600,1,FALSE),"Falta"),"", "Falta")</f>
        <v>Falta</v>
      </c>
    </row>
    <row r="101" spans="1:6" x14ac:dyDescent="0.25">
      <c r="A101" s="11">
        <f t="shared" si="1"/>
        <v>1120669</v>
      </c>
      <c r="B101" s="17">
        <v>1120669</v>
      </c>
      <c r="C101" s="17" t="s">
        <v>104</v>
      </c>
      <c r="D101" s="17">
        <v>3811.49</v>
      </c>
      <c r="E101" s="17">
        <v>3</v>
      </c>
      <c r="F101" s="7" t="str">
        <f>IF(A101=IFERROR(VLOOKUP(A101,CATALOGO!$B$2:$B$600,1,FALSE),"Falta"),"", "Falta")</f>
        <v>Falta</v>
      </c>
    </row>
    <row r="102" spans="1:6" x14ac:dyDescent="0.25">
      <c r="A102" s="11">
        <f t="shared" si="1"/>
        <v>1120700</v>
      </c>
      <c r="B102" s="17">
        <v>1120700</v>
      </c>
      <c r="C102" s="17" t="s">
        <v>1453</v>
      </c>
      <c r="D102" s="17">
        <v>3400</v>
      </c>
      <c r="E102" s="17">
        <v>38</v>
      </c>
      <c r="F102" s="7" t="str">
        <f>IF(A102=IFERROR(VLOOKUP(A102,CATALOGO!$B$2:$B$600,1,FALSE),"Falta"),"", "Falta")</f>
        <v>Falta</v>
      </c>
    </row>
    <row r="103" spans="1:6" x14ac:dyDescent="0.25">
      <c r="A103" s="11">
        <f t="shared" si="1"/>
        <v>1120720</v>
      </c>
      <c r="B103" s="17">
        <v>1120720</v>
      </c>
      <c r="C103" s="17" t="s">
        <v>154</v>
      </c>
      <c r="D103" s="17">
        <v>3990</v>
      </c>
      <c r="E103" s="17">
        <v>36</v>
      </c>
      <c r="F103" s="7" t="str">
        <f>IF(A103=IFERROR(VLOOKUP(A103,CATALOGO!$B$2:$B$600,1,FALSE),"Falta"),"", "Falta")</f>
        <v>Falta</v>
      </c>
    </row>
    <row r="104" spans="1:6" x14ac:dyDescent="0.25">
      <c r="A104" s="11">
        <f t="shared" si="1"/>
        <v>1120721</v>
      </c>
      <c r="B104" s="17">
        <v>1120721</v>
      </c>
      <c r="C104" s="17" t="s">
        <v>155</v>
      </c>
      <c r="D104" s="17">
        <v>4090</v>
      </c>
      <c r="E104" s="17">
        <v>70</v>
      </c>
      <c r="F104" s="7" t="str">
        <f>IF(A104=IFERROR(VLOOKUP(A104,CATALOGO!$B$2:$B$600,1,FALSE),"Falta"),"", "Falta")</f>
        <v>Falta</v>
      </c>
    </row>
    <row r="105" spans="1:6" x14ac:dyDescent="0.25">
      <c r="A105" s="11">
        <f t="shared" si="1"/>
        <v>1120722</v>
      </c>
      <c r="B105" s="17">
        <v>1120722</v>
      </c>
      <c r="C105" s="17" t="s">
        <v>1867</v>
      </c>
      <c r="D105" s="17">
        <v>0</v>
      </c>
      <c r="E105" s="17">
        <v>4</v>
      </c>
      <c r="F105" s="7" t="str">
        <f>IF(A105=IFERROR(VLOOKUP(A105,CATALOGO!$B$2:$B$600,1,FALSE),"Falta"),"", "Falta")</f>
        <v>Falta</v>
      </c>
    </row>
    <row r="106" spans="1:6" x14ac:dyDescent="0.25">
      <c r="A106" s="11">
        <f t="shared" si="1"/>
        <v>1120724</v>
      </c>
      <c r="B106" s="17">
        <v>1120724</v>
      </c>
      <c r="C106" s="17" t="s">
        <v>156</v>
      </c>
      <c r="D106" s="17">
        <v>3990</v>
      </c>
      <c r="E106" s="17">
        <v>19</v>
      </c>
      <c r="F106" s="7" t="str">
        <f>IF(A106=IFERROR(VLOOKUP(A106,CATALOGO!$B$2:$B$600,1,FALSE),"Falta"),"", "Falta")</f>
        <v>Falta</v>
      </c>
    </row>
    <row r="107" spans="1:6" x14ac:dyDescent="0.25">
      <c r="A107" s="11">
        <f t="shared" si="1"/>
        <v>1120725</v>
      </c>
      <c r="B107" s="17">
        <v>1120725</v>
      </c>
      <c r="C107" s="17" t="s">
        <v>157</v>
      </c>
      <c r="D107" s="17">
        <v>4090</v>
      </c>
      <c r="E107" s="17">
        <v>10</v>
      </c>
      <c r="F107" s="7" t="str">
        <f>IF(A107=IFERROR(VLOOKUP(A107,CATALOGO!$B$2:$B$600,1,FALSE),"Falta"),"", "Falta")</f>
        <v>Falta</v>
      </c>
    </row>
    <row r="108" spans="1:6" x14ac:dyDescent="0.25">
      <c r="A108" s="11">
        <f t="shared" si="1"/>
        <v>1120728</v>
      </c>
      <c r="B108" s="17">
        <v>1120728</v>
      </c>
      <c r="C108" s="17" t="s">
        <v>1454</v>
      </c>
      <c r="D108" s="17">
        <v>3629.99</v>
      </c>
      <c r="E108" s="17">
        <v>1</v>
      </c>
      <c r="F108" s="7" t="str">
        <f>IF(A108=IFERROR(VLOOKUP(A108,CATALOGO!$B$2:$B$600,1,FALSE),"Falta"),"", "Falta")</f>
        <v>Falta</v>
      </c>
    </row>
    <row r="109" spans="1:6" x14ac:dyDescent="0.25">
      <c r="A109" s="11">
        <f t="shared" si="1"/>
        <v>1120737</v>
      </c>
      <c r="B109" s="17">
        <v>1120737</v>
      </c>
      <c r="C109" s="17" t="s">
        <v>1455</v>
      </c>
      <c r="D109" s="17">
        <v>3690.49</v>
      </c>
      <c r="E109" s="17">
        <v>2</v>
      </c>
      <c r="F109" s="7" t="str">
        <f>IF(A109=IFERROR(VLOOKUP(A109,CATALOGO!$B$2:$B$600,1,FALSE),"Falta"),"", "Falta")</f>
        <v>Falta</v>
      </c>
    </row>
    <row r="110" spans="1:6" x14ac:dyDescent="0.25">
      <c r="A110" s="11">
        <f t="shared" si="1"/>
        <v>1120738</v>
      </c>
      <c r="B110" s="17">
        <v>1120738</v>
      </c>
      <c r="C110" s="17" t="s">
        <v>1456</v>
      </c>
      <c r="D110" s="17">
        <v>3811.49</v>
      </c>
      <c r="E110" s="17">
        <v>2</v>
      </c>
      <c r="F110" s="7" t="str">
        <f>IF(A110=IFERROR(VLOOKUP(A110,CATALOGO!$B$2:$B$600,1,FALSE),"Falta"),"", "Falta")</f>
        <v>Falta</v>
      </c>
    </row>
    <row r="111" spans="1:6" x14ac:dyDescent="0.25">
      <c r="A111" s="11">
        <f t="shared" si="1"/>
        <v>1120750</v>
      </c>
      <c r="B111" s="17">
        <v>1120750</v>
      </c>
      <c r="C111" s="17" t="s">
        <v>109</v>
      </c>
      <c r="D111" s="17">
        <v>2970</v>
      </c>
      <c r="E111" s="17">
        <v>30</v>
      </c>
      <c r="F111" s="7" t="str">
        <f>IF(A111=IFERROR(VLOOKUP(A111,CATALOGO!$B$2:$B$600,1,FALSE),"Falta"),"", "Falta")</f>
        <v>Falta</v>
      </c>
    </row>
    <row r="112" spans="1:6" x14ac:dyDescent="0.25">
      <c r="A112" s="11">
        <f t="shared" si="1"/>
        <v>1120751</v>
      </c>
      <c r="B112" s="17">
        <v>1120751</v>
      </c>
      <c r="C112" s="17" t="s">
        <v>110</v>
      </c>
      <c r="D112" s="17">
        <v>3080</v>
      </c>
      <c r="E112" s="17">
        <v>35</v>
      </c>
      <c r="F112" s="7" t="str">
        <f>IF(A112=IFERROR(VLOOKUP(A112,CATALOGO!$B$2:$B$600,1,FALSE),"Falta"),"", "Falta")</f>
        <v>Falta</v>
      </c>
    </row>
    <row r="113" spans="1:6" x14ac:dyDescent="0.25">
      <c r="A113" s="11">
        <f t="shared" si="1"/>
        <v>1120752</v>
      </c>
      <c r="B113" s="17">
        <v>1120752</v>
      </c>
      <c r="C113" s="17" t="s">
        <v>111</v>
      </c>
      <c r="D113" s="17">
        <v>3190</v>
      </c>
      <c r="E113" s="17">
        <v>3</v>
      </c>
      <c r="F113" s="7" t="str">
        <f>IF(A113=IFERROR(VLOOKUP(A113,CATALOGO!$B$2:$B$600,1,FALSE),"Falta"),"", "Falta")</f>
        <v>Falta</v>
      </c>
    </row>
    <row r="114" spans="1:6" x14ac:dyDescent="0.25">
      <c r="A114" s="11">
        <f t="shared" si="1"/>
        <v>1120764</v>
      </c>
      <c r="B114" s="17">
        <v>1120764</v>
      </c>
      <c r="C114" s="17" t="s">
        <v>1078</v>
      </c>
      <c r="D114" s="17">
        <v>3200</v>
      </c>
      <c r="E114" s="17">
        <v>178</v>
      </c>
      <c r="F114" s="7" t="str">
        <f>IF(A114=IFERROR(VLOOKUP(A114,CATALOGO!$B$2:$B$600,1,FALSE),"Falta"),"", "Falta")</f>
        <v/>
      </c>
    </row>
    <row r="115" spans="1:6" x14ac:dyDescent="0.25">
      <c r="A115" s="11">
        <f t="shared" si="1"/>
        <v>1120765</v>
      </c>
      <c r="B115" s="17">
        <v>1120765</v>
      </c>
      <c r="C115" s="17" t="s">
        <v>1075</v>
      </c>
      <c r="D115" s="17">
        <v>4437.3599999999997</v>
      </c>
      <c r="E115" s="17">
        <v>23</v>
      </c>
      <c r="F115" s="7" t="str">
        <f>IF(A115=IFERROR(VLOOKUP(A115,CATALOGO!$B$2:$B$600,1,FALSE),"Falta"),"", "Falta")</f>
        <v>Falta</v>
      </c>
    </row>
    <row r="116" spans="1:6" x14ac:dyDescent="0.25">
      <c r="A116" s="11">
        <f t="shared" si="1"/>
        <v>1120766</v>
      </c>
      <c r="B116" s="17">
        <v>1120766</v>
      </c>
      <c r="C116" s="17" t="s">
        <v>1076</v>
      </c>
      <c r="D116" s="17">
        <v>4590.42</v>
      </c>
      <c r="E116" s="17">
        <v>18</v>
      </c>
      <c r="F116" s="7" t="str">
        <f>IF(A116=IFERROR(VLOOKUP(A116,CATALOGO!$B$2:$B$600,1,FALSE),"Falta"),"", "Falta")</f>
        <v>Falta</v>
      </c>
    </row>
    <row r="117" spans="1:6" x14ac:dyDescent="0.25">
      <c r="A117" s="11">
        <f t="shared" si="1"/>
        <v>1120767</v>
      </c>
      <c r="B117" s="17">
        <v>1120767</v>
      </c>
      <c r="C117" s="17" t="s">
        <v>1077</v>
      </c>
      <c r="D117" s="17">
        <v>4743.49</v>
      </c>
      <c r="E117" s="17">
        <v>7</v>
      </c>
      <c r="F117" s="7" t="str">
        <f>IF(A117=IFERROR(VLOOKUP(A117,CATALOGO!$B$2:$B$600,1,FALSE),"Falta"),"", "Falta")</f>
        <v>Falta</v>
      </c>
    </row>
    <row r="118" spans="1:6" x14ac:dyDescent="0.25">
      <c r="A118" s="11">
        <f t="shared" si="1"/>
        <v>1120772</v>
      </c>
      <c r="B118" s="17">
        <v>1120772</v>
      </c>
      <c r="C118" s="17" t="s">
        <v>1079</v>
      </c>
      <c r="D118" s="17">
        <v>3399.99</v>
      </c>
      <c r="E118" s="17">
        <v>38</v>
      </c>
      <c r="F118" s="7" t="str">
        <f>IF(A118=IFERROR(VLOOKUP(A118,CATALOGO!$B$2:$B$600,1,FALSE),"Falta"),"", "Falta")</f>
        <v>Falta</v>
      </c>
    </row>
    <row r="119" spans="1:6" x14ac:dyDescent="0.25">
      <c r="A119" s="11">
        <f t="shared" si="1"/>
        <v>1120773</v>
      </c>
      <c r="B119" s="17">
        <v>1120773</v>
      </c>
      <c r="C119" s="17" t="s">
        <v>1080</v>
      </c>
      <c r="D119" s="17">
        <v>3600</v>
      </c>
      <c r="E119" s="17">
        <v>9</v>
      </c>
      <c r="F119" s="7" t="str">
        <f>IF(A119=IFERROR(VLOOKUP(A119,CATALOGO!$B$2:$B$600,1,FALSE),"Falta"),"", "Falta")</f>
        <v>Falta</v>
      </c>
    </row>
    <row r="120" spans="1:6" x14ac:dyDescent="0.25">
      <c r="A120" s="11">
        <f t="shared" si="1"/>
        <v>1120780</v>
      </c>
      <c r="B120" s="17">
        <v>1120780</v>
      </c>
      <c r="C120" s="17" t="s">
        <v>1081</v>
      </c>
      <c r="D120" s="17">
        <v>3200</v>
      </c>
      <c r="E120" s="17">
        <v>15</v>
      </c>
      <c r="F120" s="7" t="str">
        <f>IF(A120=IFERROR(VLOOKUP(A120,CATALOGO!$B$2:$B$600,1,FALSE),"Falta"),"", "Falta")</f>
        <v>Falta</v>
      </c>
    </row>
    <row r="121" spans="1:6" x14ac:dyDescent="0.25">
      <c r="A121" s="11">
        <f t="shared" si="1"/>
        <v>1120781</v>
      </c>
      <c r="B121" s="17">
        <v>1120781</v>
      </c>
      <c r="C121" s="17" t="s">
        <v>1082</v>
      </c>
      <c r="D121" s="17">
        <v>3399.99</v>
      </c>
      <c r="E121" s="17">
        <v>6</v>
      </c>
      <c r="F121" s="7" t="str">
        <f>IF(A121=IFERROR(VLOOKUP(A121,CATALOGO!$B$2:$B$600,1,FALSE),"Falta"),"", "Falta")</f>
        <v>Falta</v>
      </c>
    </row>
    <row r="122" spans="1:6" x14ac:dyDescent="0.25">
      <c r="A122" s="11">
        <f t="shared" si="1"/>
        <v>1120789</v>
      </c>
      <c r="B122" s="17">
        <v>1120789</v>
      </c>
      <c r="C122" s="17" t="s">
        <v>132</v>
      </c>
      <c r="D122" s="17">
        <v>3024.99</v>
      </c>
      <c r="E122" s="17">
        <v>101</v>
      </c>
      <c r="F122" s="7" t="str">
        <f>IF(A122=IFERROR(VLOOKUP(A122,CATALOGO!$B$2:$B$600,1,FALSE),"Falta"),"", "Falta")</f>
        <v>Falta</v>
      </c>
    </row>
    <row r="123" spans="1:6" x14ac:dyDescent="0.25">
      <c r="A123" s="11">
        <f t="shared" si="1"/>
        <v>1120790</v>
      </c>
      <c r="B123" s="17">
        <v>1120790</v>
      </c>
      <c r="C123" s="17" t="s">
        <v>133</v>
      </c>
      <c r="D123" s="17">
        <v>3085.49</v>
      </c>
      <c r="E123" s="17">
        <v>29</v>
      </c>
      <c r="F123" s="7" t="str">
        <f>IF(A123=IFERROR(VLOOKUP(A123,CATALOGO!$B$2:$B$600,1,FALSE),"Falta"),"", "Falta")</f>
        <v>Falta</v>
      </c>
    </row>
    <row r="124" spans="1:6" x14ac:dyDescent="0.25">
      <c r="A124" s="11">
        <f t="shared" si="1"/>
        <v>1120791</v>
      </c>
      <c r="B124" s="17">
        <v>1120791</v>
      </c>
      <c r="C124" s="17" t="s">
        <v>134</v>
      </c>
      <c r="D124" s="17">
        <v>3206.49</v>
      </c>
      <c r="E124" s="17">
        <v>3</v>
      </c>
      <c r="F124" s="7" t="str">
        <f>IF(A124=IFERROR(VLOOKUP(A124,CATALOGO!$B$2:$B$600,1,FALSE),"Falta"),"", "Falta")</f>
        <v>Falta</v>
      </c>
    </row>
    <row r="125" spans="1:6" x14ac:dyDescent="0.25">
      <c r="A125" s="11">
        <f t="shared" si="1"/>
        <v>1120795</v>
      </c>
      <c r="B125" s="17">
        <v>1120795</v>
      </c>
      <c r="C125" s="17" t="s">
        <v>1457</v>
      </c>
      <c r="D125" s="17">
        <v>4438.87</v>
      </c>
      <c r="E125" s="17">
        <v>8</v>
      </c>
      <c r="F125" s="7" t="str">
        <f>IF(A125=IFERROR(VLOOKUP(A125,CATALOGO!$B$2:$B$600,1,FALSE),"Falta"),"", "Falta")</f>
        <v>Falta</v>
      </c>
    </row>
    <row r="126" spans="1:6" x14ac:dyDescent="0.25">
      <c r="A126" s="11">
        <f t="shared" si="1"/>
        <v>1120796</v>
      </c>
      <c r="B126" s="17">
        <v>1120796</v>
      </c>
      <c r="C126" s="17" t="s">
        <v>1088</v>
      </c>
      <c r="D126" s="17">
        <v>4591.9399999999996</v>
      </c>
      <c r="E126" s="17">
        <v>3</v>
      </c>
      <c r="F126" s="7" t="str">
        <f>IF(A126=IFERROR(VLOOKUP(A126,CATALOGO!$B$2:$B$600,1,FALSE),"Falta"),"", "Falta")</f>
        <v>Falta</v>
      </c>
    </row>
    <row r="127" spans="1:6" x14ac:dyDescent="0.25">
      <c r="A127" s="11">
        <f t="shared" si="1"/>
        <v>1120800</v>
      </c>
      <c r="B127" s="17">
        <v>1120800</v>
      </c>
      <c r="C127" s="17" t="s">
        <v>94</v>
      </c>
      <c r="D127" s="17">
        <v>2970</v>
      </c>
      <c r="E127" s="17">
        <v>9</v>
      </c>
      <c r="F127" s="7" t="str">
        <f>IF(A127=IFERROR(VLOOKUP(A127,CATALOGO!$B$2:$B$600,1,FALSE),"Falta"),"", "Falta")</f>
        <v>Falta</v>
      </c>
    </row>
    <row r="128" spans="1:6" x14ac:dyDescent="0.25">
      <c r="A128" s="11">
        <f t="shared" si="1"/>
        <v>1120801</v>
      </c>
      <c r="B128" s="17">
        <v>1120801</v>
      </c>
      <c r="C128" s="17" t="s">
        <v>95</v>
      </c>
      <c r="D128" s="17">
        <v>3080</v>
      </c>
      <c r="E128" s="17">
        <v>10</v>
      </c>
      <c r="F128" s="7" t="str">
        <f>IF(A128=IFERROR(VLOOKUP(A128,CATALOGO!$B$2:$B$600,1,FALSE),"Falta"),"", "Falta")</f>
        <v>Falta</v>
      </c>
    </row>
    <row r="129" spans="1:6" x14ac:dyDescent="0.25">
      <c r="A129" s="11">
        <f t="shared" si="1"/>
        <v>1120802</v>
      </c>
      <c r="B129" s="17">
        <v>1120802</v>
      </c>
      <c r="C129" s="17" t="s">
        <v>96</v>
      </c>
      <c r="D129" s="17">
        <v>3190</v>
      </c>
      <c r="E129" s="17">
        <v>1</v>
      </c>
      <c r="F129" s="7" t="str">
        <f>IF(A129=IFERROR(VLOOKUP(A129,CATALOGO!$B$2:$B$600,1,FALSE),"Falta"),"", "Falta")</f>
        <v>Falta</v>
      </c>
    </row>
    <row r="130" spans="1:6" x14ac:dyDescent="0.25">
      <c r="A130" s="11">
        <f t="shared" si="1"/>
        <v>1120840</v>
      </c>
      <c r="B130" s="17">
        <v>1120840</v>
      </c>
      <c r="C130" s="17" t="s">
        <v>1084</v>
      </c>
      <c r="D130" s="17">
        <v>2600.58</v>
      </c>
      <c r="E130" s="17">
        <v>74</v>
      </c>
      <c r="F130" s="7" t="str">
        <f>IF(A130=IFERROR(VLOOKUP(A130,CATALOGO!$B$2:$B$600,1,FALSE),"Falta"),"", "Falta")</f>
        <v/>
      </c>
    </row>
    <row r="131" spans="1:6" x14ac:dyDescent="0.25">
      <c r="A131" s="11">
        <f t="shared" si="1"/>
        <v>1120841</v>
      </c>
      <c r="B131" s="17">
        <v>1120841</v>
      </c>
      <c r="C131" s="17" t="s">
        <v>1085</v>
      </c>
      <c r="D131" s="17">
        <v>3400</v>
      </c>
      <c r="E131" s="17">
        <v>37</v>
      </c>
      <c r="F131" s="7" t="str">
        <f>IF(A131=IFERROR(VLOOKUP(A131,CATALOGO!$B$2:$B$600,1,FALSE),"Falta"),"", "Falta")</f>
        <v>Falta</v>
      </c>
    </row>
    <row r="132" spans="1:6" x14ac:dyDescent="0.25">
      <c r="A132" s="11">
        <f t="shared" si="1"/>
        <v>1120842</v>
      </c>
      <c r="B132" s="17">
        <v>1120842</v>
      </c>
      <c r="C132" s="17" t="s">
        <v>1458</v>
      </c>
      <c r="D132" s="17">
        <v>3600</v>
      </c>
      <c r="E132" s="17">
        <v>8</v>
      </c>
      <c r="F132" s="7" t="str">
        <f>IF(A132=IFERROR(VLOOKUP(A132,CATALOGO!$B$2:$B$600,1,FALSE),"Falta"),"", "Falta")</f>
        <v>Falta</v>
      </c>
    </row>
    <row r="133" spans="1:6" x14ac:dyDescent="0.25">
      <c r="A133" s="11">
        <f t="shared" si="1"/>
        <v>1120850</v>
      </c>
      <c r="B133" s="17">
        <v>1120850</v>
      </c>
      <c r="C133" s="17" t="s">
        <v>60</v>
      </c>
      <c r="D133" s="17">
        <v>3871.99</v>
      </c>
      <c r="E133" s="17">
        <v>51</v>
      </c>
      <c r="F133" s="7" t="str">
        <f>IF(A133=IFERROR(VLOOKUP(A133,CATALOGO!$B$2:$B$600,1,FALSE),"Falta"),"", "Falta")</f>
        <v>Falta</v>
      </c>
    </row>
    <row r="134" spans="1:6" x14ac:dyDescent="0.25">
      <c r="A134" s="11">
        <f t="shared" ref="A134:A197" si="2">IFERROR(B134*1,"")</f>
        <v>1120851</v>
      </c>
      <c r="B134" s="17">
        <v>1120851</v>
      </c>
      <c r="C134" s="17" t="s">
        <v>61</v>
      </c>
      <c r="D134" s="17">
        <v>3932.49</v>
      </c>
      <c r="E134" s="17">
        <v>15</v>
      </c>
      <c r="F134" s="7" t="str">
        <f>IF(A134=IFERROR(VLOOKUP(A134,CATALOGO!$B$2:$B$600,1,FALSE),"Falta"),"", "Falta")</f>
        <v>Falta</v>
      </c>
    </row>
    <row r="135" spans="1:6" x14ac:dyDescent="0.25">
      <c r="A135" s="11">
        <f t="shared" si="2"/>
        <v>1120852</v>
      </c>
      <c r="B135" s="17">
        <v>1120852</v>
      </c>
      <c r="C135" s="17" t="s">
        <v>62</v>
      </c>
      <c r="D135" s="17">
        <v>4053.49</v>
      </c>
      <c r="E135" s="17">
        <v>10</v>
      </c>
      <c r="F135" s="7" t="str">
        <f>IF(A135=IFERROR(VLOOKUP(A135,CATALOGO!$B$2:$B$600,1,FALSE),"Falta"),"", "Falta")</f>
        <v>Falta</v>
      </c>
    </row>
    <row r="136" spans="1:6" x14ac:dyDescent="0.25">
      <c r="A136" s="11">
        <f t="shared" si="2"/>
        <v>1120856</v>
      </c>
      <c r="B136" s="17">
        <v>1120856</v>
      </c>
      <c r="C136" s="17" t="s">
        <v>52</v>
      </c>
      <c r="D136" s="17">
        <v>3490</v>
      </c>
      <c r="E136" s="17">
        <v>154</v>
      </c>
      <c r="F136" s="7" t="str">
        <f>IF(A136=IFERROR(VLOOKUP(A136,CATALOGO!$B$2:$B$600,1,FALSE),"Falta"),"", "Falta")</f>
        <v>Falta</v>
      </c>
    </row>
    <row r="137" spans="1:6" x14ac:dyDescent="0.25">
      <c r="A137" s="11">
        <f t="shared" si="2"/>
        <v>1120857</v>
      </c>
      <c r="B137" s="17">
        <v>1120857</v>
      </c>
      <c r="C137" s="17" t="s">
        <v>53</v>
      </c>
      <c r="D137" s="17">
        <v>3590</v>
      </c>
      <c r="E137" s="17">
        <v>40</v>
      </c>
      <c r="F137" s="7" t="str">
        <f>IF(A137=IFERROR(VLOOKUP(A137,CATALOGO!$B$2:$B$600,1,FALSE),"Falta"),"", "Falta")</f>
        <v>Falta</v>
      </c>
    </row>
    <row r="138" spans="1:6" x14ac:dyDescent="0.25">
      <c r="A138" s="11">
        <f t="shared" si="2"/>
        <v>1120858</v>
      </c>
      <c r="B138" s="17">
        <v>1120858</v>
      </c>
      <c r="C138" s="17" t="s">
        <v>63</v>
      </c>
      <c r="D138" s="17">
        <v>3490</v>
      </c>
      <c r="E138" s="17">
        <v>63</v>
      </c>
      <c r="F138" s="7" t="str">
        <f>IF(A138=IFERROR(VLOOKUP(A138,CATALOGO!$B$2:$B$600,1,FALSE),"Falta"),"", "Falta")</f>
        <v>Falta</v>
      </c>
    </row>
    <row r="139" spans="1:6" x14ac:dyDescent="0.25">
      <c r="A139" s="11">
        <f t="shared" si="2"/>
        <v>1120859</v>
      </c>
      <c r="B139" s="17">
        <v>1120859</v>
      </c>
      <c r="C139" s="17" t="s">
        <v>1459</v>
      </c>
      <c r="D139" s="17">
        <v>3590</v>
      </c>
      <c r="E139" s="17">
        <v>22</v>
      </c>
      <c r="F139" s="7" t="str">
        <f>IF(A139=IFERROR(VLOOKUP(A139,CATALOGO!$B$2:$B$600,1,FALSE),"Falta"),"", "Falta")</f>
        <v>Falta</v>
      </c>
    </row>
    <row r="140" spans="1:6" x14ac:dyDescent="0.25">
      <c r="A140" s="11">
        <f t="shared" si="2"/>
        <v>1120860</v>
      </c>
      <c r="B140" s="17">
        <v>1120860</v>
      </c>
      <c r="C140" s="17" t="s">
        <v>54</v>
      </c>
      <c r="D140" s="17">
        <v>3690</v>
      </c>
      <c r="E140" s="17">
        <v>5</v>
      </c>
      <c r="F140" s="7" t="str">
        <f>IF(A140=IFERROR(VLOOKUP(A140,CATALOGO!$B$2:$B$600,1,FALSE),"Falta"),"", "Falta")</f>
        <v>Falta</v>
      </c>
    </row>
    <row r="141" spans="1:6" x14ac:dyDescent="0.25">
      <c r="A141" s="11">
        <f t="shared" si="2"/>
        <v>1120863</v>
      </c>
      <c r="B141" s="17">
        <v>1120863</v>
      </c>
      <c r="C141" s="17" t="s">
        <v>64</v>
      </c>
      <c r="D141" s="17">
        <v>3840</v>
      </c>
      <c r="E141" s="17">
        <v>3</v>
      </c>
      <c r="F141" s="7" t="str">
        <f>IF(A141=IFERROR(VLOOKUP(A141,CATALOGO!$B$2:$B$600,1,FALSE),"Falta"),"", "Falta")</f>
        <v>Falta</v>
      </c>
    </row>
    <row r="142" spans="1:6" x14ac:dyDescent="0.25">
      <c r="A142" s="11">
        <f t="shared" si="2"/>
        <v>1120875</v>
      </c>
      <c r="B142" s="17">
        <v>1120875</v>
      </c>
      <c r="C142" s="17" t="s">
        <v>112</v>
      </c>
      <c r="D142" s="17">
        <v>3509</v>
      </c>
      <c r="E142" s="17">
        <v>78</v>
      </c>
      <c r="F142" s="7" t="str">
        <f>IF(A142=IFERROR(VLOOKUP(A142,CATALOGO!$B$2:$B$600,1,FALSE),"Falta"),"", "Falta")</f>
        <v>Falta</v>
      </c>
    </row>
    <row r="143" spans="1:6" x14ac:dyDescent="0.25">
      <c r="A143" s="11">
        <f t="shared" si="2"/>
        <v>1120877</v>
      </c>
      <c r="B143" s="17">
        <v>1120877</v>
      </c>
      <c r="C143" s="17" t="s">
        <v>117</v>
      </c>
      <c r="D143" s="17">
        <v>3509</v>
      </c>
      <c r="E143" s="17">
        <v>18</v>
      </c>
      <c r="F143" s="7" t="str">
        <f>IF(A143=IFERROR(VLOOKUP(A143,CATALOGO!$B$2:$B$600,1,FALSE),"Falta"),"", "Falta")</f>
        <v>Falta</v>
      </c>
    </row>
    <row r="144" spans="1:6" x14ac:dyDescent="0.25">
      <c r="A144" s="11">
        <f t="shared" si="2"/>
        <v>1120878</v>
      </c>
      <c r="B144" s="17">
        <v>1120878</v>
      </c>
      <c r="C144" s="17" t="s">
        <v>115</v>
      </c>
      <c r="D144" s="17">
        <v>3509</v>
      </c>
      <c r="E144" s="17">
        <v>23</v>
      </c>
      <c r="F144" s="7" t="str">
        <f>IF(A144=IFERROR(VLOOKUP(A144,CATALOGO!$B$2:$B$600,1,FALSE),"Falta"),"", "Falta")</f>
        <v>Falta</v>
      </c>
    </row>
    <row r="145" spans="1:6" x14ac:dyDescent="0.25">
      <c r="A145" s="11">
        <f t="shared" si="2"/>
        <v>1120880</v>
      </c>
      <c r="B145" s="17">
        <v>1120880</v>
      </c>
      <c r="C145" s="17" t="s">
        <v>116</v>
      </c>
      <c r="D145" s="17">
        <v>3569.5</v>
      </c>
      <c r="E145" s="17">
        <v>3</v>
      </c>
      <c r="F145" s="7" t="str">
        <f>IF(A145=IFERROR(VLOOKUP(A145,CATALOGO!$B$2:$B$600,1,FALSE),"Falta"),"", "Falta")</f>
        <v>Falta</v>
      </c>
    </row>
    <row r="146" spans="1:6" x14ac:dyDescent="0.25">
      <c r="A146" s="11">
        <f t="shared" si="2"/>
        <v>1120887</v>
      </c>
      <c r="B146" s="17">
        <v>1120887</v>
      </c>
      <c r="C146" s="17" t="s">
        <v>128</v>
      </c>
      <c r="D146" s="17">
        <v>3690.5</v>
      </c>
      <c r="E146" s="17">
        <v>2</v>
      </c>
      <c r="F146" s="7" t="str">
        <f>IF(A146=IFERROR(VLOOKUP(A146,CATALOGO!$B$2:$B$600,1,FALSE),"Falta"),"", "Falta")</f>
        <v>Falta</v>
      </c>
    </row>
    <row r="147" spans="1:6" x14ac:dyDescent="0.25">
      <c r="A147" s="11">
        <f t="shared" si="2"/>
        <v>1120888</v>
      </c>
      <c r="B147" s="17">
        <v>1120888</v>
      </c>
      <c r="C147" s="17" t="s">
        <v>1868</v>
      </c>
      <c r="D147" s="17">
        <v>0</v>
      </c>
      <c r="E147" s="17">
        <v>18</v>
      </c>
      <c r="F147" s="7" t="str">
        <f>IF(A147=IFERROR(VLOOKUP(A147,CATALOGO!$B$2:$B$600,1,FALSE),"Falta"),"", "Falta")</f>
        <v>Falta</v>
      </c>
    </row>
    <row r="148" spans="1:6" x14ac:dyDescent="0.25">
      <c r="A148" s="11">
        <f t="shared" si="2"/>
        <v>1120900</v>
      </c>
      <c r="B148" s="17">
        <v>1120900</v>
      </c>
      <c r="C148" s="17" t="s">
        <v>120</v>
      </c>
      <c r="D148" s="17">
        <v>2970</v>
      </c>
      <c r="E148" s="17">
        <v>109</v>
      </c>
      <c r="F148" s="7" t="str">
        <f>IF(A148=IFERROR(VLOOKUP(A148,CATALOGO!$B$2:$B$600,1,FALSE),"Falta"),"", "Falta")</f>
        <v>Falta</v>
      </c>
    </row>
    <row r="149" spans="1:6" x14ac:dyDescent="0.25">
      <c r="A149" s="11">
        <f t="shared" si="2"/>
        <v>1120901</v>
      </c>
      <c r="B149" s="17">
        <v>1120901</v>
      </c>
      <c r="C149" s="17" t="s">
        <v>121</v>
      </c>
      <c r="D149" s="17">
        <v>3080</v>
      </c>
      <c r="E149" s="17">
        <v>20</v>
      </c>
      <c r="F149" s="7" t="str">
        <f>IF(A149=IFERROR(VLOOKUP(A149,CATALOGO!$B$2:$B$600,1,FALSE),"Falta"),"", "Falta")</f>
        <v>Falta</v>
      </c>
    </row>
    <row r="150" spans="1:6" x14ac:dyDescent="0.25">
      <c r="A150" s="11">
        <f t="shared" si="2"/>
        <v>1120902</v>
      </c>
      <c r="B150" s="17">
        <v>1120902</v>
      </c>
      <c r="C150" s="17" t="s">
        <v>122</v>
      </c>
      <c r="D150" s="17">
        <v>3190</v>
      </c>
      <c r="E150" s="17">
        <v>25</v>
      </c>
      <c r="F150" s="7" t="str">
        <f>IF(A150=IFERROR(VLOOKUP(A150,CATALOGO!$B$2:$B$600,1,FALSE),"Falta"),"", "Falta")</f>
        <v>Falta</v>
      </c>
    </row>
    <row r="151" spans="1:6" x14ac:dyDescent="0.25">
      <c r="A151" s="11">
        <f t="shared" si="2"/>
        <v>1120903</v>
      </c>
      <c r="B151" s="17">
        <v>1120903</v>
      </c>
      <c r="C151" s="17" t="s">
        <v>123</v>
      </c>
      <c r="D151" s="17">
        <v>3300</v>
      </c>
      <c r="E151" s="17">
        <v>2</v>
      </c>
      <c r="F151" s="7" t="str">
        <f>IF(A151=IFERROR(VLOOKUP(A151,CATALOGO!$B$2:$B$600,1,FALSE),"Falta"),"", "Falta")</f>
        <v>Falta</v>
      </c>
    </row>
    <row r="152" spans="1:6" x14ac:dyDescent="0.25">
      <c r="A152" s="11">
        <f t="shared" si="2"/>
        <v>1120940</v>
      </c>
      <c r="B152" s="17">
        <v>1120940</v>
      </c>
      <c r="C152" s="17" t="s">
        <v>124</v>
      </c>
      <c r="D152" s="17">
        <v>3509</v>
      </c>
      <c r="E152" s="17">
        <v>2</v>
      </c>
      <c r="F152" s="7" t="str">
        <f>IF(A152=IFERROR(VLOOKUP(A152,CATALOGO!$B$2:$B$600,1,FALSE),"Falta"),"", "Falta")</f>
        <v>Falta</v>
      </c>
    </row>
    <row r="153" spans="1:6" x14ac:dyDescent="0.25">
      <c r="A153" s="11">
        <f t="shared" si="2"/>
        <v>1120941</v>
      </c>
      <c r="B153" s="17">
        <v>1120941</v>
      </c>
      <c r="C153" s="17" t="s">
        <v>125</v>
      </c>
      <c r="D153" s="17">
        <v>3569.5</v>
      </c>
      <c r="E153" s="17">
        <v>15</v>
      </c>
      <c r="F153" s="7" t="str">
        <f>IF(A153=IFERROR(VLOOKUP(A153,CATALOGO!$B$2:$B$600,1,FALSE),"Falta"),"", "Falta")</f>
        <v>Falta</v>
      </c>
    </row>
    <row r="154" spans="1:6" x14ac:dyDescent="0.25">
      <c r="A154" s="11">
        <f t="shared" si="2"/>
        <v>1120946</v>
      </c>
      <c r="B154" s="17">
        <v>1120946</v>
      </c>
      <c r="C154" s="17" t="s">
        <v>126</v>
      </c>
      <c r="D154" s="17">
        <v>2970</v>
      </c>
      <c r="E154" s="17">
        <v>2</v>
      </c>
      <c r="F154" s="7" t="str">
        <f>IF(A154=IFERROR(VLOOKUP(A154,CATALOGO!$B$2:$B$600,1,FALSE),"Falta"),"", "Falta")</f>
        <v>Falta</v>
      </c>
    </row>
    <row r="155" spans="1:6" x14ac:dyDescent="0.25">
      <c r="A155" s="11">
        <f t="shared" si="2"/>
        <v>1120947</v>
      </c>
      <c r="B155" s="17">
        <v>1120947</v>
      </c>
      <c r="C155" s="17" t="s">
        <v>127</v>
      </c>
      <c r="D155" s="17">
        <v>3080</v>
      </c>
      <c r="E155" s="17">
        <v>2</v>
      </c>
      <c r="F155" s="7" t="str">
        <f>IF(A155=IFERROR(VLOOKUP(A155,CATALOGO!$B$2:$B$600,1,FALSE),"Falta"),"", "Falta")</f>
        <v>Falta</v>
      </c>
    </row>
    <row r="156" spans="1:6" x14ac:dyDescent="0.25">
      <c r="A156" s="11">
        <f t="shared" si="2"/>
        <v>1120950</v>
      </c>
      <c r="B156" s="17">
        <v>1120950</v>
      </c>
      <c r="C156" s="17" t="s">
        <v>65</v>
      </c>
      <c r="D156" s="17">
        <v>3872</v>
      </c>
      <c r="E156" s="17">
        <v>25</v>
      </c>
      <c r="F156" s="7" t="str">
        <f>IF(A156=IFERROR(VLOOKUP(A156,CATALOGO!$B$2:$B$600,1,FALSE),"Falta"),"", "Falta")</f>
        <v>Falta</v>
      </c>
    </row>
    <row r="157" spans="1:6" x14ac:dyDescent="0.25">
      <c r="A157" s="11">
        <f t="shared" si="2"/>
        <v>1120952</v>
      </c>
      <c r="B157" s="17">
        <v>1120952</v>
      </c>
      <c r="C157" s="17" t="s">
        <v>66</v>
      </c>
      <c r="D157" s="17">
        <v>3932.5</v>
      </c>
      <c r="E157" s="17">
        <v>14</v>
      </c>
      <c r="F157" s="7" t="str">
        <f>IF(A157=IFERROR(VLOOKUP(A157,CATALOGO!$B$2:$B$600,1,FALSE),"Falta"),"", "Falta")</f>
        <v>Falta</v>
      </c>
    </row>
    <row r="158" spans="1:6" x14ac:dyDescent="0.25">
      <c r="A158" s="11">
        <f t="shared" si="2"/>
        <v>1120953</v>
      </c>
      <c r="B158" s="17">
        <v>1120953</v>
      </c>
      <c r="C158" s="17" t="s">
        <v>67</v>
      </c>
      <c r="D158" s="17">
        <v>4053.5</v>
      </c>
      <c r="E158" s="17">
        <v>4</v>
      </c>
      <c r="F158" s="7" t="str">
        <f>IF(A158=IFERROR(VLOOKUP(A158,CATALOGO!$B$2:$B$600,1,FALSE),"Falta"),"", "Falta")</f>
        <v>Falta</v>
      </c>
    </row>
    <row r="159" spans="1:6" x14ac:dyDescent="0.25">
      <c r="A159" s="11">
        <f t="shared" si="2"/>
        <v>1120977</v>
      </c>
      <c r="B159" s="17">
        <v>1120977</v>
      </c>
      <c r="C159" s="17" t="s">
        <v>118</v>
      </c>
      <c r="D159" s="17">
        <v>3569.5</v>
      </c>
      <c r="E159" s="17">
        <v>5</v>
      </c>
      <c r="F159" s="7" t="str">
        <f>IF(A159=IFERROR(VLOOKUP(A159,CATALOGO!$B$2:$B$600,1,FALSE),"Falta"),"", "Falta")</f>
        <v>Falta</v>
      </c>
    </row>
    <row r="160" spans="1:6" x14ac:dyDescent="0.25">
      <c r="A160" s="11">
        <f t="shared" si="2"/>
        <v>1123456</v>
      </c>
      <c r="B160" s="17">
        <v>1123456</v>
      </c>
      <c r="C160" s="17" t="s">
        <v>69</v>
      </c>
      <c r="D160" s="17">
        <v>3690.5</v>
      </c>
      <c r="E160" s="17">
        <v>6</v>
      </c>
      <c r="F160" s="7" t="str">
        <f>IF(A160=IFERROR(VLOOKUP(A160,CATALOGO!$B$2:$B$600,1,FALSE),"Falta"),"", "Falta")</f>
        <v>Falta</v>
      </c>
    </row>
    <row r="161" spans="1:6" x14ac:dyDescent="0.25">
      <c r="A161" s="11">
        <f t="shared" si="2"/>
        <v>1130002</v>
      </c>
      <c r="B161" s="17">
        <v>1130002</v>
      </c>
      <c r="C161" s="17" t="s">
        <v>1091</v>
      </c>
      <c r="D161" s="17">
        <v>2294.4499999999998</v>
      </c>
      <c r="E161" s="17">
        <v>1</v>
      </c>
      <c r="F161" s="7" t="str">
        <f>IF(A161=IFERROR(VLOOKUP(A161,CATALOGO!$B$2:$B$600,1,FALSE),"Falta"),"", "Falta")</f>
        <v>Falta</v>
      </c>
    </row>
    <row r="162" spans="1:6" x14ac:dyDescent="0.25">
      <c r="A162" s="11">
        <f t="shared" si="2"/>
        <v>1130008</v>
      </c>
      <c r="B162" s="17">
        <v>1130008</v>
      </c>
      <c r="C162" s="17" t="s">
        <v>1064</v>
      </c>
      <c r="D162" s="17">
        <v>5969.52</v>
      </c>
      <c r="E162" s="17">
        <v>183</v>
      </c>
      <c r="F162" s="7" t="str">
        <f>IF(A162=IFERROR(VLOOKUP(A162,CATALOGO!$B$2:$B$600,1,FALSE),"Falta"),"", "Falta")</f>
        <v/>
      </c>
    </row>
    <row r="163" spans="1:6" x14ac:dyDescent="0.25">
      <c r="A163" s="11">
        <f t="shared" si="2"/>
        <v>1130009</v>
      </c>
      <c r="B163" s="17">
        <v>1130009</v>
      </c>
      <c r="C163" s="17" t="s">
        <v>1065</v>
      </c>
      <c r="D163" s="17">
        <v>5969.52</v>
      </c>
      <c r="E163" s="17">
        <v>7</v>
      </c>
      <c r="F163" s="7" t="str">
        <f>IF(A163=IFERROR(VLOOKUP(A163,CATALOGO!$B$2:$B$600,1,FALSE),"Falta"),"", "Falta")</f>
        <v/>
      </c>
    </row>
    <row r="164" spans="1:6" x14ac:dyDescent="0.25">
      <c r="A164" s="11">
        <f t="shared" si="2"/>
        <v>1130226</v>
      </c>
      <c r="B164" s="17">
        <v>1130226</v>
      </c>
      <c r="C164" s="17" t="s">
        <v>1460</v>
      </c>
      <c r="D164" s="17">
        <v>3200</v>
      </c>
      <c r="E164" s="17">
        <v>87</v>
      </c>
      <c r="F164" s="7" t="str">
        <f>IF(A164=IFERROR(VLOOKUP(A164,CATALOGO!$B$2:$B$600,1,FALSE),"Falta"),"", "Falta")</f>
        <v/>
      </c>
    </row>
    <row r="165" spans="1:6" x14ac:dyDescent="0.25">
      <c r="A165" s="11">
        <f t="shared" si="2"/>
        <v>1130254</v>
      </c>
      <c r="B165" s="17">
        <v>1130254</v>
      </c>
      <c r="C165" s="17" t="s">
        <v>1849</v>
      </c>
      <c r="D165" s="17">
        <v>9199.99</v>
      </c>
      <c r="E165" s="17">
        <v>21</v>
      </c>
      <c r="F165" s="7" t="str">
        <f>IF(A165=IFERROR(VLOOKUP(A165,CATALOGO!$B$2:$B$600,1,FALSE),"Falta"),"", "Falta")</f>
        <v/>
      </c>
    </row>
    <row r="166" spans="1:6" x14ac:dyDescent="0.25">
      <c r="A166" s="11">
        <f t="shared" si="2"/>
        <v>1130255</v>
      </c>
      <c r="B166" s="17">
        <v>1130255</v>
      </c>
      <c r="C166" s="17" t="s">
        <v>858</v>
      </c>
      <c r="D166" s="17">
        <v>9183.89</v>
      </c>
      <c r="E166" s="17">
        <v>8</v>
      </c>
      <c r="F166" s="7" t="str">
        <f>IF(A166=IFERROR(VLOOKUP(A166,CATALOGO!$B$2:$B$600,1,FALSE),"Falta"),"", "Falta")</f>
        <v>Falta</v>
      </c>
    </row>
    <row r="167" spans="1:6" x14ac:dyDescent="0.25">
      <c r="A167" s="11">
        <f t="shared" si="2"/>
        <v>1130495</v>
      </c>
      <c r="B167" s="17">
        <v>1130495</v>
      </c>
      <c r="C167" s="17" t="s">
        <v>1066</v>
      </c>
      <c r="D167" s="17">
        <v>5508.81</v>
      </c>
      <c r="E167" s="17">
        <v>24</v>
      </c>
      <c r="F167" s="7" t="str">
        <f>IF(A167=IFERROR(VLOOKUP(A167,CATALOGO!$B$2:$B$600,1,FALSE),"Falta"),"", "Falta")</f>
        <v/>
      </c>
    </row>
    <row r="168" spans="1:6" x14ac:dyDescent="0.25">
      <c r="A168" s="11">
        <f t="shared" si="2"/>
        <v>1130496</v>
      </c>
      <c r="B168" s="17">
        <v>1130496</v>
      </c>
      <c r="C168" s="17" t="s">
        <v>1869</v>
      </c>
      <c r="D168" s="17">
        <v>2232.9899999999998</v>
      </c>
      <c r="E168" s="17">
        <v>2</v>
      </c>
      <c r="F168" s="7" t="str">
        <f>IF(A168=IFERROR(VLOOKUP(A168,CATALOGO!$B$2:$B$600,1,FALSE),"Falta"),"", "Falta")</f>
        <v>Falta</v>
      </c>
    </row>
    <row r="169" spans="1:6" x14ac:dyDescent="0.25">
      <c r="A169" s="11">
        <f t="shared" si="2"/>
        <v>1130555</v>
      </c>
      <c r="B169" s="17">
        <v>1130555</v>
      </c>
      <c r="C169" s="17" t="s">
        <v>1083</v>
      </c>
      <c r="D169" s="17">
        <v>3400</v>
      </c>
      <c r="E169" s="17">
        <v>22</v>
      </c>
      <c r="F169" s="7" t="str">
        <f>IF(A169=IFERROR(VLOOKUP(A169,CATALOGO!$B$2:$B$600,1,FALSE),"Falta"),"", "Falta")</f>
        <v>Falta</v>
      </c>
    </row>
    <row r="170" spans="1:6" x14ac:dyDescent="0.25">
      <c r="A170" s="11">
        <f t="shared" si="2"/>
        <v>1130745</v>
      </c>
      <c r="B170" s="17">
        <v>1130745</v>
      </c>
      <c r="C170" s="17" t="s">
        <v>1870</v>
      </c>
      <c r="D170" s="17">
        <v>0</v>
      </c>
      <c r="E170" s="17">
        <v>1</v>
      </c>
      <c r="F170" s="7" t="str">
        <f>IF(A170=IFERROR(VLOOKUP(A170,CATALOGO!$B$2:$B$600,1,FALSE),"Falta"),"", "Falta")</f>
        <v>Falta</v>
      </c>
    </row>
    <row r="171" spans="1:6" x14ac:dyDescent="0.25">
      <c r="A171" s="11">
        <f t="shared" si="2"/>
        <v>1140000</v>
      </c>
      <c r="B171" s="17">
        <v>1140000</v>
      </c>
      <c r="C171" s="17" t="s">
        <v>1461</v>
      </c>
      <c r="D171" s="17">
        <v>1682.19</v>
      </c>
      <c r="E171" s="17">
        <v>6</v>
      </c>
      <c r="F171" s="7" t="str">
        <f>IF(A171=IFERROR(VLOOKUP(A171,CATALOGO!$B$2:$B$600,1,FALSE),"Falta"),"", "Falta")</f>
        <v>Falta</v>
      </c>
    </row>
    <row r="172" spans="1:6" x14ac:dyDescent="0.25">
      <c r="A172" s="11">
        <f t="shared" si="2"/>
        <v>1140001</v>
      </c>
      <c r="B172" s="17">
        <v>1140001</v>
      </c>
      <c r="C172" s="17" t="s">
        <v>1086</v>
      </c>
      <c r="D172" s="17">
        <v>1682.19</v>
      </c>
      <c r="E172" s="17">
        <v>11</v>
      </c>
      <c r="F172" s="7" t="str">
        <f>IF(A172=IFERROR(VLOOKUP(A172,CATALOGO!$B$2:$B$600,1,FALSE),"Falta"),"", "Falta")</f>
        <v>Falta</v>
      </c>
    </row>
    <row r="173" spans="1:6" x14ac:dyDescent="0.25">
      <c r="A173" s="11">
        <f t="shared" si="2"/>
        <v>1200001</v>
      </c>
      <c r="B173" s="17">
        <v>1200001</v>
      </c>
      <c r="C173" s="17" t="s">
        <v>97</v>
      </c>
      <c r="D173" s="17">
        <v>2970</v>
      </c>
      <c r="E173" s="17">
        <v>136</v>
      </c>
      <c r="F173" s="7" t="str">
        <f>IF(A173=IFERROR(VLOOKUP(A173,CATALOGO!$B$2:$B$600,1,FALSE),"Falta"),"", "Falta")</f>
        <v>Falta</v>
      </c>
    </row>
    <row r="174" spans="1:6" x14ac:dyDescent="0.25">
      <c r="A174" s="11">
        <f t="shared" si="2"/>
        <v>1200003</v>
      </c>
      <c r="B174" s="17">
        <v>1200003</v>
      </c>
      <c r="C174" s="17" t="s">
        <v>98</v>
      </c>
      <c r="D174" s="17">
        <v>3080</v>
      </c>
      <c r="E174" s="17">
        <v>2</v>
      </c>
      <c r="F174" s="7" t="str">
        <f>IF(A174=IFERROR(VLOOKUP(A174,CATALOGO!$B$2:$B$600,1,FALSE),"Falta"),"", "Falta")</f>
        <v>Falta</v>
      </c>
    </row>
    <row r="175" spans="1:6" x14ac:dyDescent="0.25">
      <c r="A175" s="11">
        <f t="shared" si="2"/>
        <v>1200011</v>
      </c>
      <c r="B175" s="17">
        <v>1200011</v>
      </c>
      <c r="C175" s="17" t="s">
        <v>75</v>
      </c>
      <c r="D175" s="17">
        <v>3025</v>
      </c>
      <c r="E175" s="17">
        <v>3</v>
      </c>
      <c r="F175" s="7" t="str">
        <f>IF(A175=IFERROR(VLOOKUP(A175,CATALOGO!$B$2:$B$600,1,FALSE),"Falta"),"", "Falta")</f>
        <v>Falta</v>
      </c>
    </row>
    <row r="176" spans="1:6" x14ac:dyDescent="0.25">
      <c r="A176" s="11">
        <f t="shared" si="2"/>
        <v>1200012</v>
      </c>
      <c r="B176" s="17">
        <v>1200012</v>
      </c>
      <c r="C176" s="17" t="s">
        <v>76</v>
      </c>
      <c r="D176" s="17">
        <v>3085.5</v>
      </c>
      <c r="E176" s="17">
        <v>2</v>
      </c>
      <c r="F176" s="7" t="str">
        <f>IF(A176=IFERROR(VLOOKUP(A176,CATALOGO!$B$2:$B$600,1,FALSE),"Falta"),"", "Falta")</f>
        <v>Falta</v>
      </c>
    </row>
    <row r="177" spans="1:6" x14ac:dyDescent="0.25">
      <c r="A177" s="11">
        <f t="shared" si="2"/>
        <v>1200014</v>
      </c>
      <c r="B177" s="17">
        <v>1200014</v>
      </c>
      <c r="C177" s="17" t="s">
        <v>77</v>
      </c>
      <c r="D177" s="17">
        <v>3025</v>
      </c>
      <c r="E177" s="17">
        <v>1</v>
      </c>
      <c r="F177" s="7" t="str">
        <f>IF(A177=IFERROR(VLOOKUP(A177,CATALOGO!$B$2:$B$600,1,FALSE),"Falta"),"", "Falta")</f>
        <v>Falta</v>
      </c>
    </row>
    <row r="178" spans="1:6" x14ac:dyDescent="0.25">
      <c r="A178" s="11">
        <f t="shared" si="2"/>
        <v>1200900</v>
      </c>
      <c r="B178" s="17">
        <v>1200900</v>
      </c>
      <c r="C178" s="17" t="s">
        <v>99</v>
      </c>
      <c r="D178" s="17">
        <v>2970</v>
      </c>
      <c r="E178" s="17">
        <v>76</v>
      </c>
      <c r="F178" s="7" t="str">
        <f>IF(A178=IFERROR(VLOOKUP(A178,CATALOGO!$B$2:$B$600,1,FALSE),"Falta"),"", "Falta")</f>
        <v>Falta</v>
      </c>
    </row>
    <row r="179" spans="1:6" x14ac:dyDescent="0.25">
      <c r="A179" s="11">
        <f t="shared" si="2"/>
        <v>1200901</v>
      </c>
      <c r="B179" s="17">
        <v>1200901</v>
      </c>
      <c r="C179" s="17" t="s">
        <v>100</v>
      </c>
      <c r="D179" s="17">
        <v>3080</v>
      </c>
      <c r="E179" s="17">
        <v>10</v>
      </c>
      <c r="F179" s="7" t="str">
        <f>IF(A179=IFERROR(VLOOKUP(A179,CATALOGO!$B$2:$B$600,1,FALSE),"Falta"),"", "Falta")</f>
        <v>Falta</v>
      </c>
    </row>
    <row r="180" spans="1:6" x14ac:dyDescent="0.25">
      <c r="A180" s="11">
        <f t="shared" si="2"/>
        <v>1407093</v>
      </c>
      <c r="B180" s="17">
        <v>1407093</v>
      </c>
      <c r="C180" s="17" t="s">
        <v>1462</v>
      </c>
      <c r="D180" s="17">
        <v>2662</v>
      </c>
      <c r="E180" s="17">
        <v>2</v>
      </c>
      <c r="F180" s="7" t="str">
        <f>IF(A180=IFERROR(VLOOKUP(A180,CATALOGO!$B$2:$B$600,1,FALSE),"Falta"),"", "Falta")</f>
        <v/>
      </c>
    </row>
    <row r="181" spans="1:6" x14ac:dyDescent="0.25">
      <c r="A181" s="11">
        <f t="shared" si="2"/>
        <v>1407094</v>
      </c>
      <c r="B181" s="17">
        <v>1407094</v>
      </c>
      <c r="C181" s="17" t="s">
        <v>1463</v>
      </c>
      <c r="D181" s="17">
        <v>1836.77</v>
      </c>
      <c r="E181" s="17">
        <v>4</v>
      </c>
      <c r="F181" s="7" t="str">
        <f>IF(A181=IFERROR(VLOOKUP(A181,CATALOGO!$B$2:$B$600,1,FALSE),"Falta"),"", "Falta")</f>
        <v>Falta</v>
      </c>
    </row>
    <row r="182" spans="1:6" x14ac:dyDescent="0.25">
      <c r="A182" s="11">
        <f t="shared" si="2"/>
        <v>2000036</v>
      </c>
      <c r="B182" s="17">
        <v>2000036</v>
      </c>
      <c r="C182" s="17" t="s">
        <v>1380</v>
      </c>
      <c r="D182" s="17">
        <v>1693.99</v>
      </c>
      <c r="E182" s="17">
        <v>21</v>
      </c>
      <c r="F182" s="7" t="str">
        <f>IF(A182=IFERROR(VLOOKUP(A182,CATALOGO!$B$2:$B$600,1,FALSE),"Falta"),"", "Falta")</f>
        <v>Falta</v>
      </c>
    </row>
    <row r="183" spans="1:6" x14ac:dyDescent="0.25">
      <c r="A183" s="11">
        <f t="shared" si="2"/>
        <v>2000258</v>
      </c>
      <c r="B183" s="17">
        <v>2000258</v>
      </c>
      <c r="C183" s="17" t="s">
        <v>1381</v>
      </c>
      <c r="D183" s="17">
        <v>1006.19</v>
      </c>
      <c r="E183" s="17">
        <v>64</v>
      </c>
      <c r="F183" s="7" t="str">
        <f>IF(A183=IFERROR(VLOOKUP(A183,CATALOGO!$B$2:$B$600,1,FALSE),"Falta"),"", "Falta")</f>
        <v>Falta</v>
      </c>
    </row>
    <row r="184" spans="1:6" x14ac:dyDescent="0.25">
      <c r="A184" s="11">
        <f t="shared" si="2"/>
        <v>2000386</v>
      </c>
      <c r="B184" s="17">
        <v>2000386</v>
      </c>
      <c r="C184" s="17" t="s">
        <v>1464</v>
      </c>
      <c r="D184" s="17">
        <v>1118.01</v>
      </c>
      <c r="E184" s="17">
        <v>7</v>
      </c>
      <c r="F184" s="7" t="str">
        <f>IF(A184=IFERROR(VLOOKUP(A184,CATALOGO!$B$2:$B$600,1,FALSE),"Falta"),"", "Falta")</f>
        <v>Falta</v>
      </c>
    </row>
    <row r="185" spans="1:6" x14ac:dyDescent="0.25">
      <c r="A185" s="11">
        <f t="shared" si="2"/>
        <v>2101000</v>
      </c>
      <c r="B185" s="17">
        <v>2101000</v>
      </c>
      <c r="C185" s="17" t="s">
        <v>429</v>
      </c>
      <c r="D185" s="17">
        <v>1875</v>
      </c>
      <c r="E185" s="17">
        <v>197</v>
      </c>
      <c r="F185" s="7" t="str">
        <f>IF(A185=IFERROR(VLOOKUP(A185,CATALOGO!$B$2:$B$600,1,FALSE),"Falta"),"", "Falta")</f>
        <v>Falta</v>
      </c>
    </row>
    <row r="186" spans="1:6" x14ac:dyDescent="0.25">
      <c r="A186" s="11">
        <f t="shared" si="2"/>
        <v>2101010</v>
      </c>
      <c r="B186" s="17">
        <v>2101010</v>
      </c>
      <c r="C186" s="17" t="s">
        <v>1871</v>
      </c>
      <c r="D186" s="17">
        <v>0</v>
      </c>
      <c r="E186" s="17">
        <v>4</v>
      </c>
      <c r="F186" s="7" t="str">
        <f>IF(A186=IFERROR(VLOOKUP(A186,CATALOGO!$B$2:$B$600,1,FALSE),"Falta"),"", "Falta")</f>
        <v>Falta</v>
      </c>
    </row>
    <row r="187" spans="1:6" x14ac:dyDescent="0.25">
      <c r="A187" s="11">
        <f t="shared" si="2"/>
        <v>2101110</v>
      </c>
      <c r="B187" s="17">
        <v>2101110</v>
      </c>
      <c r="C187" s="17" t="s">
        <v>416</v>
      </c>
      <c r="D187" s="17">
        <v>1694</v>
      </c>
      <c r="E187" s="17">
        <v>97</v>
      </c>
      <c r="F187" s="7" t="str">
        <f>IF(A187=IFERROR(VLOOKUP(A187,CATALOGO!$B$2:$B$600,1,FALSE),"Falta"),"", "Falta")</f>
        <v>Falta</v>
      </c>
    </row>
    <row r="188" spans="1:6" x14ac:dyDescent="0.25">
      <c r="A188" s="11">
        <f t="shared" si="2"/>
        <v>2101111</v>
      </c>
      <c r="B188" s="17">
        <v>2101111</v>
      </c>
      <c r="C188" s="17" t="s">
        <v>428</v>
      </c>
      <c r="D188" s="17">
        <v>1975.99</v>
      </c>
      <c r="E188" s="17">
        <v>3</v>
      </c>
      <c r="F188" s="7" t="str">
        <f>IF(A188=IFERROR(VLOOKUP(A188,CATALOGO!$B$2:$B$600,1,FALSE),"Falta"),"", "Falta")</f>
        <v>Falta</v>
      </c>
    </row>
    <row r="189" spans="1:6" x14ac:dyDescent="0.25">
      <c r="A189" s="11">
        <f t="shared" si="2"/>
        <v>2101115</v>
      </c>
      <c r="B189" s="17">
        <v>2101115</v>
      </c>
      <c r="C189" s="17" t="s">
        <v>1465</v>
      </c>
      <c r="D189" s="17">
        <v>1875.5</v>
      </c>
      <c r="E189" s="17">
        <v>1</v>
      </c>
      <c r="F189" s="7" t="str">
        <f>IF(A189=IFERROR(VLOOKUP(A189,CATALOGO!$B$2:$B$600,1,FALSE),"Falta"),"", "Falta")</f>
        <v>Falta</v>
      </c>
    </row>
    <row r="190" spans="1:6" x14ac:dyDescent="0.25">
      <c r="A190" s="11">
        <f t="shared" si="2"/>
        <v>2101202</v>
      </c>
      <c r="B190" s="17">
        <v>2101202</v>
      </c>
      <c r="C190" s="17" t="s">
        <v>426</v>
      </c>
      <c r="D190" s="17">
        <v>1694</v>
      </c>
      <c r="E190" s="17">
        <v>60</v>
      </c>
      <c r="F190" s="7" t="str">
        <f>IF(A190=IFERROR(VLOOKUP(A190,CATALOGO!$B$2:$B$600,1,FALSE),"Falta"),"", "Falta")</f>
        <v>Falta</v>
      </c>
    </row>
    <row r="191" spans="1:6" x14ac:dyDescent="0.25">
      <c r="A191" s="11">
        <f t="shared" si="2"/>
        <v>2101203</v>
      </c>
      <c r="B191" s="17">
        <v>2101203</v>
      </c>
      <c r="C191" s="17" t="s">
        <v>425</v>
      </c>
      <c r="D191" s="17">
        <v>1754.5</v>
      </c>
      <c r="E191" s="17">
        <v>7</v>
      </c>
      <c r="F191" s="7" t="str">
        <f>IF(A191=IFERROR(VLOOKUP(A191,CATALOGO!$B$2:$B$600,1,FALSE),"Falta"),"", "Falta")</f>
        <v>Falta</v>
      </c>
    </row>
    <row r="192" spans="1:6" x14ac:dyDescent="0.25">
      <c r="A192" s="11">
        <f t="shared" si="2"/>
        <v>2101300</v>
      </c>
      <c r="B192" s="17">
        <v>2101300</v>
      </c>
      <c r="C192" s="17" t="s">
        <v>417</v>
      </c>
      <c r="D192" s="17">
        <v>2099.9899999999998</v>
      </c>
      <c r="E192" s="17">
        <v>29</v>
      </c>
      <c r="F192" s="7" t="str">
        <f>IF(A192=IFERROR(VLOOKUP(A192,CATALOGO!$B$2:$B$600,1,FALSE),"Falta"),"", "Falta")</f>
        <v>Falta</v>
      </c>
    </row>
    <row r="193" spans="1:6" x14ac:dyDescent="0.25">
      <c r="A193" s="11">
        <f t="shared" si="2"/>
        <v>2101301</v>
      </c>
      <c r="B193" s="17">
        <v>2101301</v>
      </c>
      <c r="C193" s="17" t="s">
        <v>432</v>
      </c>
      <c r="D193" s="17">
        <v>2057</v>
      </c>
      <c r="E193" s="17">
        <v>7</v>
      </c>
      <c r="F193" s="7" t="str">
        <f>IF(A193=IFERROR(VLOOKUP(A193,CATALOGO!$B$2:$B$600,1,FALSE),"Falta"),"", "Falta")</f>
        <v>Falta</v>
      </c>
    </row>
    <row r="194" spans="1:6" x14ac:dyDescent="0.25">
      <c r="A194" s="11">
        <f t="shared" si="2"/>
        <v>2101321</v>
      </c>
      <c r="B194" s="17">
        <v>2101321</v>
      </c>
      <c r="C194" s="17" t="s">
        <v>1872</v>
      </c>
      <c r="D194" s="17">
        <v>0</v>
      </c>
      <c r="E194" s="17">
        <v>4</v>
      </c>
      <c r="F194" s="7" t="str">
        <f>IF(A194=IFERROR(VLOOKUP(A194,CATALOGO!$B$2:$B$600,1,FALSE),"Falta"),"", "Falta")</f>
        <v>Falta</v>
      </c>
    </row>
    <row r="195" spans="1:6" x14ac:dyDescent="0.25">
      <c r="A195" s="11">
        <f t="shared" si="2"/>
        <v>2101350</v>
      </c>
      <c r="B195" s="17">
        <v>2101350</v>
      </c>
      <c r="C195" s="17" t="s">
        <v>1361</v>
      </c>
      <c r="D195" s="17">
        <v>1391.5</v>
      </c>
      <c r="E195" s="17">
        <v>104</v>
      </c>
      <c r="F195" s="7" t="str">
        <f>IF(A195=IFERROR(VLOOKUP(A195,CATALOGO!$B$2:$B$600,1,FALSE),"Falta"),"", "Falta")</f>
        <v/>
      </c>
    </row>
    <row r="196" spans="1:6" x14ac:dyDescent="0.25">
      <c r="A196" s="11">
        <f t="shared" si="2"/>
        <v>2101493</v>
      </c>
      <c r="B196" s="17">
        <v>2101493</v>
      </c>
      <c r="C196" s="17" t="s">
        <v>430</v>
      </c>
      <c r="D196" s="17">
        <v>1996.49</v>
      </c>
      <c r="E196" s="17">
        <v>9</v>
      </c>
      <c r="F196" s="7" t="str">
        <f>IF(A196=IFERROR(VLOOKUP(A196,CATALOGO!$B$2:$B$600,1,FALSE),"Falta"),"", "Falta")</f>
        <v>Falta</v>
      </c>
    </row>
    <row r="197" spans="1:6" x14ac:dyDescent="0.25">
      <c r="A197" s="11">
        <f t="shared" si="2"/>
        <v>2101495</v>
      </c>
      <c r="B197" s="17">
        <v>2101495</v>
      </c>
      <c r="C197" s="17" t="s">
        <v>415</v>
      </c>
      <c r="D197" s="17">
        <v>1694</v>
      </c>
      <c r="E197" s="17">
        <v>310</v>
      </c>
      <c r="F197" s="7" t="str">
        <f>IF(A197=IFERROR(VLOOKUP(A197,CATALOGO!$B$2:$B$600,1,FALSE),"Falta"),"", "Falta")</f>
        <v>Falta</v>
      </c>
    </row>
    <row r="198" spans="1:6" x14ac:dyDescent="0.25">
      <c r="A198" s="11">
        <f t="shared" ref="A198:A261" si="3">IFERROR(B198*1,"")</f>
        <v>2101496</v>
      </c>
      <c r="B198" s="17">
        <v>2101496</v>
      </c>
      <c r="C198" s="17" t="s">
        <v>431</v>
      </c>
      <c r="D198" s="17">
        <v>1875.5</v>
      </c>
      <c r="E198" s="17">
        <v>214</v>
      </c>
      <c r="F198" s="7" t="str">
        <f>IF(A198=IFERROR(VLOOKUP(A198,CATALOGO!$B$2:$B$600,1,FALSE),"Falta"),"", "Falta")</f>
        <v>Falta</v>
      </c>
    </row>
    <row r="199" spans="1:6" x14ac:dyDescent="0.25">
      <c r="A199" s="11">
        <f t="shared" si="3"/>
        <v>2101499</v>
      </c>
      <c r="B199" s="17">
        <v>2101499</v>
      </c>
      <c r="C199" s="17" t="s">
        <v>414</v>
      </c>
      <c r="D199" s="17">
        <v>1754.5</v>
      </c>
      <c r="E199" s="17">
        <v>86</v>
      </c>
      <c r="F199" s="7" t="str">
        <f>IF(A199=IFERROR(VLOOKUP(A199,CATALOGO!$B$2:$B$600,1,FALSE),"Falta"),"", "Falta")</f>
        <v>Falta</v>
      </c>
    </row>
    <row r="200" spans="1:6" x14ac:dyDescent="0.25">
      <c r="A200" s="11">
        <f t="shared" si="3"/>
        <v>2101500</v>
      </c>
      <c r="B200" s="17">
        <v>2101500</v>
      </c>
      <c r="C200" s="17" t="s">
        <v>1466</v>
      </c>
      <c r="D200" s="17">
        <v>1936</v>
      </c>
      <c r="E200" s="17">
        <v>33</v>
      </c>
      <c r="F200" s="7" t="str">
        <f>IF(A200=IFERROR(VLOOKUP(A200,CATALOGO!$B$2:$B$600,1,FALSE),"Falta"),"", "Falta")</f>
        <v>Falta</v>
      </c>
    </row>
    <row r="201" spans="1:6" x14ac:dyDescent="0.25">
      <c r="A201" s="11">
        <f t="shared" si="3"/>
        <v>2101550</v>
      </c>
      <c r="B201" s="17">
        <v>2101550</v>
      </c>
      <c r="C201" s="17" t="s">
        <v>1360</v>
      </c>
      <c r="D201" s="17">
        <v>1391.5</v>
      </c>
      <c r="E201" s="17">
        <v>458</v>
      </c>
      <c r="F201" s="7" t="str">
        <f>IF(A201=IFERROR(VLOOKUP(A201,CATALOGO!$B$2:$B$600,1,FALSE),"Falta"),"", "Falta")</f>
        <v/>
      </c>
    </row>
    <row r="202" spans="1:6" x14ac:dyDescent="0.25">
      <c r="A202" s="11">
        <f t="shared" si="3"/>
        <v>2101551</v>
      </c>
      <c r="B202" s="17">
        <v>2101551</v>
      </c>
      <c r="C202" s="17" t="s">
        <v>1359</v>
      </c>
      <c r="D202" s="17">
        <v>1452</v>
      </c>
      <c r="E202" s="17">
        <v>34</v>
      </c>
      <c r="F202" s="7" t="str">
        <f>IF(A202=IFERROR(VLOOKUP(A202,CATALOGO!$B$2:$B$600,1,FALSE),"Falta"),"", "Falta")</f>
        <v>Falta</v>
      </c>
    </row>
    <row r="203" spans="1:6" x14ac:dyDescent="0.25">
      <c r="A203" s="11">
        <f t="shared" si="3"/>
        <v>2101555</v>
      </c>
      <c r="B203" s="17">
        <v>2101555</v>
      </c>
      <c r="C203" s="17" t="s">
        <v>1363</v>
      </c>
      <c r="D203" s="17">
        <v>1391.5</v>
      </c>
      <c r="E203" s="17">
        <v>458</v>
      </c>
      <c r="F203" s="7" t="str">
        <f>IF(A203=IFERROR(VLOOKUP(A203,CATALOGO!$B$2:$B$600,1,FALSE),"Falta"),"", "Falta")</f>
        <v/>
      </c>
    </row>
    <row r="204" spans="1:6" x14ac:dyDescent="0.25">
      <c r="A204" s="11">
        <f t="shared" si="3"/>
        <v>2101556</v>
      </c>
      <c r="B204" s="17">
        <v>2101556</v>
      </c>
      <c r="C204" s="17" t="s">
        <v>1362</v>
      </c>
      <c r="D204" s="17">
        <v>1452</v>
      </c>
      <c r="E204" s="17">
        <v>20</v>
      </c>
      <c r="F204" s="7" t="str">
        <f>IF(A204=IFERROR(VLOOKUP(A204,CATALOGO!$B$2:$B$600,1,FALSE),"Falta"),"", "Falta")</f>
        <v>Falta</v>
      </c>
    </row>
    <row r="205" spans="1:6" x14ac:dyDescent="0.25">
      <c r="A205" s="11">
        <f t="shared" si="3"/>
        <v>2101666</v>
      </c>
      <c r="B205" s="17">
        <v>2101666</v>
      </c>
      <c r="C205" s="17" t="s">
        <v>1873</v>
      </c>
      <c r="D205" s="17">
        <v>0</v>
      </c>
      <c r="E205" s="17">
        <v>2</v>
      </c>
      <c r="F205" s="7" t="str">
        <f>IF(A205=IFERROR(VLOOKUP(A205,CATALOGO!$B$2:$B$600,1,FALSE),"Falta"),"", "Falta")</f>
        <v>Falta</v>
      </c>
    </row>
    <row r="206" spans="1:6" x14ac:dyDescent="0.25">
      <c r="A206" s="11">
        <f t="shared" si="3"/>
        <v>2101750</v>
      </c>
      <c r="B206" s="17">
        <v>2101750</v>
      </c>
      <c r="C206" s="17" t="s">
        <v>419</v>
      </c>
      <c r="D206" s="17">
        <v>1694.99</v>
      </c>
      <c r="E206" s="17">
        <v>128</v>
      </c>
      <c r="F206" s="7" t="str">
        <f>IF(A206=IFERROR(VLOOKUP(A206,CATALOGO!$B$2:$B$600,1,FALSE),"Falta"),"", "Falta")</f>
        <v>Falta</v>
      </c>
    </row>
    <row r="207" spans="1:6" x14ac:dyDescent="0.25">
      <c r="A207" s="11">
        <f t="shared" si="3"/>
        <v>2101751</v>
      </c>
      <c r="B207" s="17">
        <v>2101751</v>
      </c>
      <c r="C207" s="17" t="s">
        <v>434</v>
      </c>
      <c r="D207" s="17">
        <v>1875.5</v>
      </c>
      <c r="E207" s="17">
        <v>157</v>
      </c>
      <c r="F207" s="7" t="str">
        <f>IF(A207=IFERROR(VLOOKUP(A207,CATALOGO!$B$2:$B$600,1,FALSE),"Falta"),"", "Falta")</f>
        <v>Falta</v>
      </c>
    </row>
    <row r="208" spans="1:6" x14ac:dyDescent="0.25">
      <c r="A208" s="11">
        <f t="shared" si="3"/>
        <v>2101752</v>
      </c>
      <c r="B208" s="17">
        <v>2101752</v>
      </c>
      <c r="C208" s="17" t="s">
        <v>433</v>
      </c>
      <c r="D208" s="17">
        <v>1936</v>
      </c>
      <c r="E208" s="17">
        <v>2</v>
      </c>
      <c r="F208" s="7" t="str">
        <f>IF(A208=IFERROR(VLOOKUP(A208,CATALOGO!$B$2:$B$600,1,FALSE),"Falta"),"", "Falta")</f>
        <v>Falta</v>
      </c>
    </row>
    <row r="209" spans="1:6" x14ac:dyDescent="0.25">
      <c r="A209" s="11">
        <f t="shared" si="3"/>
        <v>2101799</v>
      </c>
      <c r="B209" s="17">
        <v>2101799</v>
      </c>
      <c r="C209" s="17" t="s">
        <v>418</v>
      </c>
      <c r="D209" s="17">
        <v>1754.99</v>
      </c>
      <c r="E209" s="17">
        <v>27</v>
      </c>
      <c r="F209" s="7" t="str">
        <f>IF(A209=IFERROR(VLOOKUP(A209,CATALOGO!$B$2:$B$600,1,FALSE),"Falta"),"", "Falta")</f>
        <v>Falta</v>
      </c>
    </row>
    <row r="210" spans="1:6" x14ac:dyDescent="0.25">
      <c r="A210" s="11">
        <f t="shared" si="3"/>
        <v>2101877</v>
      </c>
      <c r="B210" s="17">
        <v>2101877</v>
      </c>
      <c r="C210" s="17" t="s">
        <v>1874</v>
      </c>
      <c r="D210" s="17">
        <v>1694</v>
      </c>
      <c r="E210" s="17">
        <v>7</v>
      </c>
      <c r="F210" s="7" t="str">
        <f>IF(A210=IFERROR(VLOOKUP(A210,CATALOGO!$B$2:$B$600,1,FALSE),"Falta"),"", "Falta")</f>
        <v>Falta</v>
      </c>
    </row>
    <row r="211" spans="1:6" x14ac:dyDescent="0.25">
      <c r="A211" s="11">
        <f t="shared" si="3"/>
        <v>2101878</v>
      </c>
      <c r="B211" s="17">
        <v>2101878</v>
      </c>
      <c r="C211" s="17" t="s">
        <v>1467</v>
      </c>
      <c r="D211" s="17">
        <v>1754.5</v>
      </c>
      <c r="E211" s="17">
        <v>1</v>
      </c>
      <c r="F211" s="7" t="str">
        <f>IF(A211=IFERROR(VLOOKUP(A211,CATALOGO!$B$2:$B$600,1,FALSE),"Falta"),"", "Falta")</f>
        <v>Falta</v>
      </c>
    </row>
    <row r="212" spans="1:6" x14ac:dyDescent="0.25">
      <c r="A212" s="11">
        <f t="shared" si="3"/>
        <v>2101888</v>
      </c>
      <c r="B212" s="17">
        <v>2101888</v>
      </c>
      <c r="C212" s="17" t="s">
        <v>423</v>
      </c>
      <c r="D212" s="17">
        <v>1974.99</v>
      </c>
      <c r="E212" s="17">
        <v>6</v>
      </c>
      <c r="F212" s="7" t="str">
        <f>IF(A212=IFERROR(VLOOKUP(A212,CATALOGO!$B$2:$B$600,1,FALSE),"Falta"),"", "Falta")</f>
        <v>Falta</v>
      </c>
    </row>
    <row r="213" spans="1:6" x14ac:dyDescent="0.25">
      <c r="A213" s="11">
        <f t="shared" si="3"/>
        <v>2101900</v>
      </c>
      <c r="B213" s="17">
        <v>2101900</v>
      </c>
      <c r="C213" s="17" t="s">
        <v>422</v>
      </c>
      <c r="D213" s="17">
        <v>1705</v>
      </c>
      <c r="E213" s="17">
        <v>43</v>
      </c>
      <c r="F213" s="7" t="str">
        <f>IF(A213=IFERROR(VLOOKUP(A213,CATALOGO!$B$2:$B$600,1,FALSE),"Falta"),"", "Falta")</f>
        <v>Falta</v>
      </c>
    </row>
    <row r="214" spans="1:6" x14ac:dyDescent="0.25">
      <c r="A214" s="11">
        <f t="shared" si="3"/>
        <v>2101901</v>
      </c>
      <c r="B214" s="17">
        <v>2101901</v>
      </c>
      <c r="C214" s="17" t="s">
        <v>435</v>
      </c>
      <c r="D214" s="17">
        <v>1875.5</v>
      </c>
      <c r="E214" s="17">
        <v>99</v>
      </c>
      <c r="F214" s="7" t="str">
        <f>IF(A214=IFERROR(VLOOKUP(A214,CATALOGO!$B$2:$B$600,1,FALSE),"Falta"),"", "Falta")</f>
        <v>Falta</v>
      </c>
    </row>
    <row r="215" spans="1:6" x14ac:dyDescent="0.25">
      <c r="A215" s="11">
        <f t="shared" si="3"/>
        <v>2101950</v>
      </c>
      <c r="B215" s="17">
        <v>2101950</v>
      </c>
      <c r="C215" s="17" t="s">
        <v>420</v>
      </c>
      <c r="D215" s="17">
        <v>1815</v>
      </c>
      <c r="E215" s="17">
        <v>1</v>
      </c>
      <c r="F215" s="7" t="str">
        <f>IF(A215=IFERROR(VLOOKUP(A215,CATALOGO!$B$2:$B$600,1,FALSE),"Falta"),"", "Falta")</f>
        <v>Falta</v>
      </c>
    </row>
    <row r="216" spans="1:6" x14ac:dyDescent="0.25">
      <c r="A216" s="11">
        <f t="shared" si="3"/>
        <v>2101999</v>
      </c>
      <c r="B216" s="17">
        <v>2101999</v>
      </c>
      <c r="C216" s="17" t="s">
        <v>421</v>
      </c>
      <c r="D216" s="17">
        <v>1754.5</v>
      </c>
      <c r="E216" s="17">
        <v>6</v>
      </c>
      <c r="F216" s="7" t="str">
        <f>IF(A216=IFERROR(VLOOKUP(A216,CATALOGO!$B$2:$B$600,1,FALSE),"Falta"),"", "Falta")</f>
        <v>Falta</v>
      </c>
    </row>
    <row r="217" spans="1:6" x14ac:dyDescent="0.25">
      <c r="A217" s="11">
        <f t="shared" si="3"/>
        <v>2103067</v>
      </c>
      <c r="B217" s="17">
        <v>2103067</v>
      </c>
      <c r="C217" s="17" t="s">
        <v>1468</v>
      </c>
      <c r="D217" s="17">
        <v>2175</v>
      </c>
      <c r="E217" s="17">
        <v>5</v>
      </c>
      <c r="F217" s="7" t="str">
        <f>IF(A217=IFERROR(VLOOKUP(A217,CATALOGO!$B$2:$B$600,1,FALSE),"Falta"),"", "Falta")</f>
        <v>Falta</v>
      </c>
    </row>
    <row r="218" spans="1:6" x14ac:dyDescent="0.25">
      <c r="A218" s="11">
        <f t="shared" si="3"/>
        <v>2103068</v>
      </c>
      <c r="B218" s="17">
        <v>2103068</v>
      </c>
      <c r="C218" s="17" t="s">
        <v>424</v>
      </c>
      <c r="D218" s="17">
        <v>1693.99</v>
      </c>
      <c r="E218" s="17">
        <v>193</v>
      </c>
      <c r="F218" s="7" t="str">
        <f>IF(A218=IFERROR(VLOOKUP(A218,CATALOGO!$B$2:$B$600,1,FALSE),"Falta"),"", "Falta")</f>
        <v>Falta</v>
      </c>
    </row>
    <row r="219" spans="1:6" x14ac:dyDescent="0.25">
      <c r="A219" s="11">
        <f t="shared" si="3"/>
        <v>2103069</v>
      </c>
      <c r="B219" s="17">
        <v>2103069</v>
      </c>
      <c r="C219" s="17" t="s">
        <v>427</v>
      </c>
      <c r="D219" s="17">
        <v>1694</v>
      </c>
      <c r="E219" s="17">
        <v>100</v>
      </c>
      <c r="F219" s="7" t="str">
        <f>IF(A219=IFERROR(VLOOKUP(A219,CATALOGO!$B$2:$B$600,1,FALSE),"Falta"),"", "Falta")</f>
        <v>Falta</v>
      </c>
    </row>
    <row r="220" spans="1:6" x14ac:dyDescent="0.25">
      <c r="A220" s="11">
        <f t="shared" si="3"/>
        <v>2103199</v>
      </c>
      <c r="B220" s="17">
        <v>2103199</v>
      </c>
      <c r="C220" s="17" t="s">
        <v>1875</v>
      </c>
      <c r="D220" s="17">
        <v>0</v>
      </c>
      <c r="E220" s="17">
        <v>46</v>
      </c>
      <c r="F220" s="7" t="str">
        <f>IF(A220=IFERROR(VLOOKUP(A220,CATALOGO!$B$2:$B$600,1,FALSE),"Falta"),"", "Falta")</f>
        <v>Falta</v>
      </c>
    </row>
    <row r="221" spans="1:6" x14ac:dyDescent="0.25">
      <c r="A221" s="11">
        <f t="shared" si="3"/>
        <v>2103209</v>
      </c>
      <c r="B221" s="17">
        <v>2103209</v>
      </c>
      <c r="C221" s="17" t="s">
        <v>437</v>
      </c>
      <c r="D221" s="17">
        <v>1875.5</v>
      </c>
      <c r="E221" s="17">
        <v>53</v>
      </c>
      <c r="F221" s="7" t="str">
        <f>IF(A221=IFERROR(VLOOKUP(A221,CATALOGO!$B$2:$B$600,1,FALSE),"Falta"),"", "Falta")</f>
        <v>Falta</v>
      </c>
    </row>
    <row r="222" spans="1:6" x14ac:dyDescent="0.25">
      <c r="A222" s="11">
        <f t="shared" si="3"/>
        <v>2103217</v>
      </c>
      <c r="B222" s="17">
        <v>2103217</v>
      </c>
      <c r="C222" s="17" t="s">
        <v>1449</v>
      </c>
      <c r="D222" s="17">
        <v>2490</v>
      </c>
      <c r="E222" s="17">
        <v>141</v>
      </c>
      <c r="F222" s="7" t="str">
        <f>IF(A222=IFERROR(VLOOKUP(A222,CATALOGO!$B$2:$B$600,1,FALSE),"Falta"),"", "Falta")</f>
        <v/>
      </c>
    </row>
    <row r="223" spans="1:6" x14ac:dyDescent="0.25">
      <c r="A223" s="11">
        <f t="shared" si="3"/>
        <v>2103218</v>
      </c>
      <c r="B223" s="17">
        <v>2103218</v>
      </c>
      <c r="C223" s="17" t="s">
        <v>436</v>
      </c>
      <c r="D223" s="17">
        <v>2418.79</v>
      </c>
      <c r="E223" s="17">
        <v>23</v>
      </c>
      <c r="F223" s="7" t="str">
        <f>IF(A223=IFERROR(VLOOKUP(A223,CATALOGO!$B$2:$B$600,1,FALSE),"Falta"),"", "Falta")</f>
        <v/>
      </c>
    </row>
    <row r="224" spans="1:6" x14ac:dyDescent="0.25">
      <c r="A224" s="11">
        <f t="shared" si="3"/>
        <v>2103219</v>
      </c>
      <c r="B224" s="17">
        <v>2103219</v>
      </c>
      <c r="C224" s="17" t="s">
        <v>1469</v>
      </c>
      <c r="D224" s="17">
        <v>2541</v>
      </c>
      <c r="E224" s="17">
        <v>12</v>
      </c>
      <c r="F224" s="7" t="str">
        <f>IF(A224=IFERROR(VLOOKUP(A224,CATALOGO!$B$2:$B$600,1,FALSE),"Falta"),"", "Falta")</f>
        <v>Falta</v>
      </c>
    </row>
    <row r="225" spans="1:6" x14ac:dyDescent="0.25">
      <c r="A225" s="11">
        <f t="shared" si="3"/>
        <v>2103495</v>
      </c>
      <c r="B225" s="17">
        <v>2103495</v>
      </c>
      <c r="C225" s="17" t="s">
        <v>1470</v>
      </c>
      <c r="D225" s="17">
        <v>2490</v>
      </c>
      <c r="E225" s="17">
        <v>21</v>
      </c>
      <c r="F225" s="7" t="str">
        <f>IF(A225=IFERROR(VLOOKUP(A225,CATALOGO!$B$2:$B$600,1,FALSE),"Falta"),"", "Falta")</f>
        <v/>
      </c>
    </row>
    <row r="226" spans="1:6" x14ac:dyDescent="0.25">
      <c r="A226" s="11">
        <f t="shared" si="3"/>
        <v>2103888</v>
      </c>
      <c r="B226" s="17">
        <v>2103888</v>
      </c>
      <c r="C226" s="17" t="s">
        <v>1876</v>
      </c>
      <c r="D226" s="17">
        <v>1974.99</v>
      </c>
      <c r="E226" s="17">
        <v>4</v>
      </c>
      <c r="F226" s="7" t="str">
        <f>IF(A226=IFERROR(VLOOKUP(A226,CATALOGO!$B$2:$B$600,1,FALSE),"Falta"),"", "Falta")</f>
        <v>Falta</v>
      </c>
    </row>
    <row r="227" spans="1:6" x14ac:dyDescent="0.25">
      <c r="A227" s="11">
        <f t="shared" si="3"/>
        <v>2105008</v>
      </c>
      <c r="B227" s="17">
        <v>2105008</v>
      </c>
      <c r="C227" s="17" t="s">
        <v>1369</v>
      </c>
      <c r="D227" s="17">
        <v>1633.5</v>
      </c>
      <c r="E227" s="17">
        <v>54</v>
      </c>
      <c r="F227" s="7" t="str">
        <f>IF(A227=IFERROR(VLOOKUP(A227,CATALOGO!$B$2:$B$600,1,FALSE),"Falta"),"", "Falta")</f>
        <v>Falta</v>
      </c>
    </row>
    <row r="228" spans="1:6" x14ac:dyDescent="0.25">
      <c r="A228" s="11">
        <f t="shared" si="3"/>
        <v>2105352</v>
      </c>
      <c r="B228" s="17">
        <v>2105352</v>
      </c>
      <c r="C228" s="17" t="s">
        <v>1368</v>
      </c>
      <c r="D228" s="17">
        <v>1633.5</v>
      </c>
      <c r="E228" s="17">
        <v>3</v>
      </c>
      <c r="F228" s="7" t="str">
        <f>IF(A228=IFERROR(VLOOKUP(A228,CATALOGO!$B$2:$B$600,1,FALSE),"Falta"),"", "Falta")</f>
        <v>Falta</v>
      </c>
    </row>
    <row r="229" spans="1:6" x14ac:dyDescent="0.25">
      <c r="A229" s="11">
        <f t="shared" si="3"/>
        <v>220090</v>
      </c>
      <c r="B229" s="17">
        <v>220090</v>
      </c>
      <c r="C229" s="17" t="s">
        <v>1877</v>
      </c>
      <c r="D229" s="17">
        <v>259.12</v>
      </c>
      <c r="E229" s="17">
        <v>1</v>
      </c>
      <c r="F229" s="7" t="str">
        <f>IF(A229=IFERROR(VLOOKUP(A229,CATALOGO!$B$2:$B$600,1,FALSE),"Falta"),"", "Falta")</f>
        <v>Falta</v>
      </c>
    </row>
    <row r="230" spans="1:6" x14ac:dyDescent="0.25">
      <c r="A230" s="11">
        <f t="shared" si="3"/>
        <v>2220004</v>
      </c>
      <c r="B230" s="17">
        <v>2220004</v>
      </c>
      <c r="C230" s="17" t="s">
        <v>1354</v>
      </c>
      <c r="D230" s="17">
        <v>1299.99</v>
      </c>
      <c r="E230" s="17">
        <v>256</v>
      </c>
      <c r="F230" s="7" t="str">
        <f>IF(A230=IFERROR(VLOOKUP(A230,CATALOGO!$B$2:$B$600,1,FALSE),"Falta"),"", "Falta")</f>
        <v/>
      </c>
    </row>
    <row r="231" spans="1:6" x14ac:dyDescent="0.25">
      <c r="A231" s="11">
        <f t="shared" si="3"/>
        <v>2220027</v>
      </c>
      <c r="B231" s="17">
        <v>2220027</v>
      </c>
      <c r="C231" s="17" t="s">
        <v>1367</v>
      </c>
      <c r="D231" s="17">
        <v>1089</v>
      </c>
      <c r="E231" s="17">
        <v>19</v>
      </c>
      <c r="F231" s="7" t="str">
        <f>IF(A231=IFERROR(VLOOKUP(A231,CATALOGO!$B$2:$B$600,1,FALSE),"Falta"),"", "Falta")</f>
        <v>Falta</v>
      </c>
    </row>
    <row r="232" spans="1:6" x14ac:dyDescent="0.25">
      <c r="A232" s="11">
        <f t="shared" si="3"/>
        <v>2220028</v>
      </c>
      <c r="B232" s="17">
        <v>2220028</v>
      </c>
      <c r="C232" s="17" t="s">
        <v>1366</v>
      </c>
      <c r="D232" s="17">
        <v>1089</v>
      </c>
      <c r="E232" s="17">
        <v>21</v>
      </c>
      <c r="F232" s="7" t="str">
        <f>IF(A232=IFERROR(VLOOKUP(A232,CATALOGO!$B$2:$B$600,1,FALSE),"Falta"),"", "Falta")</f>
        <v>Falta</v>
      </c>
    </row>
    <row r="233" spans="1:6" x14ac:dyDescent="0.25">
      <c r="A233" s="11">
        <f t="shared" si="3"/>
        <v>2220030</v>
      </c>
      <c r="B233" s="17">
        <v>2220030</v>
      </c>
      <c r="C233" s="17" t="s">
        <v>1261</v>
      </c>
      <c r="D233" s="17">
        <v>916.86</v>
      </c>
      <c r="E233" s="17">
        <v>10</v>
      </c>
      <c r="F233" s="7" t="str">
        <f>IF(A233=IFERROR(VLOOKUP(A233,CATALOGO!$B$2:$B$600,1,FALSE),"Falta"),"", "Falta")</f>
        <v>Falta</v>
      </c>
    </row>
    <row r="234" spans="1:6" x14ac:dyDescent="0.25">
      <c r="A234" s="11">
        <f t="shared" si="3"/>
        <v>2220032</v>
      </c>
      <c r="B234" s="17">
        <v>2220032</v>
      </c>
      <c r="C234" s="17" t="s">
        <v>1263</v>
      </c>
      <c r="D234" s="17">
        <v>916.86</v>
      </c>
      <c r="E234" s="17">
        <v>19</v>
      </c>
      <c r="F234" s="7" t="str">
        <f>IF(A234=IFERROR(VLOOKUP(A234,CATALOGO!$B$2:$B$600,1,FALSE),"Falta"),"", "Falta")</f>
        <v>Falta</v>
      </c>
    </row>
    <row r="235" spans="1:6" x14ac:dyDescent="0.25">
      <c r="A235" s="11">
        <f t="shared" si="3"/>
        <v>2220034</v>
      </c>
      <c r="B235" s="17">
        <v>2220034</v>
      </c>
      <c r="C235" s="17" t="s">
        <v>1262</v>
      </c>
      <c r="D235" s="17">
        <v>916.86</v>
      </c>
      <c r="E235" s="17">
        <v>37</v>
      </c>
      <c r="F235" s="7" t="str">
        <f>IF(A235=IFERROR(VLOOKUP(A235,CATALOGO!$B$2:$B$600,1,FALSE),"Falta"),"", "Falta")</f>
        <v>Falta</v>
      </c>
    </row>
    <row r="236" spans="1:6" x14ac:dyDescent="0.25">
      <c r="A236" s="11">
        <f t="shared" si="3"/>
        <v>2220037</v>
      </c>
      <c r="B236" s="17">
        <v>2220037</v>
      </c>
      <c r="C236" s="17" t="s">
        <v>1264</v>
      </c>
      <c r="D236" s="17">
        <v>916.86</v>
      </c>
      <c r="E236" s="17">
        <v>9</v>
      </c>
      <c r="F236" s="7" t="str">
        <f>IF(A236=IFERROR(VLOOKUP(A236,CATALOGO!$B$2:$B$600,1,FALSE),"Falta"),"", "Falta")</f>
        <v>Falta</v>
      </c>
    </row>
    <row r="237" spans="1:6" x14ac:dyDescent="0.25">
      <c r="A237" s="11">
        <f t="shared" si="3"/>
        <v>2220076</v>
      </c>
      <c r="B237" s="17">
        <v>2220076</v>
      </c>
      <c r="C237" s="17" t="s">
        <v>1365</v>
      </c>
      <c r="D237" s="17">
        <v>1399.99</v>
      </c>
      <c r="E237" s="17">
        <v>109</v>
      </c>
      <c r="F237" s="7" t="str">
        <f>IF(A237=IFERROR(VLOOKUP(A237,CATALOGO!$B$2:$B$600,1,FALSE),"Falta"),"", "Falta")</f>
        <v>Falta</v>
      </c>
    </row>
    <row r="238" spans="1:6" x14ac:dyDescent="0.25">
      <c r="A238" s="11">
        <f t="shared" si="3"/>
        <v>2220128</v>
      </c>
      <c r="B238" s="17">
        <v>2220128</v>
      </c>
      <c r="C238" s="17" t="s">
        <v>1471</v>
      </c>
      <c r="D238" s="17">
        <v>1499.99</v>
      </c>
      <c r="E238" s="17">
        <v>39</v>
      </c>
      <c r="F238" s="7" t="str">
        <f>IF(A238=IFERROR(VLOOKUP(A238,CATALOGO!$B$2:$B$600,1,FALSE),"Falta"),"", "Falta")</f>
        <v>Falta</v>
      </c>
    </row>
    <row r="239" spans="1:6" x14ac:dyDescent="0.25">
      <c r="A239" s="11">
        <f t="shared" si="3"/>
        <v>2220253</v>
      </c>
      <c r="B239" s="17">
        <v>2220253</v>
      </c>
      <c r="C239" s="17" t="s">
        <v>1472</v>
      </c>
      <c r="D239" s="17">
        <v>1799.99</v>
      </c>
      <c r="E239" s="17">
        <v>83</v>
      </c>
      <c r="F239" s="7" t="str">
        <f>IF(A239=IFERROR(VLOOKUP(A239,CATALOGO!$B$2:$B$600,1,FALSE),"Falta"),"", "Falta")</f>
        <v>Falta</v>
      </c>
    </row>
    <row r="240" spans="1:6" x14ac:dyDescent="0.25">
      <c r="A240" s="11">
        <f t="shared" si="3"/>
        <v>2220254</v>
      </c>
      <c r="B240" s="17">
        <v>2220254</v>
      </c>
      <c r="C240" s="17" t="s">
        <v>1473</v>
      </c>
      <c r="D240" s="17">
        <v>1210</v>
      </c>
      <c r="E240" s="17">
        <v>24</v>
      </c>
      <c r="F240" s="7" t="str">
        <f>IF(A240=IFERROR(VLOOKUP(A240,CATALOGO!$B$2:$B$600,1,FALSE),"Falta"),"", "Falta")</f>
        <v>Falta</v>
      </c>
    </row>
    <row r="241" spans="1:6" x14ac:dyDescent="0.25">
      <c r="A241" s="11">
        <f t="shared" si="3"/>
        <v>2220292</v>
      </c>
      <c r="B241" s="17">
        <v>2220292</v>
      </c>
      <c r="C241" s="17" t="s">
        <v>1474</v>
      </c>
      <c r="D241" s="17">
        <v>1452</v>
      </c>
      <c r="E241" s="17">
        <v>186</v>
      </c>
      <c r="F241" s="7" t="str">
        <f>IF(A241=IFERROR(VLOOKUP(A241,CATALOGO!$B$2:$B$600,1,FALSE),"Falta"),"", "Falta")</f>
        <v/>
      </c>
    </row>
    <row r="242" spans="1:6" x14ac:dyDescent="0.25">
      <c r="A242" s="11">
        <f t="shared" si="3"/>
        <v>2220333</v>
      </c>
      <c r="B242" s="17">
        <v>2220333</v>
      </c>
      <c r="C242" s="17" t="s">
        <v>1352</v>
      </c>
      <c r="D242" s="17">
        <v>1299.99</v>
      </c>
      <c r="E242" s="17">
        <v>237</v>
      </c>
      <c r="F242" s="7" t="str">
        <f>IF(A242=IFERROR(VLOOKUP(A242,CATALOGO!$B$2:$B$600,1,FALSE),"Falta"),"", "Falta")</f>
        <v/>
      </c>
    </row>
    <row r="243" spans="1:6" x14ac:dyDescent="0.25">
      <c r="A243" s="11">
        <f t="shared" si="3"/>
        <v>2220444</v>
      </c>
      <c r="B243" s="17">
        <v>2220444</v>
      </c>
      <c r="C243" s="17" t="s">
        <v>1358</v>
      </c>
      <c r="D243" s="17">
        <v>1299.99</v>
      </c>
      <c r="E243" s="17">
        <v>203</v>
      </c>
      <c r="F243" s="7" t="str">
        <f>IF(A243=IFERROR(VLOOKUP(A243,CATALOGO!$B$2:$B$600,1,FALSE),"Falta"),"", "Falta")</f>
        <v/>
      </c>
    </row>
    <row r="244" spans="1:6" x14ac:dyDescent="0.25">
      <c r="A244" s="11">
        <f t="shared" si="3"/>
        <v>2220456</v>
      </c>
      <c r="B244" s="17">
        <v>2220456</v>
      </c>
      <c r="C244" s="17" t="s">
        <v>1475</v>
      </c>
      <c r="D244" s="17">
        <v>1452</v>
      </c>
      <c r="E244" s="17">
        <v>119</v>
      </c>
      <c r="F244" s="7" t="str">
        <f>IF(A244=IFERROR(VLOOKUP(A244,CATALOGO!$B$2:$B$600,1,FALSE),"Falta"),"", "Falta")</f>
        <v/>
      </c>
    </row>
    <row r="245" spans="1:6" x14ac:dyDescent="0.25">
      <c r="A245" s="11">
        <f t="shared" si="3"/>
        <v>2220520</v>
      </c>
      <c r="B245" s="17">
        <v>2220520</v>
      </c>
      <c r="C245" s="17" t="s">
        <v>1476</v>
      </c>
      <c r="D245" s="17">
        <v>1599.99</v>
      </c>
      <c r="E245" s="17">
        <v>13</v>
      </c>
      <c r="F245" s="7" t="str">
        <f>IF(A245=IFERROR(VLOOKUP(A245,CATALOGO!$B$2:$B$600,1,FALSE),"Falta"),"", "Falta")</f>
        <v/>
      </c>
    </row>
    <row r="246" spans="1:6" x14ac:dyDescent="0.25">
      <c r="A246" s="11">
        <f t="shared" si="3"/>
        <v>2220601</v>
      </c>
      <c r="B246" s="17">
        <v>2220601</v>
      </c>
      <c r="C246" s="17" t="s">
        <v>1355</v>
      </c>
      <c r="D246" s="17">
        <v>1299.99</v>
      </c>
      <c r="E246" s="17">
        <v>163</v>
      </c>
      <c r="F246" s="7" t="str">
        <f>IF(A246=IFERROR(VLOOKUP(A246,CATALOGO!$B$2:$B$600,1,FALSE),"Falta"),"", "Falta")</f>
        <v/>
      </c>
    </row>
    <row r="247" spans="1:6" x14ac:dyDescent="0.25">
      <c r="A247" s="11">
        <f t="shared" si="3"/>
        <v>2220750</v>
      </c>
      <c r="B247" s="17">
        <v>2220750</v>
      </c>
      <c r="C247" s="17" t="s">
        <v>1356</v>
      </c>
      <c r="D247" s="17">
        <v>1299.99</v>
      </c>
      <c r="E247" s="17">
        <v>44</v>
      </c>
      <c r="F247" s="7" t="str">
        <f>IF(A247=IFERROR(VLOOKUP(A247,CATALOGO!$B$2:$B$600,1,FALSE),"Falta"),"", "Falta")</f>
        <v/>
      </c>
    </row>
    <row r="248" spans="1:6" x14ac:dyDescent="0.25">
      <c r="A248" s="11">
        <f t="shared" si="3"/>
        <v>2220751</v>
      </c>
      <c r="B248" s="17">
        <v>2220751</v>
      </c>
      <c r="C248" s="17" t="s">
        <v>1357</v>
      </c>
      <c r="D248" s="17">
        <v>1399.99</v>
      </c>
      <c r="E248" s="17">
        <v>8</v>
      </c>
      <c r="F248" s="7" t="str">
        <f>IF(A248=IFERROR(VLOOKUP(A248,CATALOGO!$B$2:$B$600,1,FALSE),"Falta"),"", "Falta")</f>
        <v>Falta</v>
      </c>
    </row>
    <row r="249" spans="1:6" x14ac:dyDescent="0.25">
      <c r="A249" s="11">
        <f t="shared" si="3"/>
        <v>2220909</v>
      </c>
      <c r="B249" s="17">
        <v>2220909</v>
      </c>
      <c r="C249" s="17" t="s">
        <v>1353</v>
      </c>
      <c r="D249" s="17">
        <v>0</v>
      </c>
      <c r="E249" s="17">
        <v>21</v>
      </c>
      <c r="F249" s="7" t="str">
        <f>IF(A249=IFERROR(VLOOKUP(A249,CATALOGO!$B$2:$B$600,1,FALSE),"Falta"),"", "Falta")</f>
        <v>Falta</v>
      </c>
    </row>
    <row r="250" spans="1:6" x14ac:dyDescent="0.25">
      <c r="A250" s="11">
        <f t="shared" si="3"/>
        <v>2230600</v>
      </c>
      <c r="B250" s="17">
        <v>2230600</v>
      </c>
      <c r="C250" s="17" t="s">
        <v>1364</v>
      </c>
      <c r="D250" s="17">
        <v>1299.99</v>
      </c>
      <c r="E250" s="17">
        <v>66</v>
      </c>
      <c r="F250" s="7" t="str">
        <f>IF(A250=IFERROR(VLOOKUP(A250,CATALOGO!$B$2:$B$600,1,FALSE),"Falta"),"", "Falta")</f>
        <v>Falta</v>
      </c>
    </row>
    <row r="251" spans="1:6" x14ac:dyDescent="0.25">
      <c r="A251" s="11">
        <f t="shared" si="3"/>
        <v>2301046</v>
      </c>
      <c r="B251" s="17">
        <v>2301046</v>
      </c>
      <c r="C251" s="17" t="s">
        <v>1409</v>
      </c>
      <c r="D251" s="17">
        <v>2800</v>
      </c>
      <c r="E251" s="17">
        <v>219</v>
      </c>
      <c r="F251" s="7" t="str">
        <f>IF(A251=IFERROR(VLOOKUP(A251,CATALOGO!$B$2:$B$600,1,FALSE),"Falta"),"", "Falta")</f>
        <v/>
      </c>
    </row>
    <row r="252" spans="1:6" x14ac:dyDescent="0.25">
      <c r="A252" s="11">
        <f t="shared" si="3"/>
        <v>2301048</v>
      </c>
      <c r="B252" s="17">
        <v>2301048</v>
      </c>
      <c r="C252" s="17" t="s">
        <v>1403</v>
      </c>
      <c r="D252" s="17">
        <v>2800</v>
      </c>
      <c r="E252" s="17">
        <v>432</v>
      </c>
      <c r="F252" s="7" t="str">
        <f>IF(A252=IFERROR(VLOOKUP(A252,CATALOGO!$B$2:$B$600,1,FALSE),"Falta"),"", "Falta")</f>
        <v/>
      </c>
    </row>
    <row r="253" spans="1:6" x14ac:dyDescent="0.25">
      <c r="A253" s="11">
        <f t="shared" si="3"/>
        <v>2301158</v>
      </c>
      <c r="B253" s="17">
        <v>2301158</v>
      </c>
      <c r="C253" s="17" t="s">
        <v>1402</v>
      </c>
      <c r="D253" s="17">
        <v>2800</v>
      </c>
      <c r="E253" s="17">
        <v>355</v>
      </c>
      <c r="F253" s="7" t="str">
        <f>IF(A253=IFERROR(VLOOKUP(A253,CATALOGO!$B$2:$B$600,1,FALSE),"Falta"),"", "Falta")</f>
        <v/>
      </c>
    </row>
    <row r="254" spans="1:6" x14ac:dyDescent="0.25">
      <c r="A254" s="11">
        <f t="shared" si="3"/>
        <v>2301175</v>
      </c>
      <c r="B254" s="17">
        <v>2301175</v>
      </c>
      <c r="C254" s="17" t="s">
        <v>365</v>
      </c>
      <c r="D254" s="17">
        <v>2795.09</v>
      </c>
      <c r="E254" s="17">
        <v>9</v>
      </c>
      <c r="F254" s="7" t="str">
        <f>IF(A254=IFERROR(VLOOKUP(A254,CATALOGO!$B$2:$B$600,1,FALSE),"Falta"),"", "Falta")</f>
        <v>Falta</v>
      </c>
    </row>
    <row r="255" spans="1:6" x14ac:dyDescent="0.25">
      <c r="A255" s="11">
        <f t="shared" si="3"/>
        <v>2301300</v>
      </c>
      <c r="B255" s="17">
        <v>2301300</v>
      </c>
      <c r="C255" s="17" t="s">
        <v>1404</v>
      </c>
      <c r="D255" s="17">
        <v>2800</v>
      </c>
      <c r="E255" s="17">
        <v>111</v>
      </c>
      <c r="F255" s="7" t="str">
        <f>IF(A255=IFERROR(VLOOKUP(A255,CATALOGO!$B$2:$B$600,1,FALSE),"Falta"),"", "Falta")</f>
        <v/>
      </c>
    </row>
    <row r="256" spans="1:6" x14ac:dyDescent="0.25">
      <c r="A256" s="11">
        <f t="shared" si="3"/>
        <v>2301333</v>
      </c>
      <c r="B256" s="17">
        <v>2301333</v>
      </c>
      <c r="C256" s="17" t="s">
        <v>1407</v>
      </c>
      <c r="D256" s="17">
        <v>2800</v>
      </c>
      <c r="E256" s="17">
        <v>133</v>
      </c>
      <c r="F256" s="7" t="str">
        <f>IF(A256=IFERROR(VLOOKUP(A256,CATALOGO!$B$2:$B$600,1,FALSE),"Falta"),"", "Falta")</f>
        <v/>
      </c>
    </row>
    <row r="257" spans="1:6" x14ac:dyDescent="0.25">
      <c r="A257" s="11">
        <f t="shared" si="3"/>
        <v>2301666</v>
      </c>
      <c r="B257" s="17">
        <v>2301666</v>
      </c>
      <c r="C257" s="17" t="s">
        <v>1408</v>
      </c>
      <c r="D257" s="17">
        <v>2800</v>
      </c>
      <c r="E257" s="17">
        <v>340</v>
      </c>
      <c r="F257" s="7" t="str">
        <f>IF(A257=IFERROR(VLOOKUP(A257,CATALOGO!$B$2:$B$600,1,FALSE),"Falta"),"", "Falta")</f>
        <v/>
      </c>
    </row>
    <row r="258" spans="1:6" x14ac:dyDescent="0.25">
      <c r="A258" s="11">
        <f t="shared" si="3"/>
        <v>2301777</v>
      </c>
      <c r="B258" s="17">
        <v>2301777</v>
      </c>
      <c r="C258" s="17" t="s">
        <v>1405</v>
      </c>
      <c r="D258" s="17">
        <v>2800</v>
      </c>
      <c r="E258" s="17">
        <v>274</v>
      </c>
      <c r="F258" s="7" t="str">
        <f>IF(A258=IFERROR(VLOOKUP(A258,CATALOGO!$B$2:$B$600,1,FALSE),"Falta"),"", "Falta")</f>
        <v/>
      </c>
    </row>
    <row r="259" spans="1:6" x14ac:dyDescent="0.25">
      <c r="A259" s="11">
        <f t="shared" si="3"/>
        <v>2301852</v>
      </c>
      <c r="B259" s="17">
        <v>2301852</v>
      </c>
      <c r="C259" s="17" t="s">
        <v>1878</v>
      </c>
      <c r="D259" s="17">
        <v>1399</v>
      </c>
      <c r="E259" s="17">
        <v>2</v>
      </c>
      <c r="F259" s="7" t="str">
        <f>IF(A259=IFERROR(VLOOKUP(A259,CATALOGO!$B$2:$B$600,1,FALSE),"Falta"),"", "Falta")</f>
        <v>Falta</v>
      </c>
    </row>
    <row r="260" spans="1:6" x14ac:dyDescent="0.25">
      <c r="A260" s="11">
        <f t="shared" si="3"/>
        <v>2301888</v>
      </c>
      <c r="B260" s="17">
        <v>2301888</v>
      </c>
      <c r="C260" s="17" t="s">
        <v>1401</v>
      </c>
      <c r="D260" s="17">
        <v>2800</v>
      </c>
      <c r="E260" s="17">
        <v>488</v>
      </c>
      <c r="F260" s="7" t="str">
        <f>IF(A260=IFERROR(VLOOKUP(A260,CATALOGO!$B$2:$B$600,1,FALSE),"Falta"),"", "Falta")</f>
        <v/>
      </c>
    </row>
    <row r="261" spans="1:6" x14ac:dyDescent="0.25">
      <c r="A261" s="11">
        <f t="shared" si="3"/>
        <v>2301900</v>
      </c>
      <c r="B261" s="17">
        <v>2301900</v>
      </c>
      <c r="C261" s="17" t="s">
        <v>1406</v>
      </c>
      <c r="D261" s="17">
        <v>2800</v>
      </c>
      <c r="E261" s="17">
        <v>84</v>
      </c>
      <c r="F261" s="7" t="str">
        <f>IF(A261=IFERROR(VLOOKUP(A261,CATALOGO!$B$2:$B$600,1,FALSE),"Falta"),"", "Falta")</f>
        <v/>
      </c>
    </row>
    <row r="262" spans="1:6" x14ac:dyDescent="0.25">
      <c r="A262" s="11">
        <f t="shared" ref="A262:A325" si="4">IFERROR(B262*1,"")</f>
        <v>2401022</v>
      </c>
      <c r="B262" s="17">
        <v>2401022</v>
      </c>
      <c r="C262" s="17" t="s">
        <v>403</v>
      </c>
      <c r="D262" s="17">
        <v>4700</v>
      </c>
      <c r="E262" s="17">
        <v>146</v>
      </c>
      <c r="F262" s="7" t="str">
        <f>IF(A262=IFERROR(VLOOKUP(A262,CATALOGO!$B$2:$B$600,1,FALSE),"Falta"),"", "Falta")</f>
        <v>Falta</v>
      </c>
    </row>
    <row r="263" spans="1:6" x14ac:dyDescent="0.25">
      <c r="A263" s="11">
        <f t="shared" si="4"/>
        <v>2401100</v>
      </c>
      <c r="B263" s="17">
        <v>2401100</v>
      </c>
      <c r="C263" s="17" t="s">
        <v>412</v>
      </c>
      <c r="D263" s="17">
        <v>5400</v>
      </c>
      <c r="E263" s="17">
        <v>4</v>
      </c>
      <c r="F263" s="7" t="str">
        <f>IF(A263=IFERROR(VLOOKUP(A263,CATALOGO!$B$2:$B$600,1,FALSE),"Falta"),"", "Falta")</f>
        <v>Falta</v>
      </c>
    </row>
    <row r="264" spans="1:6" x14ac:dyDescent="0.25">
      <c r="A264" s="11">
        <f t="shared" si="4"/>
        <v>2401103</v>
      </c>
      <c r="B264" s="17">
        <v>2401103</v>
      </c>
      <c r="C264" s="17" t="s">
        <v>406</v>
      </c>
      <c r="D264" s="17">
        <v>6300</v>
      </c>
      <c r="E264" s="17">
        <v>70</v>
      </c>
      <c r="F264" s="7" t="str">
        <f>IF(A264=IFERROR(VLOOKUP(A264,CATALOGO!$B$2:$B$600,1,FALSE),"Falta"),"", "Falta")</f>
        <v>Falta</v>
      </c>
    </row>
    <row r="265" spans="1:6" x14ac:dyDescent="0.25">
      <c r="A265" s="11">
        <f t="shared" si="4"/>
        <v>2401242</v>
      </c>
      <c r="B265" s="17">
        <v>2401242</v>
      </c>
      <c r="C265" s="17" t="s">
        <v>396</v>
      </c>
      <c r="D265" s="17">
        <v>4700</v>
      </c>
      <c r="E265" s="17">
        <v>16</v>
      </c>
      <c r="F265" s="7" t="str">
        <f>IF(A265=IFERROR(VLOOKUP(A265,CATALOGO!$B$2:$B$600,1,FALSE),"Falta"),"", "Falta")</f>
        <v>Falta</v>
      </c>
    </row>
    <row r="266" spans="1:6" x14ac:dyDescent="0.25">
      <c r="A266" s="11">
        <f t="shared" si="4"/>
        <v>2401249</v>
      </c>
      <c r="B266" s="17">
        <v>2401249</v>
      </c>
      <c r="C266" s="17" t="s">
        <v>1478</v>
      </c>
      <c r="D266" s="17">
        <v>5500</v>
      </c>
      <c r="E266" s="17">
        <v>80</v>
      </c>
      <c r="F266" s="7" t="str">
        <f>IF(A266=IFERROR(VLOOKUP(A266,CATALOGO!$B$2:$B$600,1,FALSE),"Falta"),"", "Falta")</f>
        <v>Falta</v>
      </c>
    </row>
    <row r="267" spans="1:6" x14ac:dyDescent="0.25">
      <c r="A267" s="11">
        <f t="shared" si="4"/>
        <v>2401298</v>
      </c>
      <c r="B267" s="17">
        <v>2401298</v>
      </c>
      <c r="C267" s="17" t="s">
        <v>409</v>
      </c>
      <c r="D267" s="17">
        <v>2447.5100000000002</v>
      </c>
      <c r="E267" s="17">
        <v>225</v>
      </c>
      <c r="F267" s="7" t="str">
        <f>IF(A267=IFERROR(VLOOKUP(A267,CATALOGO!$B$2:$B$600,1,FALSE),"Falta"),"", "Falta")</f>
        <v>Falta</v>
      </c>
    </row>
    <row r="268" spans="1:6" x14ac:dyDescent="0.25">
      <c r="A268" s="11">
        <f t="shared" si="4"/>
        <v>2401550</v>
      </c>
      <c r="B268" s="17">
        <v>2401550</v>
      </c>
      <c r="C268" s="17" t="s">
        <v>397</v>
      </c>
      <c r="D268" s="17">
        <v>5204.21</v>
      </c>
      <c r="E268" s="17">
        <v>5</v>
      </c>
      <c r="F268" s="7" t="str">
        <f>IF(A268=IFERROR(VLOOKUP(A268,CATALOGO!$B$2:$B$600,1,FALSE),"Falta"),"", "Falta")</f>
        <v>Falta</v>
      </c>
    </row>
    <row r="269" spans="1:6" x14ac:dyDescent="0.25">
      <c r="A269" s="11">
        <f t="shared" si="4"/>
        <v>2401584</v>
      </c>
      <c r="B269" s="17">
        <v>2401584</v>
      </c>
      <c r="C269" s="17" t="s">
        <v>400</v>
      </c>
      <c r="D269" s="17">
        <v>2447.5100000000002</v>
      </c>
      <c r="E269" s="17">
        <v>76</v>
      </c>
      <c r="F269" s="7" t="str">
        <f>IF(A269=IFERROR(VLOOKUP(A269,CATALOGO!$B$2:$B$600,1,FALSE),"Falta"),"", "Falta")</f>
        <v>Falta</v>
      </c>
    </row>
    <row r="270" spans="1:6" x14ac:dyDescent="0.25">
      <c r="A270" s="11">
        <f t="shared" si="4"/>
        <v>2401800</v>
      </c>
      <c r="B270" s="17">
        <v>2401800</v>
      </c>
      <c r="C270" s="17" t="s">
        <v>398</v>
      </c>
      <c r="D270" s="17">
        <v>1222.99</v>
      </c>
      <c r="E270" s="17">
        <v>1</v>
      </c>
      <c r="F270" s="7" t="str">
        <f>IF(A270=IFERROR(VLOOKUP(A270,CATALOGO!$B$2:$B$600,1,FALSE),"Falta"),"", "Falta")</f>
        <v>Falta</v>
      </c>
    </row>
    <row r="271" spans="1:6" x14ac:dyDescent="0.25">
      <c r="A271" s="11">
        <f t="shared" si="4"/>
        <v>2601003</v>
      </c>
      <c r="B271" s="17">
        <v>2601003</v>
      </c>
      <c r="C271" s="17" t="s">
        <v>1400</v>
      </c>
      <c r="D271" s="17">
        <v>2299.9899999999998</v>
      </c>
      <c r="E271" s="17">
        <v>107</v>
      </c>
      <c r="F271" s="7" t="str">
        <f>IF(A271=IFERROR(VLOOKUP(A271,CATALOGO!$B$2:$B$600,1,FALSE),"Falta"),"", "Falta")</f>
        <v/>
      </c>
    </row>
    <row r="272" spans="1:6" x14ac:dyDescent="0.25">
      <c r="A272" s="11">
        <f t="shared" si="4"/>
        <v>2601004</v>
      </c>
      <c r="B272" s="17">
        <v>2601004</v>
      </c>
      <c r="C272" s="17" t="s">
        <v>1399</v>
      </c>
      <c r="D272" s="17">
        <v>2299.9899999999998</v>
      </c>
      <c r="E272" s="17">
        <v>99</v>
      </c>
      <c r="F272" s="7" t="str">
        <f>IF(A272=IFERROR(VLOOKUP(A272,CATALOGO!$B$2:$B$600,1,FALSE),"Falta"),"", "Falta")</f>
        <v/>
      </c>
    </row>
    <row r="273" spans="1:6" x14ac:dyDescent="0.25">
      <c r="A273" s="11">
        <f t="shared" si="4"/>
        <v>2601495</v>
      </c>
      <c r="B273" s="17">
        <v>2601495</v>
      </c>
      <c r="C273" s="17" t="s">
        <v>187</v>
      </c>
      <c r="D273" s="17">
        <v>2419.9899999999998</v>
      </c>
      <c r="E273" s="17">
        <v>135</v>
      </c>
      <c r="F273" s="7" t="str">
        <f>IF(A273=IFERROR(VLOOKUP(A273,CATALOGO!$B$2:$B$600,1,FALSE),"Falta"),"", "Falta")</f>
        <v>Falta</v>
      </c>
    </row>
    <row r="274" spans="1:6" x14ac:dyDescent="0.25">
      <c r="A274" s="11">
        <f t="shared" si="4"/>
        <v>2601594</v>
      </c>
      <c r="B274" s="17">
        <v>2601594</v>
      </c>
      <c r="C274" s="17" t="s">
        <v>189</v>
      </c>
      <c r="D274" s="17">
        <v>2142.9</v>
      </c>
      <c r="E274" s="17">
        <v>4</v>
      </c>
      <c r="F274" s="7" t="str">
        <f>IF(A274=IFERROR(VLOOKUP(A274,CATALOGO!$B$2:$B$600,1,FALSE),"Falta"),"", "Falta")</f>
        <v>Falta</v>
      </c>
    </row>
    <row r="275" spans="1:6" x14ac:dyDescent="0.25">
      <c r="A275" s="11">
        <f t="shared" si="4"/>
        <v>2601900</v>
      </c>
      <c r="B275" s="17">
        <v>2601900</v>
      </c>
      <c r="C275" s="17" t="s">
        <v>188</v>
      </c>
      <c r="D275" s="17">
        <v>2419.9899999999998</v>
      </c>
      <c r="E275" s="17">
        <v>112</v>
      </c>
      <c r="F275" s="7" t="str">
        <f>IF(A275=IFERROR(VLOOKUP(A275,CATALOGO!$B$2:$B$600,1,FALSE),"Falta"),"", "Falta")</f>
        <v>Falta</v>
      </c>
    </row>
    <row r="276" spans="1:6" x14ac:dyDescent="0.25">
      <c r="A276" s="11">
        <f t="shared" si="4"/>
        <v>2601901</v>
      </c>
      <c r="B276" s="17">
        <v>2601901</v>
      </c>
      <c r="C276" s="17" t="s">
        <v>1444</v>
      </c>
      <c r="D276" s="17">
        <v>2419.9899999999998</v>
      </c>
      <c r="E276" s="17">
        <v>3</v>
      </c>
      <c r="F276" s="7" t="str">
        <f>IF(A276=IFERROR(VLOOKUP(A276,CATALOGO!$B$2:$B$600,1,FALSE),"Falta"),"", "Falta")</f>
        <v>Falta</v>
      </c>
    </row>
    <row r="277" spans="1:6" x14ac:dyDescent="0.25">
      <c r="A277" s="11">
        <f t="shared" si="4"/>
        <v>3101024</v>
      </c>
      <c r="B277" s="17">
        <v>3101024</v>
      </c>
      <c r="C277" s="17" t="s">
        <v>461</v>
      </c>
      <c r="D277" s="17">
        <v>5999.99</v>
      </c>
      <c r="E277" s="17">
        <v>4</v>
      </c>
      <c r="F277" s="7" t="str">
        <f>IF(A277=IFERROR(VLOOKUP(A277,CATALOGO!$B$2:$B$600,1,FALSE),"Falta"),"", "Falta")</f>
        <v>Falta</v>
      </c>
    </row>
    <row r="278" spans="1:6" x14ac:dyDescent="0.25">
      <c r="A278" s="11">
        <f t="shared" si="4"/>
        <v>3101025</v>
      </c>
      <c r="B278" s="17">
        <v>3101025</v>
      </c>
      <c r="C278" s="17" t="s">
        <v>1087</v>
      </c>
      <c r="D278" s="17">
        <v>1599.51</v>
      </c>
      <c r="E278" s="17">
        <v>2</v>
      </c>
      <c r="F278" s="7" t="str">
        <f>IF(A278=IFERROR(VLOOKUP(A278,CATALOGO!$B$2:$B$600,1,FALSE),"Falta"),"", "Falta")</f>
        <v>Falta</v>
      </c>
    </row>
    <row r="279" spans="1:6" x14ac:dyDescent="0.25">
      <c r="A279" s="11">
        <f t="shared" si="4"/>
        <v>3101103</v>
      </c>
      <c r="B279" s="17">
        <v>3101103</v>
      </c>
      <c r="C279" s="17" t="s">
        <v>460</v>
      </c>
      <c r="D279" s="17">
        <v>5999.99</v>
      </c>
      <c r="E279" s="17">
        <v>11</v>
      </c>
      <c r="F279" s="7" t="str">
        <f>IF(A279=IFERROR(VLOOKUP(A279,CATALOGO!$B$2:$B$600,1,FALSE),"Falta"),"", "Falta")</f>
        <v>Falta</v>
      </c>
    </row>
    <row r="280" spans="1:6" x14ac:dyDescent="0.25">
      <c r="A280" s="11">
        <f t="shared" si="4"/>
        <v>3101370</v>
      </c>
      <c r="B280" s="17">
        <v>3101370</v>
      </c>
      <c r="C280" s="17" t="s">
        <v>462</v>
      </c>
      <c r="D280" s="17">
        <v>5999.99</v>
      </c>
      <c r="E280" s="17">
        <v>9</v>
      </c>
      <c r="F280" s="7" t="str">
        <f>IF(A280=IFERROR(VLOOKUP(A280,CATALOGO!$B$2:$B$600,1,FALSE),"Falta"),"", "Falta")</f>
        <v>Falta</v>
      </c>
    </row>
    <row r="281" spans="1:6" x14ac:dyDescent="0.25">
      <c r="A281" s="11">
        <f t="shared" si="4"/>
        <v>3101485</v>
      </c>
      <c r="B281" s="17">
        <v>3101485</v>
      </c>
      <c r="C281" s="17" t="s">
        <v>459</v>
      </c>
      <c r="D281" s="17">
        <v>2783</v>
      </c>
      <c r="E281" s="17">
        <v>8</v>
      </c>
      <c r="F281" s="7" t="str">
        <f>IF(A281=IFERROR(VLOOKUP(A281,CATALOGO!$B$2:$B$600,1,FALSE),"Falta"),"", "Falta")</f>
        <v>Falta</v>
      </c>
    </row>
    <row r="282" spans="1:6" x14ac:dyDescent="0.25">
      <c r="A282" s="11">
        <f t="shared" si="4"/>
        <v>3101486</v>
      </c>
      <c r="B282" s="17">
        <v>3101486</v>
      </c>
      <c r="C282" s="17" t="s">
        <v>1093</v>
      </c>
      <c r="D282" s="17">
        <v>1863.39</v>
      </c>
      <c r="E282" s="17">
        <v>6</v>
      </c>
      <c r="F282" s="7" t="str">
        <f>IF(A282=IFERROR(VLOOKUP(A282,CATALOGO!$B$2:$B$600,1,FALSE),"Falta"),"", "Falta")</f>
        <v>Falta</v>
      </c>
    </row>
    <row r="283" spans="1:6" x14ac:dyDescent="0.25">
      <c r="A283" s="11">
        <f t="shared" si="4"/>
        <v>3101487</v>
      </c>
      <c r="B283" s="17">
        <v>3101487</v>
      </c>
      <c r="C283" s="17" t="s">
        <v>1880</v>
      </c>
      <c r="D283" s="17">
        <v>0</v>
      </c>
      <c r="E283" s="17">
        <v>2</v>
      </c>
      <c r="F283" s="7" t="str">
        <f>IF(A283=IFERROR(VLOOKUP(A283,CATALOGO!$B$2:$B$600,1,FALSE),"Falta"),"", "Falta")</f>
        <v>Falta</v>
      </c>
    </row>
    <row r="284" spans="1:6" x14ac:dyDescent="0.25">
      <c r="A284" s="11">
        <f t="shared" si="4"/>
        <v>3101555</v>
      </c>
      <c r="B284" s="17">
        <v>3101555</v>
      </c>
      <c r="C284" s="17" t="s">
        <v>463</v>
      </c>
      <c r="D284" s="17">
        <v>4040.92</v>
      </c>
      <c r="E284" s="17">
        <v>12</v>
      </c>
      <c r="F284" s="7" t="str">
        <f>IF(A284=IFERROR(VLOOKUP(A284,CATALOGO!$B$2:$B$600,1,FALSE),"Falta"),"", "Falta")</f>
        <v>Falta</v>
      </c>
    </row>
    <row r="285" spans="1:6" x14ac:dyDescent="0.25">
      <c r="A285" s="11">
        <f t="shared" si="4"/>
        <v>3101666</v>
      </c>
      <c r="B285" s="17">
        <v>3101666</v>
      </c>
      <c r="C285" s="17" t="s">
        <v>464</v>
      </c>
      <c r="D285" s="17">
        <v>1622.49</v>
      </c>
      <c r="E285" s="17">
        <v>1</v>
      </c>
      <c r="F285" s="7" t="str">
        <f>IF(A285=IFERROR(VLOOKUP(A285,CATALOGO!$B$2:$B$600,1,FALSE),"Falta"),"", "Falta")</f>
        <v>Falta</v>
      </c>
    </row>
    <row r="286" spans="1:6" x14ac:dyDescent="0.25">
      <c r="A286" s="11">
        <f t="shared" si="4"/>
        <v>3101998</v>
      </c>
      <c r="B286" s="17">
        <v>3101998</v>
      </c>
      <c r="C286" s="17" t="s">
        <v>1881</v>
      </c>
      <c r="D286" s="17">
        <v>0</v>
      </c>
      <c r="E286" s="17">
        <v>27</v>
      </c>
      <c r="F286" s="7" t="str">
        <f>IF(A286=IFERROR(VLOOKUP(A286,CATALOGO!$B$2:$B$600,1,FALSE),"Falta"),"", "Falta")</f>
        <v>Falta</v>
      </c>
    </row>
    <row r="287" spans="1:6" x14ac:dyDescent="0.25">
      <c r="A287" s="11">
        <f t="shared" si="4"/>
        <v>3101999</v>
      </c>
      <c r="B287" s="17">
        <v>3101999</v>
      </c>
      <c r="C287" s="17" t="s">
        <v>465</v>
      </c>
      <c r="D287" s="17">
        <v>3276.27</v>
      </c>
      <c r="E287" s="17">
        <v>7</v>
      </c>
      <c r="F287" s="7" t="str">
        <f>IF(A287=IFERROR(VLOOKUP(A287,CATALOGO!$B$2:$B$600,1,FALSE),"Falta"),"", "Falta")</f>
        <v>Falta</v>
      </c>
    </row>
    <row r="288" spans="1:6" x14ac:dyDescent="0.25">
      <c r="A288" s="11">
        <f t="shared" si="4"/>
        <v>4120000</v>
      </c>
      <c r="B288" s="17">
        <v>4120000</v>
      </c>
      <c r="C288" s="17" t="s">
        <v>1883</v>
      </c>
      <c r="D288" s="17">
        <v>0</v>
      </c>
      <c r="E288" s="17">
        <v>1</v>
      </c>
      <c r="F288" s="7" t="str">
        <f>IF(A288=IFERROR(VLOOKUP(A288,CATALOGO!$B$2:$B$600,1,FALSE),"Falta"),"", "Falta")</f>
        <v>Falta</v>
      </c>
    </row>
    <row r="289" spans="1:6" x14ac:dyDescent="0.25">
      <c r="A289" s="11">
        <f t="shared" si="4"/>
        <v>4120001</v>
      </c>
      <c r="B289" s="17">
        <v>4120001</v>
      </c>
      <c r="C289" s="17" t="s">
        <v>1884</v>
      </c>
      <c r="D289" s="17">
        <v>0</v>
      </c>
      <c r="E289" s="17">
        <v>1</v>
      </c>
      <c r="F289" s="7" t="str">
        <f>IF(A289=IFERROR(VLOOKUP(A289,CATALOGO!$B$2:$B$600,1,FALSE),"Falta"),"", "Falta")</f>
        <v>Falta</v>
      </c>
    </row>
    <row r="290" spans="1:6" x14ac:dyDescent="0.25">
      <c r="A290" s="11">
        <f t="shared" si="4"/>
        <v>4120003</v>
      </c>
      <c r="B290" s="17">
        <v>4120003</v>
      </c>
      <c r="C290" s="17" t="s">
        <v>269</v>
      </c>
      <c r="D290" s="17">
        <v>1999.99</v>
      </c>
      <c r="E290" s="17">
        <v>18</v>
      </c>
      <c r="F290" s="7" t="str">
        <f>IF(A290=IFERROR(VLOOKUP(A290,CATALOGO!$B$2:$B$600,1,FALSE),"Falta"),"", "Falta")</f>
        <v>Falta</v>
      </c>
    </row>
    <row r="291" spans="1:6" x14ac:dyDescent="0.25">
      <c r="A291" s="11">
        <f t="shared" si="4"/>
        <v>4120004</v>
      </c>
      <c r="B291" s="17">
        <v>4120004</v>
      </c>
      <c r="C291" s="17" t="s">
        <v>234</v>
      </c>
      <c r="D291" s="17">
        <v>2178</v>
      </c>
      <c r="E291" s="17">
        <v>11</v>
      </c>
      <c r="F291" s="7" t="str">
        <f>IF(A291=IFERROR(VLOOKUP(A291,CATALOGO!$B$2:$B$600,1,FALSE),"Falta"),"", "Falta")</f>
        <v>Falta</v>
      </c>
    </row>
    <row r="292" spans="1:6" x14ac:dyDescent="0.25">
      <c r="A292" s="11">
        <f t="shared" si="4"/>
        <v>4120005</v>
      </c>
      <c r="B292" s="17">
        <v>4120005</v>
      </c>
      <c r="C292" s="17" t="s">
        <v>270</v>
      </c>
      <c r="D292" s="17">
        <v>2057</v>
      </c>
      <c r="E292" s="17">
        <v>77</v>
      </c>
      <c r="F292" s="7" t="str">
        <f>IF(A292=IFERROR(VLOOKUP(A292,CATALOGO!$B$2:$B$600,1,FALSE),"Falta"),"", "Falta")</f>
        <v>Falta</v>
      </c>
    </row>
    <row r="293" spans="1:6" x14ac:dyDescent="0.25">
      <c r="A293" s="11">
        <f t="shared" si="4"/>
        <v>4120006</v>
      </c>
      <c r="B293" s="17">
        <v>4120006</v>
      </c>
      <c r="C293" s="17" t="s">
        <v>271</v>
      </c>
      <c r="D293" s="17">
        <v>2117.5</v>
      </c>
      <c r="E293" s="17">
        <v>18</v>
      </c>
      <c r="F293" s="7" t="str">
        <f>IF(A293=IFERROR(VLOOKUP(A293,CATALOGO!$B$2:$B$600,1,FALSE),"Falta"),"", "Falta")</f>
        <v>Falta</v>
      </c>
    </row>
    <row r="294" spans="1:6" x14ac:dyDescent="0.25">
      <c r="A294" s="11">
        <f t="shared" si="4"/>
        <v>4120007</v>
      </c>
      <c r="B294" s="17">
        <v>4120007</v>
      </c>
      <c r="C294" s="17" t="s">
        <v>232</v>
      </c>
      <c r="D294" s="17">
        <v>2057</v>
      </c>
      <c r="E294" s="17">
        <v>51</v>
      </c>
      <c r="F294" s="7" t="str">
        <f>IF(A294=IFERROR(VLOOKUP(A294,CATALOGO!$B$2:$B$600,1,FALSE),"Falta"),"", "Falta")</f>
        <v>Falta</v>
      </c>
    </row>
    <row r="295" spans="1:6" x14ac:dyDescent="0.25">
      <c r="A295" s="11">
        <f t="shared" si="4"/>
        <v>4120008</v>
      </c>
      <c r="B295" s="17">
        <v>4120008</v>
      </c>
      <c r="C295" s="17" t="s">
        <v>233</v>
      </c>
      <c r="D295" s="17">
        <v>2117.5</v>
      </c>
      <c r="E295" s="17">
        <v>48</v>
      </c>
      <c r="F295" s="7" t="str">
        <f>IF(A295=IFERROR(VLOOKUP(A295,CATALOGO!$B$2:$B$600,1,FALSE),"Falta"),"", "Falta")</f>
        <v>Falta</v>
      </c>
    </row>
    <row r="296" spans="1:6" x14ac:dyDescent="0.25">
      <c r="A296" s="11">
        <f t="shared" si="4"/>
        <v>4120009</v>
      </c>
      <c r="B296" s="17">
        <v>4120009</v>
      </c>
      <c r="C296" s="17" t="s">
        <v>272</v>
      </c>
      <c r="D296" s="17">
        <v>1999.99</v>
      </c>
      <c r="E296" s="17">
        <v>35</v>
      </c>
      <c r="F296" s="7" t="str">
        <f>IF(A296=IFERROR(VLOOKUP(A296,CATALOGO!$B$2:$B$600,1,FALSE),"Falta"),"", "Falta")</f>
        <v>Falta</v>
      </c>
    </row>
    <row r="297" spans="1:6" x14ac:dyDescent="0.25">
      <c r="A297" s="11">
        <f t="shared" si="4"/>
        <v>4120010</v>
      </c>
      <c r="B297" s="17">
        <v>4120010</v>
      </c>
      <c r="C297" s="17" t="s">
        <v>273</v>
      </c>
      <c r="D297" s="17">
        <v>2057</v>
      </c>
      <c r="E297" s="17">
        <v>18</v>
      </c>
      <c r="F297" s="7" t="str">
        <f>IF(A297=IFERROR(VLOOKUP(A297,CATALOGO!$B$2:$B$600,1,FALSE),"Falta"),"", "Falta")</f>
        <v>Falta</v>
      </c>
    </row>
    <row r="298" spans="1:6" x14ac:dyDescent="0.25">
      <c r="A298" s="11">
        <f t="shared" si="4"/>
        <v>4120011</v>
      </c>
      <c r="B298" s="17">
        <v>4120011</v>
      </c>
      <c r="C298" s="17" t="s">
        <v>263</v>
      </c>
      <c r="D298" s="17">
        <v>1999.99</v>
      </c>
      <c r="E298" s="17">
        <v>5</v>
      </c>
      <c r="F298" s="7" t="str">
        <f>IF(A298=IFERROR(VLOOKUP(A298,CATALOGO!$B$2:$B$600,1,FALSE),"Falta"),"", "Falta")</f>
        <v>Falta</v>
      </c>
    </row>
    <row r="299" spans="1:6" x14ac:dyDescent="0.25">
      <c r="A299" s="11">
        <f t="shared" si="4"/>
        <v>4120012</v>
      </c>
      <c r="B299" s="17">
        <v>4120012</v>
      </c>
      <c r="C299" s="17" t="s">
        <v>264</v>
      </c>
      <c r="D299" s="17">
        <v>2057</v>
      </c>
      <c r="E299" s="17">
        <v>7</v>
      </c>
      <c r="F299" s="7" t="str">
        <f>IF(A299=IFERROR(VLOOKUP(A299,CATALOGO!$B$2:$B$600,1,FALSE),"Falta"),"", "Falta")</f>
        <v>Falta</v>
      </c>
    </row>
    <row r="300" spans="1:6" x14ac:dyDescent="0.25">
      <c r="A300" s="11">
        <f t="shared" si="4"/>
        <v>4120013</v>
      </c>
      <c r="B300" s="17">
        <v>4120013</v>
      </c>
      <c r="C300" s="17" t="s">
        <v>265</v>
      </c>
      <c r="D300" s="17">
        <v>2117.5</v>
      </c>
      <c r="E300" s="17">
        <v>1</v>
      </c>
      <c r="F300" s="7" t="str">
        <f>IF(A300=IFERROR(VLOOKUP(A300,CATALOGO!$B$2:$B$600,1,FALSE),"Falta"),"", "Falta")</f>
        <v>Falta</v>
      </c>
    </row>
    <row r="301" spans="1:6" x14ac:dyDescent="0.25">
      <c r="A301" s="11">
        <f t="shared" si="4"/>
        <v>4120015</v>
      </c>
      <c r="B301" s="17">
        <v>4120015</v>
      </c>
      <c r="C301" s="17" t="s">
        <v>225</v>
      </c>
      <c r="D301" s="17">
        <v>1936</v>
      </c>
      <c r="E301" s="17">
        <v>38</v>
      </c>
      <c r="F301" s="7" t="str">
        <f>IF(A301=IFERROR(VLOOKUP(A301,CATALOGO!$B$2:$B$600,1,FALSE),"Falta"),"", "Falta")</f>
        <v>Falta</v>
      </c>
    </row>
    <row r="302" spans="1:6" x14ac:dyDescent="0.25">
      <c r="A302" s="11">
        <f t="shared" si="4"/>
        <v>4120016</v>
      </c>
      <c r="B302" s="17">
        <v>4120016</v>
      </c>
      <c r="C302" s="17" t="s">
        <v>226</v>
      </c>
      <c r="D302" s="17">
        <v>1996.5</v>
      </c>
      <c r="E302" s="17">
        <v>5</v>
      </c>
      <c r="F302" s="7" t="str">
        <f>IF(A302=IFERROR(VLOOKUP(A302,CATALOGO!$B$2:$B$600,1,FALSE),"Falta"),"", "Falta")</f>
        <v>Falta</v>
      </c>
    </row>
    <row r="303" spans="1:6" x14ac:dyDescent="0.25">
      <c r="A303" s="11">
        <f t="shared" si="4"/>
        <v>4120024</v>
      </c>
      <c r="B303" s="17">
        <v>4120024</v>
      </c>
      <c r="C303" s="17" t="s">
        <v>1479</v>
      </c>
      <c r="D303" s="17">
        <v>2500</v>
      </c>
      <c r="E303" s="17">
        <v>27</v>
      </c>
      <c r="F303" s="7" t="str">
        <f>IF(A303=IFERROR(VLOOKUP(A303,CATALOGO!$B$2:$B$600,1,FALSE),"Falta"),"", "Falta")</f>
        <v>Falta</v>
      </c>
    </row>
    <row r="304" spans="1:6" x14ac:dyDescent="0.25">
      <c r="A304" s="11">
        <f t="shared" si="4"/>
        <v>4120025</v>
      </c>
      <c r="B304" s="17">
        <v>4120025</v>
      </c>
      <c r="C304" s="17" t="s">
        <v>1480</v>
      </c>
      <c r="D304" s="17">
        <v>2550</v>
      </c>
      <c r="E304" s="17">
        <v>39</v>
      </c>
      <c r="F304" s="7" t="str">
        <f>IF(A304=IFERROR(VLOOKUP(A304,CATALOGO!$B$2:$B$600,1,FALSE),"Falta"),"", "Falta")</f>
        <v>Falta</v>
      </c>
    </row>
    <row r="305" spans="1:6" x14ac:dyDescent="0.25">
      <c r="A305" s="11">
        <f t="shared" si="4"/>
        <v>4120042</v>
      </c>
      <c r="B305" s="17">
        <v>4120042</v>
      </c>
      <c r="C305" s="17" t="s">
        <v>235</v>
      </c>
      <c r="D305" s="17">
        <v>1936</v>
      </c>
      <c r="E305" s="17">
        <v>16</v>
      </c>
      <c r="F305" s="7" t="str">
        <f>IF(A305=IFERROR(VLOOKUP(A305,CATALOGO!$B$2:$B$600,1,FALSE),"Falta"),"", "Falta")</f>
        <v>Falta</v>
      </c>
    </row>
    <row r="306" spans="1:6" x14ac:dyDescent="0.25">
      <c r="A306" s="11">
        <f t="shared" si="4"/>
        <v>4120043</v>
      </c>
      <c r="B306" s="17">
        <v>4120043</v>
      </c>
      <c r="C306" s="17" t="s">
        <v>236</v>
      </c>
      <c r="D306" s="17">
        <v>1996.5</v>
      </c>
      <c r="E306" s="17">
        <v>4</v>
      </c>
      <c r="F306" s="7" t="str">
        <f>IF(A306=IFERROR(VLOOKUP(A306,CATALOGO!$B$2:$B$600,1,FALSE),"Falta"),"", "Falta")</f>
        <v>Falta</v>
      </c>
    </row>
    <row r="307" spans="1:6" x14ac:dyDescent="0.25">
      <c r="A307" s="11">
        <f t="shared" si="4"/>
        <v>4120058</v>
      </c>
      <c r="B307" s="17">
        <v>4120058</v>
      </c>
      <c r="C307" s="17" t="s">
        <v>259</v>
      </c>
      <c r="D307" s="17">
        <v>1999.99</v>
      </c>
      <c r="E307" s="17">
        <v>375</v>
      </c>
      <c r="F307" s="7" t="str">
        <f>IF(A307=IFERROR(VLOOKUP(A307,CATALOGO!$B$2:$B$600,1,FALSE),"Falta"),"", "Falta")</f>
        <v>Falta</v>
      </c>
    </row>
    <row r="308" spans="1:6" x14ac:dyDescent="0.25">
      <c r="A308" s="11">
        <f t="shared" si="4"/>
        <v>4120059</v>
      </c>
      <c r="B308" s="17">
        <v>4120059</v>
      </c>
      <c r="C308" s="17" t="s">
        <v>260</v>
      </c>
      <c r="D308" s="17">
        <v>2057</v>
      </c>
      <c r="E308" s="17">
        <v>27</v>
      </c>
      <c r="F308" s="7" t="str">
        <f>IF(A308=IFERROR(VLOOKUP(A308,CATALOGO!$B$2:$B$600,1,FALSE),"Falta"),"", "Falta")</f>
        <v>Falta</v>
      </c>
    </row>
    <row r="309" spans="1:6" x14ac:dyDescent="0.25">
      <c r="A309" s="11">
        <f t="shared" si="4"/>
        <v>4120060</v>
      </c>
      <c r="B309" s="17">
        <v>4120060</v>
      </c>
      <c r="C309" s="17" t="s">
        <v>261</v>
      </c>
      <c r="D309" s="17">
        <v>2117.5</v>
      </c>
      <c r="E309" s="17">
        <v>16</v>
      </c>
      <c r="F309" s="7" t="str">
        <f>IF(A309=IFERROR(VLOOKUP(A309,CATALOGO!$B$2:$B$600,1,FALSE),"Falta"),"", "Falta")</f>
        <v>Falta</v>
      </c>
    </row>
    <row r="310" spans="1:6" x14ac:dyDescent="0.25">
      <c r="A310" s="11">
        <f t="shared" si="4"/>
        <v>4120061</v>
      </c>
      <c r="B310" s="17">
        <v>4120061</v>
      </c>
      <c r="C310" s="17" t="s">
        <v>262</v>
      </c>
      <c r="D310" s="17">
        <v>2350</v>
      </c>
      <c r="E310" s="17">
        <v>1</v>
      </c>
      <c r="F310" s="7" t="str">
        <f>IF(A310=IFERROR(VLOOKUP(A310,CATALOGO!$B$2:$B$600,1,FALSE),"Falta"),"", "Falta")</f>
        <v>Falta</v>
      </c>
    </row>
    <row r="311" spans="1:6" x14ac:dyDescent="0.25">
      <c r="A311" s="11">
        <f t="shared" si="4"/>
        <v>4120062</v>
      </c>
      <c r="B311" s="17">
        <v>4120062</v>
      </c>
      <c r="C311" s="17" t="s">
        <v>1841</v>
      </c>
      <c r="D311" s="17">
        <v>1999.99</v>
      </c>
      <c r="E311" s="17">
        <v>48</v>
      </c>
      <c r="F311" s="7" t="str">
        <f>IF(A311=IFERROR(VLOOKUP(A311,CATALOGO!$B$2:$B$600,1,FALSE),"Falta"),"", "Falta")</f>
        <v>Falta</v>
      </c>
    </row>
    <row r="312" spans="1:6" x14ac:dyDescent="0.25">
      <c r="A312" s="11">
        <f t="shared" si="4"/>
        <v>4120063</v>
      </c>
      <c r="B312" s="17">
        <v>4120063</v>
      </c>
      <c r="C312" s="17" t="s">
        <v>1846</v>
      </c>
      <c r="D312" s="17">
        <v>2057</v>
      </c>
      <c r="E312" s="17">
        <v>27</v>
      </c>
      <c r="F312" s="7" t="str">
        <f>IF(A312=IFERROR(VLOOKUP(A312,CATALOGO!$B$2:$B$600,1,FALSE),"Falta"),"", "Falta")</f>
        <v>Falta</v>
      </c>
    </row>
    <row r="313" spans="1:6" x14ac:dyDescent="0.25">
      <c r="A313" s="11">
        <f t="shared" si="4"/>
        <v>4120064</v>
      </c>
      <c r="B313" s="17">
        <v>4120064</v>
      </c>
      <c r="C313" s="17" t="s">
        <v>1847</v>
      </c>
      <c r="D313" s="17">
        <v>2117</v>
      </c>
      <c r="E313" s="17">
        <v>15</v>
      </c>
      <c r="F313" s="7" t="str">
        <f>IF(A313=IFERROR(VLOOKUP(A313,CATALOGO!$B$2:$B$600,1,FALSE),"Falta"),"", "Falta")</f>
        <v>Falta</v>
      </c>
    </row>
    <row r="314" spans="1:6" x14ac:dyDescent="0.25">
      <c r="A314" s="11">
        <f t="shared" si="4"/>
        <v>4120100</v>
      </c>
      <c r="B314" s="17">
        <v>4120100</v>
      </c>
      <c r="C314" s="17" t="s">
        <v>247</v>
      </c>
      <c r="D314" s="17">
        <v>1870</v>
      </c>
      <c r="E314" s="17">
        <v>44</v>
      </c>
      <c r="F314" s="7" t="str">
        <f>IF(A314=IFERROR(VLOOKUP(A314,CATALOGO!$B$2:$B$600,1,FALSE),"Falta"),"", "Falta")</f>
        <v>Falta</v>
      </c>
    </row>
    <row r="315" spans="1:6" x14ac:dyDescent="0.25">
      <c r="A315" s="11">
        <f t="shared" si="4"/>
        <v>4120101</v>
      </c>
      <c r="B315" s="17">
        <v>4120101</v>
      </c>
      <c r="C315" s="17" t="s">
        <v>248</v>
      </c>
      <c r="D315" s="17">
        <v>1925</v>
      </c>
      <c r="E315" s="17">
        <v>26</v>
      </c>
      <c r="F315" s="7" t="str">
        <f>IF(A315=IFERROR(VLOOKUP(A315,CATALOGO!$B$2:$B$600,1,FALSE),"Falta"),"", "Falta")</f>
        <v>Falta</v>
      </c>
    </row>
    <row r="316" spans="1:6" x14ac:dyDescent="0.25">
      <c r="A316" s="11">
        <f t="shared" si="4"/>
        <v>4120103</v>
      </c>
      <c r="B316" s="17">
        <v>4120103</v>
      </c>
      <c r="C316" s="17" t="s">
        <v>249</v>
      </c>
      <c r="D316" s="17">
        <v>1980</v>
      </c>
      <c r="E316" s="17">
        <v>18</v>
      </c>
      <c r="F316" s="7" t="str">
        <f>IF(A316=IFERROR(VLOOKUP(A316,CATALOGO!$B$2:$B$600,1,FALSE),"Falta"),"", "Falta")</f>
        <v>Falta</v>
      </c>
    </row>
    <row r="317" spans="1:6" x14ac:dyDescent="0.25">
      <c r="A317" s="11">
        <f t="shared" si="4"/>
        <v>4120104</v>
      </c>
      <c r="B317" s="17">
        <v>4120104</v>
      </c>
      <c r="C317" s="17" t="s">
        <v>250</v>
      </c>
      <c r="D317" s="17">
        <v>2200</v>
      </c>
      <c r="E317" s="17">
        <v>4</v>
      </c>
      <c r="F317" s="7" t="str">
        <f>IF(A317=IFERROR(VLOOKUP(A317,CATALOGO!$B$2:$B$600,1,FALSE),"Falta"),"", "Falta")</f>
        <v>Falta</v>
      </c>
    </row>
    <row r="318" spans="1:6" x14ac:dyDescent="0.25">
      <c r="A318" s="11">
        <f t="shared" si="4"/>
        <v>4120110</v>
      </c>
      <c r="B318" s="17">
        <v>4120110</v>
      </c>
      <c r="C318" s="17" t="s">
        <v>205</v>
      </c>
      <c r="D318" s="17">
        <v>1760</v>
      </c>
      <c r="E318" s="17">
        <v>219</v>
      </c>
      <c r="F318" s="7" t="str">
        <f>IF(A318=IFERROR(VLOOKUP(A318,CATALOGO!$B$2:$B$600,1,FALSE),"Falta"),"", "Falta")</f>
        <v>Falta</v>
      </c>
    </row>
    <row r="319" spans="1:6" x14ac:dyDescent="0.25">
      <c r="A319" s="11">
        <f t="shared" si="4"/>
        <v>4120111</v>
      </c>
      <c r="B319" s="17">
        <v>4120111</v>
      </c>
      <c r="C319" s="17" t="s">
        <v>274</v>
      </c>
      <c r="D319" s="17">
        <v>2117.5</v>
      </c>
      <c r="E319" s="17">
        <v>6</v>
      </c>
      <c r="F319" s="7" t="str">
        <f>IF(A319=IFERROR(VLOOKUP(A319,CATALOGO!$B$2:$B$600,1,FALSE),"Falta"),"", "Falta")</f>
        <v>Falta</v>
      </c>
    </row>
    <row r="320" spans="1:6" x14ac:dyDescent="0.25">
      <c r="A320" s="11">
        <f t="shared" si="4"/>
        <v>4120115</v>
      </c>
      <c r="B320" s="17">
        <v>4120115</v>
      </c>
      <c r="C320" s="17" t="s">
        <v>206</v>
      </c>
      <c r="D320" s="17">
        <v>1815</v>
      </c>
      <c r="E320" s="17">
        <v>46</v>
      </c>
      <c r="F320" s="7" t="str">
        <f>IF(A320=IFERROR(VLOOKUP(A320,CATALOGO!$B$2:$B$600,1,FALSE),"Falta"),"", "Falta")</f>
        <v>Falta</v>
      </c>
    </row>
    <row r="321" spans="1:6" x14ac:dyDescent="0.25">
      <c r="A321" s="11">
        <f t="shared" si="4"/>
        <v>4120130</v>
      </c>
      <c r="B321" s="17">
        <v>4120130</v>
      </c>
      <c r="C321" s="17" t="s">
        <v>278</v>
      </c>
      <c r="D321" s="17">
        <v>2057</v>
      </c>
      <c r="E321" s="17">
        <v>16</v>
      </c>
      <c r="F321" s="7" t="str">
        <f>IF(A321=IFERROR(VLOOKUP(A321,CATALOGO!$B$2:$B$600,1,FALSE),"Falta"),"", "Falta")</f>
        <v>Falta</v>
      </c>
    </row>
    <row r="322" spans="1:6" x14ac:dyDescent="0.25">
      <c r="A322" s="11">
        <f t="shared" si="4"/>
        <v>4120131</v>
      </c>
      <c r="B322" s="17">
        <v>4120131</v>
      </c>
      <c r="C322" s="17" t="s">
        <v>279</v>
      </c>
      <c r="D322" s="17">
        <v>2117.5</v>
      </c>
      <c r="E322" s="17">
        <v>10</v>
      </c>
      <c r="F322" s="7" t="str">
        <f>IF(A322=IFERROR(VLOOKUP(A322,CATALOGO!$B$2:$B$600,1,FALSE),"Falta"),"", "Falta")</f>
        <v>Falta</v>
      </c>
    </row>
    <row r="323" spans="1:6" x14ac:dyDescent="0.25">
      <c r="A323" s="11">
        <f t="shared" si="4"/>
        <v>4120200</v>
      </c>
      <c r="B323" s="17">
        <v>4120200</v>
      </c>
      <c r="C323" s="17" t="s">
        <v>220</v>
      </c>
      <c r="D323" s="17">
        <v>1936</v>
      </c>
      <c r="E323" s="17">
        <v>1</v>
      </c>
      <c r="F323" s="7" t="str">
        <f>IF(A323=IFERROR(VLOOKUP(A323,CATALOGO!$B$2:$B$600,1,FALSE),"Falta"),"", "Falta")</f>
        <v>Falta</v>
      </c>
    </row>
    <row r="324" spans="1:6" x14ac:dyDescent="0.25">
      <c r="A324" s="11">
        <f t="shared" si="4"/>
        <v>4120220</v>
      </c>
      <c r="B324" s="17">
        <v>4120220</v>
      </c>
      <c r="C324" s="17" t="s">
        <v>207</v>
      </c>
      <c r="D324" s="17">
        <v>1870</v>
      </c>
      <c r="E324" s="17">
        <v>19</v>
      </c>
      <c r="F324" s="7" t="str">
        <f>IF(A324=IFERROR(VLOOKUP(A324,CATALOGO!$B$2:$B$600,1,FALSE),"Falta"),"", "Falta")</f>
        <v>Falta</v>
      </c>
    </row>
    <row r="325" spans="1:6" x14ac:dyDescent="0.25">
      <c r="A325" s="11">
        <f t="shared" si="4"/>
        <v>4120221</v>
      </c>
      <c r="B325" s="17">
        <v>4120221</v>
      </c>
      <c r="C325" s="17" t="s">
        <v>208</v>
      </c>
      <c r="D325" s="17">
        <v>1980</v>
      </c>
      <c r="E325" s="17">
        <v>2</v>
      </c>
      <c r="F325" s="7" t="str">
        <f>IF(A325=IFERROR(VLOOKUP(A325,CATALOGO!$B$2:$B$600,1,FALSE),"Falta"),"", "Falta")</f>
        <v>Falta</v>
      </c>
    </row>
    <row r="326" spans="1:6" x14ac:dyDescent="0.25">
      <c r="A326" s="11">
        <f t="shared" ref="A326:A389" si="5">IFERROR(B326*1,"")</f>
        <v>4120232</v>
      </c>
      <c r="B326" s="17">
        <v>4120232</v>
      </c>
      <c r="C326" s="17" t="s">
        <v>1482</v>
      </c>
      <c r="D326" s="17">
        <v>2350</v>
      </c>
      <c r="E326" s="17">
        <v>10</v>
      </c>
      <c r="F326" s="7" t="str">
        <f>IF(A326=IFERROR(VLOOKUP(A326,CATALOGO!$B$2:$B$600,1,FALSE),"Falta"),"", "Falta")</f>
        <v>Falta</v>
      </c>
    </row>
    <row r="327" spans="1:6" x14ac:dyDescent="0.25">
      <c r="A327" s="11">
        <f t="shared" si="5"/>
        <v>4120236</v>
      </c>
      <c r="B327" s="17">
        <v>4120236</v>
      </c>
      <c r="C327" s="17" t="s">
        <v>251</v>
      </c>
      <c r="D327" s="17">
        <v>1999.99</v>
      </c>
      <c r="E327" s="17">
        <v>25</v>
      </c>
      <c r="F327" s="7" t="str">
        <f>IF(A327=IFERROR(VLOOKUP(A327,CATALOGO!$B$2:$B$600,1,FALSE),"Falta"),"", "Falta")</f>
        <v>Falta</v>
      </c>
    </row>
    <row r="328" spans="1:6" x14ac:dyDescent="0.25">
      <c r="A328" s="11">
        <f t="shared" si="5"/>
        <v>4120237</v>
      </c>
      <c r="B328" s="17">
        <v>4120237</v>
      </c>
      <c r="C328" s="17" t="s">
        <v>252</v>
      </c>
      <c r="D328" s="17">
        <v>2057</v>
      </c>
      <c r="E328" s="17">
        <v>17</v>
      </c>
      <c r="F328" s="7" t="str">
        <f>IF(A328=IFERROR(VLOOKUP(A328,CATALOGO!$B$2:$B$600,1,FALSE),"Falta"),"", "Falta")</f>
        <v>Falta</v>
      </c>
    </row>
    <row r="329" spans="1:6" x14ac:dyDescent="0.25">
      <c r="A329" s="11">
        <f t="shared" si="5"/>
        <v>4120238</v>
      </c>
      <c r="B329" s="17">
        <v>4120238</v>
      </c>
      <c r="C329" s="17" t="s">
        <v>1483</v>
      </c>
      <c r="D329" s="17">
        <v>2177.9899999999998</v>
      </c>
      <c r="E329" s="17">
        <v>10</v>
      </c>
      <c r="F329" s="7" t="str">
        <f>IF(A329=IFERROR(VLOOKUP(A329,CATALOGO!$B$2:$B$600,1,FALSE),"Falta"),"", "Falta")</f>
        <v>Falta</v>
      </c>
    </row>
    <row r="330" spans="1:6" x14ac:dyDescent="0.25">
      <c r="A330" s="11">
        <f t="shared" si="5"/>
        <v>4120239</v>
      </c>
      <c r="B330" s="17">
        <v>4120239</v>
      </c>
      <c r="C330" s="17" t="s">
        <v>216</v>
      </c>
      <c r="D330" s="17">
        <v>2057</v>
      </c>
      <c r="E330" s="17">
        <v>83</v>
      </c>
      <c r="F330" s="7" t="str">
        <f>IF(A330=IFERROR(VLOOKUP(A330,CATALOGO!$B$2:$B$600,1,FALSE),"Falta"),"", "Falta")</f>
        <v>Falta</v>
      </c>
    </row>
    <row r="331" spans="1:6" x14ac:dyDescent="0.25">
      <c r="A331" s="11">
        <f t="shared" si="5"/>
        <v>4120240</v>
      </c>
      <c r="B331" s="17">
        <v>4120240</v>
      </c>
      <c r="C331" s="17" t="s">
        <v>217</v>
      </c>
      <c r="D331" s="17">
        <v>2117.5</v>
      </c>
      <c r="E331" s="17">
        <v>12</v>
      </c>
      <c r="F331" s="7" t="str">
        <f>IF(A331=IFERROR(VLOOKUP(A331,CATALOGO!$B$2:$B$600,1,FALSE),"Falta"),"", "Falta")</f>
        <v>Falta</v>
      </c>
    </row>
    <row r="332" spans="1:6" x14ac:dyDescent="0.25">
      <c r="A332" s="11">
        <f t="shared" si="5"/>
        <v>4120241</v>
      </c>
      <c r="B332" s="17">
        <v>4120241</v>
      </c>
      <c r="C332" s="17" t="s">
        <v>1439</v>
      </c>
      <c r="D332" s="17">
        <v>2178</v>
      </c>
      <c r="E332" s="17">
        <v>12</v>
      </c>
      <c r="F332" s="7" t="str">
        <f>IF(A332=IFERROR(VLOOKUP(A332,CATALOGO!$B$2:$B$600,1,FALSE),"Falta"),"", "Falta")</f>
        <v>Falta</v>
      </c>
    </row>
    <row r="333" spans="1:6" x14ac:dyDescent="0.25">
      <c r="A333" s="11">
        <f t="shared" si="5"/>
        <v>4120245</v>
      </c>
      <c r="B333" s="17">
        <v>4120245</v>
      </c>
      <c r="C333" s="17" t="s">
        <v>213</v>
      </c>
      <c r="D333" s="17">
        <v>1810.15</v>
      </c>
      <c r="E333" s="17">
        <v>39</v>
      </c>
      <c r="F333" s="7" t="str">
        <f>IF(A333=IFERROR(VLOOKUP(A333,CATALOGO!$B$2:$B$600,1,FALSE),"Falta"),"", "Falta")</f>
        <v>Falta</v>
      </c>
    </row>
    <row r="334" spans="1:6" x14ac:dyDescent="0.25">
      <c r="A334" s="11">
        <f t="shared" si="5"/>
        <v>4120334</v>
      </c>
      <c r="B334" s="17">
        <v>4120334</v>
      </c>
      <c r="C334" s="17" t="s">
        <v>198</v>
      </c>
      <c r="D334" s="17">
        <v>1996.49</v>
      </c>
      <c r="E334" s="17">
        <v>15</v>
      </c>
      <c r="F334" s="7" t="str">
        <f>IF(A334=IFERROR(VLOOKUP(A334,CATALOGO!$B$2:$B$600,1,FALSE),"Falta"),"", "Falta")</f>
        <v>Falta</v>
      </c>
    </row>
    <row r="335" spans="1:6" x14ac:dyDescent="0.25">
      <c r="A335" s="11">
        <f t="shared" si="5"/>
        <v>4120350</v>
      </c>
      <c r="B335" s="17">
        <v>4120350</v>
      </c>
      <c r="C335" s="17" t="s">
        <v>1484</v>
      </c>
      <c r="D335" s="17">
        <v>1996.49</v>
      </c>
      <c r="E335" s="17">
        <v>1</v>
      </c>
      <c r="F335" s="7" t="str">
        <f>IF(A335=IFERROR(VLOOKUP(A335,CATALOGO!$B$2:$B$600,1,FALSE),"Falta"),"", "Falta")</f>
        <v>Falta</v>
      </c>
    </row>
    <row r="336" spans="1:6" x14ac:dyDescent="0.25">
      <c r="A336" s="11">
        <f t="shared" si="5"/>
        <v>4120400</v>
      </c>
      <c r="B336" s="17">
        <v>4120400</v>
      </c>
      <c r="C336" s="17" t="s">
        <v>204</v>
      </c>
      <c r="D336" s="17">
        <v>1760</v>
      </c>
      <c r="E336" s="17">
        <v>3</v>
      </c>
      <c r="F336" s="7" t="str">
        <f>IF(A336=IFERROR(VLOOKUP(A336,CATALOGO!$B$2:$B$600,1,FALSE),"Falta"),"", "Falta")</f>
        <v>Falta</v>
      </c>
    </row>
    <row r="337" spans="1:6" x14ac:dyDescent="0.25">
      <c r="A337" s="11">
        <f t="shared" si="5"/>
        <v>4120460</v>
      </c>
      <c r="B337" s="17">
        <v>4120460</v>
      </c>
      <c r="C337" s="17" t="s">
        <v>286</v>
      </c>
      <c r="D337" s="17">
        <v>1996.49</v>
      </c>
      <c r="E337" s="17">
        <v>3</v>
      </c>
      <c r="F337" s="7" t="str">
        <f>IF(A337=IFERROR(VLOOKUP(A337,CATALOGO!$B$2:$B$600,1,FALSE),"Falta"),"", "Falta")</f>
        <v>Falta</v>
      </c>
    </row>
    <row r="338" spans="1:6" x14ac:dyDescent="0.25">
      <c r="A338" s="11">
        <f t="shared" si="5"/>
        <v>4120461</v>
      </c>
      <c r="B338" s="17">
        <v>4120461</v>
      </c>
      <c r="C338" s="17" t="s">
        <v>1486</v>
      </c>
      <c r="D338" s="17">
        <v>2056.9899999999998</v>
      </c>
      <c r="E338" s="17">
        <v>1</v>
      </c>
      <c r="F338" s="7" t="str">
        <f>IF(A338=IFERROR(VLOOKUP(A338,CATALOGO!$B$2:$B$600,1,FALSE),"Falta"),"", "Falta")</f>
        <v>Falta</v>
      </c>
    </row>
    <row r="339" spans="1:6" x14ac:dyDescent="0.25">
      <c r="A339" s="11">
        <f t="shared" si="5"/>
        <v>4120544</v>
      </c>
      <c r="B339" s="17">
        <v>4120544</v>
      </c>
      <c r="C339" s="17" t="s">
        <v>222</v>
      </c>
      <c r="D339" s="17">
        <v>1996.49</v>
      </c>
      <c r="E339" s="17">
        <v>78</v>
      </c>
      <c r="F339" s="7" t="str">
        <f>IF(A339=IFERROR(VLOOKUP(A339,CATALOGO!$B$2:$B$600,1,FALSE),"Falta"),"", "Falta")</f>
        <v>Falta</v>
      </c>
    </row>
    <row r="340" spans="1:6" x14ac:dyDescent="0.25">
      <c r="A340" s="11">
        <f t="shared" si="5"/>
        <v>4120567</v>
      </c>
      <c r="B340" s="17">
        <v>4120567</v>
      </c>
      <c r="C340" s="17" t="s">
        <v>229</v>
      </c>
      <c r="D340" s="17">
        <v>1935.99</v>
      </c>
      <c r="E340" s="17">
        <v>29</v>
      </c>
      <c r="F340" s="7" t="str">
        <f>IF(A340=IFERROR(VLOOKUP(A340,CATALOGO!$B$2:$B$600,1,FALSE),"Falta"),"", "Falta")</f>
        <v>Falta</v>
      </c>
    </row>
    <row r="341" spans="1:6" x14ac:dyDescent="0.25">
      <c r="A341" s="11">
        <f t="shared" si="5"/>
        <v>4120568</v>
      </c>
      <c r="B341" s="17">
        <v>4120568</v>
      </c>
      <c r="C341" s="17" t="s">
        <v>230</v>
      </c>
      <c r="D341" s="17">
        <v>1996.49</v>
      </c>
      <c r="E341" s="17">
        <v>40</v>
      </c>
      <c r="F341" s="7" t="str">
        <f>IF(A341=IFERROR(VLOOKUP(A341,CATALOGO!$B$2:$B$600,1,FALSE),"Falta"),"", "Falta")</f>
        <v>Falta</v>
      </c>
    </row>
    <row r="342" spans="1:6" x14ac:dyDescent="0.25">
      <c r="A342" s="11">
        <f t="shared" si="5"/>
        <v>4120600</v>
      </c>
      <c r="B342" s="17">
        <v>4120600</v>
      </c>
      <c r="C342" s="17" t="s">
        <v>194</v>
      </c>
      <c r="D342" s="17">
        <v>1935.99</v>
      </c>
      <c r="E342" s="17">
        <v>17</v>
      </c>
      <c r="F342" s="7" t="str">
        <f>IF(A342=IFERROR(VLOOKUP(A342,CATALOGO!$B$2:$B$600,1,FALSE),"Falta"),"", "Falta")</f>
        <v>Falta</v>
      </c>
    </row>
    <row r="343" spans="1:6" x14ac:dyDescent="0.25">
      <c r="A343" s="11">
        <f t="shared" si="5"/>
        <v>4120601</v>
      </c>
      <c r="B343" s="17">
        <v>4120601</v>
      </c>
      <c r="C343" s="17" t="s">
        <v>195</v>
      </c>
      <c r="D343" s="17">
        <v>1996.49</v>
      </c>
      <c r="E343" s="17">
        <v>7</v>
      </c>
      <c r="F343" s="7" t="str">
        <f>IF(A343=IFERROR(VLOOKUP(A343,CATALOGO!$B$2:$B$600,1,FALSE),"Falta"),"", "Falta")</f>
        <v>Falta</v>
      </c>
    </row>
    <row r="344" spans="1:6" x14ac:dyDescent="0.25">
      <c r="A344" s="11">
        <f t="shared" si="5"/>
        <v>4120602</v>
      </c>
      <c r="B344" s="17">
        <v>4120602</v>
      </c>
      <c r="C344" s="17" t="s">
        <v>196</v>
      </c>
      <c r="D344" s="17">
        <v>2056.9899999999998</v>
      </c>
      <c r="E344" s="17">
        <v>4</v>
      </c>
      <c r="F344" s="7" t="str">
        <f>IF(A344=IFERROR(VLOOKUP(A344,CATALOGO!$B$2:$B$600,1,FALSE),"Falta"),"", "Falta")</f>
        <v>Falta</v>
      </c>
    </row>
    <row r="345" spans="1:6" x14ac:dyDescent="0.25">
      <c r="A345" s="11">
        <f t="shared" si="5"/>
        <v>4120625</v>
      </c>
      <c r="B345" s="17">
        <v>4120625</v>
      </c>
      <c r="C345" s="17" t="s">
        <v>243</v>
      </c>
      <c r="D345" s="17">
        <v>1996.49</v>
      </c>
      <c r="E345" s="17">
        <v>20</v>
      </c>
      <c r="F345" s="7" t="str">
        <f>IF(A345=IFERROR(VLOOKUP(A345,CATALOGO!$B$2:$B$600,1,FALSE),"Falta"),"", "Falta")</f>
        <v>Falta</v>
      </c>
    </row>
    <row r="346" spans="1:6" x14ac:dyDescent="0.25">
      <c r="A346" s="11">
        <f t="shared" si="5"/>
        <v>4120672</v>
      </c>
      <c r="B346" s="17">
        <v>4120672</v>
      </c>
      <c r="C346" s="17" t="s">
        <v>228</v>
      </c>
      <c r="D346" s="17">
        <v>2056.9899999999998</v>
      </c>
      <c r="E346" s="17">
        <v>2</v>
      </c>
      <c r="F346" s="7" t="str">
        <f>IF(A346=IFERROR(VLOOKUP(A346,CATALOGO!$B$2:$B$600,1,FALSE),"Falta"),"", "Falta")</f>
        <v>Falta</v>
      </c>
    </row>
    <row r="347" spans="1:6" x14ac:dyDescent="0.25">
      <c r="A347" s="11">
        <f t="shared" si="5"/>
        <v>4120700</v>
      </c>
      <c r="B347" s="17">
        <v>4120700</v>
      </c>
      <c r="C347" s="17" t="s">
        <v>239</v>
      </c>
      <c r="D347" s="17">
        <v>1935.99</v>
      </c>
      <c r="E347" s="17">
        <v>13</v>
      </c>
      <c r="F347" s="7" t="str">
        <f>IF(A347=IFERROR(VLOOKUP(A347,CATALOGO!$B$2:$B$600,1,FALSE),"Falta"),"", "Falta")</f>
        <v>Falta</v>
      </c>
    </row>
    <row r="348" spans="1:6" x14ac:dyDescent="0.25">
      <c r="A348" s="11">
        <f t="shared" si="5"/>
        <v>4120750</v>
      </c>
      <c r="B348" s="17">
        <v>4120750</v>
      </c>
      <c r="C348" s="17" t="s">
        <v>1943</v>
      </c>
      <c r="D348" s="17">
        <v>0</v>
      </c>
      <c r="E348" s="17">
        <v>3</v>
      </c>
      <c r="F348" s="7" t="str">
        <f>IF(A348=IFERROR(VLOOKUP(A348,CATALOGO!$B$2:$B$600,1,FALSE),"Falta"),"", "Falta")</f>
        <v>Falta</v>
      </c>
    </row>
    <row r="349" spans="1:6" x14ac:dyDescent="0.25">
      <c r="A349" s="11">
        <f t="shared" si="5"/>
        <v>4120751</v>
      </c>
      <c r="B349" s="17">
        <v>4120751</v>
      </c>
      <c r="C349" s="17" t="s">
        <v>1944</v>
      </c>
      <c r="D349" s="17">
        <v>0</v>
      </c>
      <c r="E349" s="17">
        <v>1</v>
      </c>
      <c r="F349" s="7" t="str">
        <f>IF(A349=IFERROR(VLOOKUP(A349,CATALOGO!$B$2:$B$600,1,FALSE),"Falta"),"", "Falta")</f>
        <v>Falta</v>
      </c>
    </row>
    <row r="350" spans="1:6" x14ac:dyDescent="0.25">
      <c r="A350" s="11">
        <f t="shared" si="5"/>
        <v>4120753</v>
      </c>
      <c r="B350" s="17">
        <v>4120753</v>
      </c>
      <c r="C350" s="17" t="s">
        <v>256</v>
      </c>
      <c r="D350" s="17">
        <v>2177.9899999999998</v>
      </c>
      <c r="E350" s="17">
        <v>14</v>
      </c>
      <c r="F350" s="7" t="str">
        <f>IF(A350=IFERROR(VLOOKUP(A350,CATALOGO!$B$2:$B$600,1,FALSE),"Falta"),"", "Falta")</f>
        <v>Falta</v>
      </c>
    </row>
    <row r="351" spans="1:6" x14ac:dyDescent="0.25">
      <c r="A351" s="11">
        <f t="shared" si="5"/>
        <v>4120754</v>
      </c>
      <c r="B351" s="17">
        <v>4120754</v>
      </c>
      <c r="C351" s="17" t="s">
        <v>257</v>
      </c>
      <c r="D351" s="17">
        <v>2350</v>
      </c>
      <c r="E351" s="17">
        <v>2</v>
      </c>
      <c r="F351" s="7" t="str">
        <f>IF(A351=IFERROR(VLOOKUP(A351,CATALOGO!$B$2:$B$600,1,FALSE),"Falta"),"", "Falta")</f>
        <v>Falta</v>
      </c>
    </row>
    <row r="352" spans="1:6" x14ac:dyDescent="0.25">
      <c r="A352" s="11">
        <f t="shared" si="5"/>
        <v>4120778</v>
      </c>
      <c r="B352" s="17">
        <v>4120778</v>
      </c>
      <c r="C352" s="17" t="s">
        <v>223</v>
      </c>
      <c r="D352" s="17">
        <v>2056.9899999999998</v>
      </c>
      <c r="E352" s="17">
        <v>7</v>
      </c>
      <c r="F352" s="7" t="str">
        <f>IF(A352=IFERROR(VLOOKUP(A352,CATALOGO!$B$2:$B$600,1,FALSE),"Falta"),"", "Falta")</f>
        <v>Falta</v>
      </c>
    </row>
    <row r="353" spans="1:6" x14ac:dyDescent="0.25">
      <c r="A353" s="11">
        <f t="shared" si="5"/>
        <v>4120800</v>
      </c>
      <c r="B353" s="17">
        <v>4120800</v>
      </c>
      <c r="C353" s="17" t="s">
        <v>221</v>
      </c>
      <c r="D353" s="17">
        <v>1935.99</v>
      </c>
      <c r="E353" s="17">
        <v>353</v>
      </c>
      <c r="F353" s="7" t="str">
        <f>IF(A353=IFERROR(VLOOKUP(A353,CATALOGO!$B$2:$B$600,1,FALSE),"Falta"),"", "Falta")</f>
        <v>Falta</v>
      </c>
    </row>
    <row r="354" spans="1:6" x14ac:dyDescent="0.25">
      <c r="A354" s="11">
        <f t="shared" si="5"/>
        <v>4120850</v>
      </c>
      <c r="B354" s="17">
        <v>4120850</v>
      </c>
      <c r="C354" s="17" t="s">
        <v>254</v>
      </c>
      <c r="D354" s="17">
        <v>1999.99</v>
      </c>
      <c r="E354" s="17">
        <v>134</v>
      </c>
      <c r="F354" s="7" t="str">
        <f>IF(A354=IFERROR(VLOOKUP(A354,CATALOGO!$B$2:$B$600,1,FALSE),"Falta"),"", "Falta")</f>
        <v>Falta</v>
      </c>
    </row>
    <row r="355" spans="1:6" x14ac:dyDescent="0.25">
      <c r="A355" s="11">
        <f t="shared" si="5"/>
        <v>4120852</v>
      </c>
      <c r="B355" s="17">
        <v>4120852</v>
      </c>
      <c r="C355" s="17" t="s">
        <v>255</v>
      </c>
      <c r="D355" s="17">
        <v>2056</v>
      </c>
      <c r="E355" s="17">
        <v>27</v>
      </c>
      <c r="F355" s="7" t="str">
        <f>IF(A355=IFERROR(VLOOKUP(A355,CATALOGO!$B$2:$B$600,1,FALSE),"Falta"),"", "Falta")</f>
        <v>Falta</v>
      </c>
    </row>
    <row r="356" spans="1:6" x14ac:dyDescent="0.25">
      <c r="A356" s="11">
        <f t="shared" si="5"/>
        <v>4120853</v>
      </c>
      <c r="B356" s="17">
        <v>4120853</v>
      </c>
      <c r="C356" s="17" t="s">
        <v>1488</v>
      </c>
      <c r="D356" s="17">
        <v>1999.99</v>
      </c>
      <c r="E356" s="17">
        <v>145</v>
      </c>
      <c r="F356" s="7" t="str">
        <f>IF(A356=IFERROR(VLOOKUP(A356,CATALOGO!$B$2:$B$600,1,FALSE),"Falta"),"", "Falta")</f>
        <v>Falta</v>
      </c>
    </row>
    <row r="357" spans="1:6" x14ac:dyDescent="0.25">
      <c r="A357" s="11">
        <f t="shared" si="5"/>
        <v>4120854</v>
      </c>
      <c r="B357" s="17">
        <v>4120854</v>
      </c>
      <c r="C357" s="17" t="s">
        <v>197</v>
      </c>
      <c r="D357" s="17">
        <v>1935.99</v>
      </c>
      <c r="E357" s="17">
        <v>119</v>
      </c>
      <c r="F357" s="7" t="str">
        <f>IF(A357=IFERROR(VLOOKUP(A357,CATALOGO!$B$2:$B$600,1,FALSE),"Falta"),"", "Falta")</f>
        <v>Falta</v>
      </c>
    </row>
    <row r="358" spans="1:6" x14ac:dyDescent="0.25">
      <c r="A358" s="11">
        <f t="shared" si="5"/>
        <v>4120855</v>
      </c>
      <c r="B358" s="17">
        <v>4120855</v>
      </c>
      <c r="C358" s="17" t="s">
        <v>1489</v>
      </c>
      <c r="D358" s="17">
        <v>2056.9899999999998</v>
      </c>
      <c r="E358" s="17">
        <v>41</v>
      </c>
      <c r="F358" s="7" t="str">
        <f>IF(A358=IFERROR(VLOOKUP(A358,CATALOGO!$B$2:$B$600,1,FALSE),"Falta"),"", "Falta")</f>
        <v>Falta</v>
      </c>
    </row>
    <row r="359" spans="1:6" x14ac:dyDescent="0.25">
      <c r="A359" s="11">
        <f t="shared" si="5"/>
        <v>4120857</v>
      </c>
      <c r="B359" s="17">
        <v>4120857</v>
      </c>
      <c r="C359" s="17" t="s">
        <v>244</v>
      </c>
      <c r="D359" s="17">
        <v>2117.4899999999998</v>
      </c>
      <c r="E359" s="17">
        <v>25</v>
      </c>
      <c r="F359" s="7" t="str">
        <f>IF(A359=IFERROR(VLOOKUP(A359,CATALOGO!$B$2:$B$600,1,FALSE),"Falta"),"", "Falta")</f>
        <v>Falta</v>
      </c>
    </row>
    <row r="360" spans="1:6" x14ac:dyDescent="0.25">
      <c r="A360" s="11">
        <f t="shared" si="5"/>
        <v>4120860</v>
      </c>
      <c r="B360" s="17">
        <v>4120860</v>
      </c>
      <c r="C360" s="17" t="s">
        <v>209</v>
      </c>
      <c r="D360" s="17">
        <v>1935.99</v>
      </c>
      <c r="E360" s="17">
        <v>7</v>
      </c>
      <c r="F360" s="7" t="str">
        <f>IF(A360=IFERROR(VLOOKUP(A360,CATALOGO!$B$2:$B$600,1,FALSE),"Falta"),"", "Falta")</f>
        <v>Falta</v>
      </c>
    </row>
    <row r="361" spans="1:6" x14ac:dyDescent="0.25">
      <c r="A361" s="11">
        <f t="shared" si="5"/>
        <v>4120870</v>
      </c>
      <c r="B361" s="17">
        <v>4120870</v>
      </c>
      <c r="C361" s="17" t="s">
        <v>210</v>
      </c>
      <c r="D361" s="17">
        <v>1996.49</v>
      </c>
      <c r="E361" s="17">
        <v>16</v>
      </c>
      <c r="F361" s="7" t="str">
        <f>IF(A361=IFERROR(VLOOKUP(A361,CATALOGO!$B$2:$B$600,1,FALSE),"Falta"),"", "Falta")</f>
        <v>Falta</v>
      </c>
    </row>
    <row r="362" spans="1:6" x14ac:dyDescent="0.25">
      <c r="A362" s="11">
        <f t="shared" si="5"/>
        <v>4120880</v>
      </c>
      <c r="B362" s="17">
        <v>4120880</v>
      </c>
      <c r="C362" s="17" t="s">
        <v>211</v>
      </c>
      <c r="D362" s="17">
        <v>2056.9899999999998</v>
      </c>
      <c r="E362" s="17">
        <v>1</v>
      </c>
      <c r="F362" s="7" t="str">
        <f>IF(A362=IFERROR(VLOOKUP(A362,CATALOGO!$B$2:$B$600,1,FALSE),"Falta"),"", "Falta")</f>
        <v>Falta</v>
      </c>
    </row>
    <row r="363" spans="1:6" x14ac:dyDescent="0.25">
      <c r="A363" s="11">
        <f t="shared" si="5"/>
        <v>4120900</v>
      </c>
      <c r="B363" s="17">
        <v>4120900</v>
      </c>
      <c r="C363" s="17" t="s">
        <v>266</v>
      </c>
      <c r="D363" s="17">
        <v>1999.99</v>
      </c>
      <c r="E363" s="17">
        <v>34</v>
      </c>
      <c r="F363" s="7" t="str">
        <f>IF(A363=IFERROR(VLOOKUP(A363,CATALOGO!$B$2:$B$600,1,FALSE),"Falta"),"", "Falta")</f>
        <v>Falta</v>
      </c>
    </row>
    <row r="364" spans="1:6" x14ac:dyDescent="0.25">
      <c r="A364" s="11">
        <f t="shared" si="5"/>
        <v>4120901</v>
      </c>
      <c r="B364" s="17">
        <v>4120901</v>
      </c>
      <c r="C364" s="17" t="s">
        <v>267</v>
      </c>
      <c r="D364" s="17">
        <v>2056.9899999999998</v>
      </c>
      <c r="E364" s="17">
        <v>11</v>
      </c>
      <c r="F364" s="7" t="str">
        <f>IF(A364=IFERROR(VLOOKUP(A364,CATALOGO!$B$2:$B$600,1,FALSE),"Falta"),"", "Falta")</f>
        <v>Falta</v>
      </c>
    </row>
    <row r="365" spans="1:6" x14ac:dyDescent="0.25">
      <c r="A365" s="11">
        <f t="shared" si="5"/>
        <v>4120903</v>
      </c>
      <c r="B365" s="17">
        <v>4120903</v>
      </c>
      <c r="C365" s="17" t="s">
        <v>1490</v>
      </c>
      <c r="D365" s="17">
        <v>2350</v>
      </c>
      <c r="E365" s="17">
        <v>3</v>
      </c>
      <c r="F365" s="7" t="str">
        <f>IF(A365=IFERROR(VLOOKUP(A365,CATALOGO!$B$2:$B$600,1,FALSE),"Falta"),"", "Falta")</f>
        <v>Falta</v>
      </c>
    </row>
    <row r="366" spans="1:6" x14ac:dyDescent="0.25">
      <c r="A366" s="11">
        <f t="shared" si="5"/>
        <v>4120905</v>
      </c>
      <c r="B366" s="17">
        <v>4120905</v>
      </c>
      <c r="C366" s="17" t="s">
        <v>237</v>
      </c>
      <c r="D366" s="17">
        <v>1935.99</v>
      </c>
      <c r="E366" s="17">
        <v>2</v>
      </c>
      <c r="F366" s="7" t="str">
        <f>IF(A366=IFERROR(VLOOKUP(A366,CATALOGO!$B$2:$B$600,1,FALSE),"Falta"),"", "Falta")</f>
        <v>Falta</v>
      </c>
    </row>
    <row r="367" spans="1:6" x14ac:dyDescent="0.25">
      <c r="A367" s="11">
        <f t="shared" si="5"/>
        <v>4120913</v>
      </c>
      <c r="B367" s="17">
        <v>4120913</v>
      </c>
      <c r="C367" s="17" t="s">
        <v>1491</v>
      </c>
      <c r="D367" s="17">
        <v>1996.49</v>
      </c>
      <c r="E367" s="17">
        <v>30</v>
      </c>
      <c r="F367" s="7" t="str">
        <f>IF(A367=IFERROR(VLOOKUP(A367,CATALOGO!$B$2:$B$600,1,FALSE),"Falta"),"", "Falta")</f>
        <v>Falta</v>
      </c>
    </row>
    <row r="368" spans="1:6" x14ac:dyDescent="0.25">
      <c r="A368" s="11">
        <f t="shared" si="5"/>
        <v>4120914</v>
      </c>
      <c r="B368" s="17">
        <v>4120914</v>
      </c>
      <c r="C368" s="17" t="s">
        <v>1492</v>
      </c>
      <c r="D368" s="17">
        <v>2056.9899999999998</v>
      </c>
      <c r="E368" s="17">
        <v>11</v>
      </c>
      <c r="F368" s="7" t="str">
        <f>IF(A368=IFERROR(VLOOKUP(A368,CATALOGO!$B$2:$B$600,1,FALSE),"Falta"),"", "Falta")</f>
        <v>Falta</v>
      </c>
    </row>
    <row r="369" spans="1:6" x14ac:dyDescent="0.25">
      <c r="A369" s="11">
        <f t="shared" si="5"/>
        <v>4120915</v>
      </c>
      <c r="B369" s="17">
        <v>4120915</v>
      </c>
      <c r="C369" s="17" t="s">
        <v>283</v>
      </c>
      <c r="D369" s="17">
        <v>2117.4899999999998</v>
      </c>
      <c r="E369" s="17">
        <v>1</v>
      </c>
      <c r="F369" s="7" t="str">
        <f>IF(A369=IFERROR(VLOOKUP(A369,CATALOGO!$B$2:$B$600,1,FALSE),"Falta"),"", "Falta")</f>
        <v>Falta</v>
      </c>
    </row>
    <row r="370" spans="1:6" x14ac:dyDescent="0.25">
      <c r="A370" s="11">
        <f t="shared" si="5"/>
        <v>4120963</v>
      </c>
      <c r="B370" s="17">
        <v>4120963</v>
      </c>
      <c r="C370" s="17" t="s">
        <v>277</v>
      </c>
      <c r="D370" s="17">
        <v>1663.74</v>
      </c>
      <c r="E370" s="17">
        <v>21</v>
      </c>
      <c r="F370" s="7" t="str">
        <f>IF(A370=IFERROR(VLOOKUP(A370,CATALOGO!$B$2:$B$600,1,FALSE),"Falta"),"", "Falta")</f>
        <v>Falta</v>
      </c>
    </row>
    <row r="371" spans="1:6" x14ac:dyDescent="0.25">
      <c r="A371" s="11">
        <f t="shared" si="5"/>
        <v>4120982</v>
      </c>
      <c r="B371" s="17">
        <v>4120982</v>
      </c>
      <c r="C371" s="17" t="s">
        <v>242</v>
      </c>
      <c r="D371" s="17">
        <v>1935.99</v>
      </c>
      <c r="E371" s="17">
        <v>34</v>
      </c>
      <c r="F371" s="7" t="str">
        <f>IF(A371=IFERROR(VLOOKUP(A371,CATALOGO!$B$2:$B$600,1,FALSE),"Falta"),"", "Falta")</f>
        <v>Falta</v>
      </c>
    </row>
    <row r="372" spans="1:6" x14ac:dyDescent="0.25">
      <c r="A372" s="11">
        <f t="shared" si="5"/>
        <v>4129001</v>
      </c>
      <c r="B372" s="17">
        <v>4129001</v>
      </c>
      <c r="C372" s="17" t="s">
        <v>1955</v>
      </c>
      <c r="D372" s="17">
        <v>0</v>
      </c>
      <c r="E372" s="17">
        <v>15</v>
      </c>
      <c r="F372" s="7" t="str">
        <f>IF(A372=IFERROR(VLOOKUP(A372,CATALOGO!$B$2:$B$600,1,FALSE),"Falta"),"", "Falta")</f>
        <v>Falta</v>
      </c>
    </row>
    <row r="373" spans="1:6" x14ac:dyDescent="0.25">
      <c r="A373" s="11">
        <f t="shared" si="5"/>
        <v>4130150</v>
      </c>
      <c r="B373" s="17">
        <v>4130150</v>
      </c>
      <c r="C373" s="17" t="s">
        <v>200</v>
      </c>
      <c r="D373" s="17">
        <v>1996.49</v>
      </c>
      <c r="E373" s="17">
        <v>12</v>
      </c>
      <c r="F373" s="7" t="str">
        <f>IF(A373=IFERROR(VLOOKUP(A373,CATALOGO!$B$2:$B$600,1,FALSE),"Falta"),"", "Falta")</f>
        <v>Falta</v>
      </c>
    </row>
    <row r="374" spans="1:6" x14ac:dyDescent="0.25">
      <c r="A374" s="11">
        <f t="shared" si="5"/>
        <v>4130152</v>
      </c>
      <c r="B374" s="17">
        <v>4130152</v>
      </c>
      <c r="C374" s="17" t="s">
        <v>201</v>
      </c>
      <c r="D374" s="17">
        <v>2117.4899999999998</v>
      </c>
      <c r="E374" s="17">
        <v>1</v>
      </c>
      <c r="F374" s="7" t="str">
        <f>IF(A374=IFERROR(VLOOKUP(A374,CATALOGO!$B$2:$B$600,1,FALSE),"Falta"),"", "Falta")</f>
        <v>Falta</v>
      </c>
    </row>
    <row r="375" spans="1:6" x14ac:dyDescent="0.25">
      <c r="A375" s="11">
        <f t="shared" si="5"/>
        <v>4130771</v>
      </c>
      <c r="B375" s="17">
        <v>4130771</v>
      </c>
      <c r="C375" s="17" t="s">
        <v>245</v>
      </c>
      <c r="D375" s="17">
        <v>1999.99</v>
      </c>
      <c r="E375" s="17">
        <v>102</v>
      </c>
      <c r="F375" s="7" t="str">
        <f>IF(A375=IFERROR(VLOOKUP(A375,CATALOGO!$B$2:$B$600,1,FALSE),"Falta"),"", "Falta")</f>
        <v>Falta</v>
      </c>
    </row>
    <row r="376" spans="1:6" x14ac:dyDescent="0.25">
      <c r="A376" s="11">
        <f t="shared" si="5"/>
        <v>4130777</v>
      </c>
      <c r="B376" s="17">
        <v>4130777</v>
      </c>
      <c r="C376" s="17" t="s">
        <v>1493</v>
      </c>
      <c r="D376" s="17">
        <v>1935.99</v>
      </c>
      <c r="E376" s="17">
        <v>113</v>
      </c>
      <c r="F376" s="7" t="str">
        <f>IF(A376=IFERROR(VLOOKUP(A376,CATALOGO!$B$2:$B$600,1,FALSE),"Falta"),"", "Falta")</f>
        <v>Falta</v>
      </c>
    </row>
    <row r="377" spans="1:6" x14ac:dyDescent="0.25">
      <c r="A377" s="11">
        <f t="shared" si="5"/>
        <v>4130950</v>
      </c>
      <c r="B377" s="17">
        <v>4130950</v>
      </c>
      <c r="C377" s="17" t="s">
        <v>246</v>
      </c>
      <c r="D377" s="17">
        <v>2056.9899999999998</v>
      </c>
      <c r="E377" s="17">
        <v>16</v>
      </c>
      <c r="F377" s="7" t="str">
        <f>IF(A377=IFERROR(VLOOKUP(A377,CATALOGO!$B$2:$B$600,1,FALSE),"Falta"),"", "Falta")</f>
        <v>Falta</v>
      </c>
    </row>
    <row r="378" spans="1:6" x14ac:dyDescent="0.25">
      <c r="A378" s="11">
        <f t="shared" si="5"/>
        <v>5101001</v>
      </c>
      <c r="B378" s="17">
        <v>5101001</v>
      </c>
      <c r="C378" s="17" t="s">
        <v>335</v>
      </c>
      <c r="D378" s="17">
        <v>10634.69</v>
      </c>
      <c r="E378" s="17">
        <v>137</v>
      </c>
      <c r="F378" s="7" t="str">
        <f>IF(A378=IFERROR(VLOOKUP(A378,CATALOGO!$B$2:$B$600,1,FALSE),"Falta"),"", "Falta")</f>
        <v>Falta</v>
      </c>
    </row>
    <row r="379" spans="1:6" x14ac:dyDescent="0.25">
      <c r="A379" s="11">
        <f t="shared" si="5"/>
        <v>5101002</v>
      </c>
      <c r="B379" s="17">
        <v>5101002</v>
      </c>
      <c r="C379" s="17" t="s">
        <v>661</v>
      </c>
      <c r="D379" s="17">
        <v>4259.1899999999996</v>
      </c>
      <c r="E379" s="17">
        <v>10</v>
      </c>
      <c r="F379" s="7" t="str">
        <f>IF(A379=IFERROR(VLOOKUP(A379,CATALOGO!$B$2:$B$600,1,FALSE),"Falta"),"", "Falta")</f>
        <v/>
      </c>
    </row>
    <row r="380" spans="1:6" x14ac:dyDescent="0.25">
      <c r="A380" s="11">
        <f t="shared" si="5"/>
        <v>5101003</v>
      </c>
      <c r="B380" s="17">
        <v>5101003</v>
      </c>
      <c r="C380" s="17" t="s">
        <v>336</v>
      </c>
      <c r="D380" s="17">
        <v>10634.69</v>
      </c>
      <c r="E380" s="17">
        <v>12</v>
      </c>
      <c r="F380" s="7" t="str">
        <f>IF(A380=IFERROR(VLOOKUP(A380,CATALOGO!$B$2:$B$600,1,FALSE),"Falta"),"", "Falta")</f>
        <v>Falta</v>
      </c>
    </row>
    <row r="381" spans="1:6" x14ac:dyDescent="0.25">
      <c r="A381" s="11">
        <f t="shared" si="5"/>
        <v>5101005</v>
      </c>
      <c r="B381" s="17">
        <v>5101005</v>
      </c>
      <c r="C381" s="17" t="s">
        <v>355</v>
      </c>
      <c r="D381" s="17">
        <v>3825.1</v>
      </c>
      <c r="E381" s="17">
        <v>9</v>
      </c>
      <c r="F381" s="7" t="str">
        <f>IF(A381=IFERROR(VLOOKUP(A381,CATALOGO!$B$2:$B$600,1,FALSE),"Falta"),"", "Falta")</f>
        <v>Falta</v>
      </c>
    </row>
    <row r="382" spans="1:6" x14ac:dyDescent="0.25">
      <c r="A382" s="11">
        <f t="shared" si="5"/>
        <v>5101009</v>
      </c>
      <c r="B382" s="17">
        <v>5101009</v>
      </c>
      <c r="C382" s="17" t="s">
        <v>299</v>
      </c>
      <c r="D382" s="17">
        <v>4285.82</v>
      </c>
      <c r="E382" s="17">
        <v>149</v>
      </c>
      <c r="F382" s="7" t="str">
        <f>IF(A382=IFERROR(VLOOKUP(A382,CATALOGO!$B$2:$B$600,1,FALSE),"Falta"),"", "Falta")</f>
        <v>Falta</v>
      </c>
    </row>
    <row r="383" spans="1:6" x14ac:dyDescent="0.25">
      <c r="A383" s="11">
        <f t="shared" si="5"/>
        <v>5101011</v>
      </c>
      <c r="B383" s="17">
        <v>5101011</v>
      </c>
      <c r="C383" s="17" t="s">
        <v>301</v>
      </c>
      <c r="D383" s="17">
        <v>4285.82</v>
      </c>
      <c r="E383" s="17">
        <v>100</v>
      </c>
      <c r="F383" s="7" t="str">
        <f>IF(A383=IFERROR(VLOOKUP(A383,CATALOGO!$B$2:$B$600,1,FALSE),"Falta"),"", "Falta")</f>
        <v>Falta</v>
      </c>
    </row>
    <row r="384" spans="1:6" x14ac:dyDescent="0.25">
      <c r="A384" s="11">
        <f t="shared" si="5"/>
        <v>5101014</v>
      </c>
      <c r="B384" s="17">
        <v>5101014</v>
      </c>
      <c r="C384" s="17" t="s">
        <v>1968</v>
      </c>
      <c r="D384" s="17">
        <v>0</v>
      </c>
      <c r="E384" s="17">
        <v>19</v>
      </c>
      <c r="F384" s="7" t="str">
        <f>IF(A384=IFERROR(VLOOKUP(A384,CATALOGO!$B$2:$B$600,1,FALSE),"Falta"),"", "Falta")</f>
        <v>Falta</v>
      </c>
    </row>
    <row r="385" spans="1:6" x14ac:dyDescent="0.25">
      <c r="A385" s="11">
        <f t="shared" si="5"/>
        <v>5101022</v>
      </c>
      <c r="B385" s="17">
        <v>5101022</v>
      </c>
      <c r="C385" s="17" t="s">
        <v>303</v>
      </c>
      <c r="D385" s="17">
        <v>3825.1</v>
      </c>
      <c r="E385" s="17">
        <v>8</v>
      </c>
      <c r="F385" s="7" t="str">
        <f>IF(A385=IFERROR(VLOOKUP(A385,CATALOGO!$B$2:$B$600,1,FALSE),"Falta"),"", "Falta")</f>
        <v>Falta</v>
      </c>
    </row>
    <row r="386" spans="1:6" x14ac:dyDescent="0.25">
      <c r="A386" s="11">
        <f t="shared" si="5"/>
        <v>5101026</v>
      </c>
      <c r="B386" s="17">
        <v>5101026</v>
      </c>
      <c r="C386" s="17" t="s">
        <v>1445</v>
      </c>
      <c r="D386" s="17">
        <v>4230</v>
      </c>
      <c r="E386" s="17">
        <v>4</v>
      </c>
      <c r="F386" s="7" t="str">
        <f>IF(A386=IFERROR(VLOOKUP(A386,CATALOGO!$B$2:$B$600,1,FALSE),"Falta"),"", "Falta")</f>
        <v>Falta</v>
      </c>
    </row>
    <row r="387" spans="1:6" x14ac:dyDescent="0.25">
      <c r="A387" s="11">
        <f t="shared" si="5"/>
        <v>5101028</v>
      </c>
      <c r="B387" s="17">
        <v>5101028</v>
      </c>
      <c r="C387" s="17" t="s">
        <v>653</v>
      </c>
      <c r="D387" s="17">
        <v>4330</v>
      </c>
      <c r="E387" s="17">
        <v>3</v>
      </c>
      <c r="F387" s="7" t="str">
        <f>IF(A387=IFERROR(VLOOKUP(A387,CATALOGO!$B$2:$B$600,1,FALSE),"Falta"),"", "Falta")</f>
        <v>Falta</v>
      </c>
    </row>
    <row r="388" spans="1:6" x14ac:dyDescent="0.25">
      <c r="A388" s="11">
        <f t="shared" si="5"/>
        <v>5101029</v>
      </c>
      <c r="B388" s="17">
        <v>5101029</v>
      </c>
      <c r="C388" s="17" t="s">
        <v>652</v>
      </c>
      <c r="D388" s="17">
        <v>4230</v>
      </c>
      <c r="E388" s="17">
        <v>40</v>
      </c>
      <c r="F388" s="7" t="str">
        <f>IF(A388=IFERROR(VLOOKUP(A388,CATALOGO!$B$2:$B$600,1,FALSE),"Falta"),"", "Falta")</f>
        <v/>
      </c>
    </row>
    <row r="389" spans="1:6" x14ac:dyDescent="0.25">
      <c r="A389" s="11">
        <f t="shared" si="5"/>
        <v>5101031</v>
      </c>
      <c r="B389" s="17">
        <v>5101031</v>
      </c>
      <c r="C389" s="17" t="s">
        <v>621</v>
      </c>
      <c r="D389" s="17">
        <v>3327.49</v>
      </c>
      <c r="E389" s="17">
        <v>1</v>
      </c>
      <c r="F389" s="7" t="str">
        <f>IF(A389=IFERROR(VLOOKUP(A389,CATALOGO!$B$2:$B$600,1,FALSE),"Falta"),"", "Falta")</f>
        <v>Falta</v>
      </c>
    </row>
    <row r="390" spans="1:6" x14ac:dyDescent="0.25">
      <c r="A390" s="11">
        <f t="shared" ref="A390:A453" si="6">IFERROR(B390*1,"")</f>
        <v>5101033</v>
      </c>
      <c r="B390" s="17">
        <v>5101033</v>
      </c>
      <c r="C390" s="17" t="s">
        <v>632</v>
      </c>
      <c r="D390" s="17">
        <v>4525.3900000000003</v>
      </c>
      <c r="E390" s="17">
        <v>52</v>
      </c>
      <c r="F390" s="7" t="str">
        <f>IF(A390=IFERROR(VLOOKUP(A390,CATALOGO!$B$2:$B$600,1,FALSE),"Falta"),"", "Falta")</f>
        <v/>
      </c>
    </row>
    <row r="391" spans="1:6" x14ac:dyDescent="0.25">
      <c r="A391" s="11">
        <f t="shared" si="6"/>
        <v>5101046</v>
      </c>
      <c r="B391" s="17">
        <v>5101046</v>
      </c>
      <c r="C391" s="17" t="s">
        <v>638</v>
      </c>
      <c r="D391" s="17">
        <v>3617.9</v>
      </c>
      <c r="E391" s="17">
        <v>18</v>
      </c>
      <c r="F391" s="7" t="str">
        <f>IF(A391=IFERROR(VLOOKUP(A391,CATALOGO!$B$2:$B$600,1,FALSE),"Falta"),"", "Falta")</f>
        <v>Falta</v>
      </c>
    </row>
    <row r="392" spans="1:6" x14ac:dyDescent="0.25">
      <c r="A392" s="11">
        <f t="shared" si="6"/>
        <v>5101047</v>
      </c>
      <c r="B392" s="17">
        <v>5101047</v>
      </c>
      <c r="C392" s="17" t="s">
        <v>637</v>
      </c>
      <c r="D392" s="17">
        <v>3859.9</v>
      </c>
      <c r="E392" s="17">
        <v>7</v>
      </c>
      <c r="F392" s="7" t="str">
        <f>IF(A392=IFERROR(VLOOKUP(A392,CATALOGO!$B$2:$B$600,1,FALSE),"Falta"),"", "Falta")</f>
        <v/>
      </c>
    </row>
    <row r="393" spans="1:6" x14ac:dyDescent="0.25">
      <c r="A393" s="11">
        <f t="shared" si="6"/>
        <v>5101048</v>
      </c>
      <c r="B393" s="17">
        <v>5101048</v>
      </c>
      <c r="C393" s="17" t="s">
        <v>636</v>
      </c>
      <c r="D393" s="17">
        <v>3617.9</v>
      </c>
      <c r="E393" s="17">
        <v>9</v>
      </c>
      <c r="F393" s="7" t="str">
        <f>IF(A393=IFERROR(VLOOKUP(A393,CATALOGO!$B$2:$B$600,1,FALSE),"Falta"),"", "Falta")</f>
        <v/>
      </c>
    </row>
    <row r="394" spans="1:6" x14ac:dyDescent="0.25">
      <c r="A394" s="11">
        <f t="shared" si="6"/>
        <v>5101049</v>
      </c>
      <c r="B394" s="17">
        <v>5101049</v>
      </c>
      <c r="C394" s="17" t="s">
        <v>635</v>
      </c>
      <c r="D394" s="17">
        <v>3859.9</v>
      </c>
      <c r="E394" s="17">
        <v>4</v>
      </c>
      <c r="F394" s="7" t="str">
        <f>IF(A394=IFERROR(VLOOKUP(A394,CATALOGO!$B$2:$B$600,1,FALSE),"Falta"),"", "Falta")</f>
        <v>Falta</v>
      </c>
    </row>
    <row r="395" spans="1:6" x14ac:dyDescent="0.25">
      <c r="A395" s="11">
        <f t="shared" si="6"/>
        <v>5101052</v>
      </c>
      <c r="B395" s="17">
        <v>5101052</v>
      </c>
      <c r="C395" s="17" t="s">
        <v>639</v>
      </c>
      <c r="D395" s="17">
        <v>3617.9</v>
      </c>
      <c r="E395" s="17">
        <v>17</v>
      </c>
      <c r="F395" s="7" t="str">
        <f>IF(A395=IFERROR(VLOOKUP(A395,CATALOGO!$B$2:$B$600,1,FALSE),"Falta"),"", "Falta")</f>
        <v/>
      </c>
    </row>
    <row r="396" spans="1:6" x14ac:dyDescent="0.25">
      <c r="A396" s="11">
        <f t="shared" si="6"/>
        <v>5101053</v>
      </c>
      <c r="B396" s="17">
        <v>5101053</v>
      </c>
      <c r="C396" s="17" t="s">
        <v>619</v>
      </c>
      <c r="D396" s="17">
        <v>3859.9</v>
      </c>
      <c r="E396" s="17">
        <v>4</v>
      </c>
      <c r="F396" s="7" t="str">
        <f>IF(A396=IFERROR(VLOOKUP(A396,CATALOGO!$B$2:$B$600,1,FALSE),"Falta"),"", "Falta")</f>
        <v>Falta</v>
      </c>
    </row>
    <row r="397" spans="1:6" x14ac:dyDescent="0.25">
      <c r="A397" s="11">
        <f t="shared" si="6"/>
        <v>5101083</v>
      </c>
      <c r="B397" s="17">
        <v>5101083</v>
      </c>
      <c r="C397" s="17" t="s">
        <v>306</v>
      </c>
      <c r="D397" s="17">
        <v>3518.97</v>
      </c>
      <c r="E397" s="17">
        <v>4</v>
      </c>
      <c r="F397" s="7" t="str">
        <f>IF(A397=IFERROR(VLOOKUP(A397,CATALOGO!$B$2:$B$600,1,FALSE),"Falta"),"", "Falta")</f>
        <v>Falta</v>
      </c>
    </row>
    <row r="398" spans="1:6" x14ac:dyDescent="0.25">
      <c r="A398" s="11">
        <f t="shared" si="6"/>
        <v>5101088</v>
      </c>
      <c r="B398" s="17">
        <v>5101088</v>
      </c>
      <c r="C398" s="17" t="s">
        <v>338</v>
      </c>
      <c r="D398" s="17">
        <v>6121.07</v>
      </c>
      <c r="E398" s="17">
        <v>3</v>
      </c>
      <c r="F398" s="7" t="str">
        <f>IF(A398=IFERROR(VLOOKUP(A398,CATALOGO!$B$2:$B$600,1,FALSE),"Falta"),"", "Falta")</f>
        <v>Falta</v>
      </c>
    </row>
    <row r="399" spans="1:6" x14ac:dyDescent="0.25">
      <c r="A399" s="11">
        <f t="shared" si="6"/>
        <v>5101090</v>
      </c>
      <c r="B399" s="17">
        <v>5101090</v>
      </c>
      <c r="C399" s="17" t="s">
        <v>342</v>
      </c>
      <c r="D399" s="17">
        <v>7500</v>
      </c>
      <c r="E399" s="17">
        <v>328</v>
      </c>
      <c r="F399" s="7" t="str">
        <f>IF(A399=IFERROR(VLOOKUP(A399,CATALOGO!$B$2:$B$600,1,FALSE),"Falta"),"", "Falta")</f>
        <v>Falta</v>
      </c>
    </row>
    <row r="400" spans="1:6" x14ac:dyDescent="0.25">
      <c r="A400" s="11">
        <f t="shared" si="6"/>
        <v>5101091</v>
      </c>
      <c r="B400" s="17">
        <v>5101091</v>
      </c>
      <c r="C400" s="17" t="s">
        <v>343</v>
      </c>
      <c r="D400" s="17">
        <v>7500</v>
      </c>
      <c r="E400" s="17">
        <v>22</v>
      </c>
      <c r="F400" s="7" t="str">
        <f>IF(A400=IFERROR(VLOOKUP(A400,CATALOGO!$B$2:$B$600,1,FALSE),"Falta"),"", "Falta")</f>
        <v>Falta</v>
      </c>
    </row>
    <row r="401" spans="1:6" x14ac:dyDescent="0.25">
      <c r="A401" s="11">
        <f t="shared" si="6"/>
        <v>5101093</v>
      </c>
      <c r="B401" s="17">
        <v>5101093</v>
      </c>
      <c r="C401" s="17" t="s">
        <v>344</v>
      </c>
      <c r="D401" s="17">
        <v>7500</v>
      </c>
      <c r="E401" s="17">
        <v>216</v>
      </c>
      <c r="F401" s="7" t="str">
        <f>IF(A401=IFERROR(VLOOKUP(A401,CATALOGO!$B$2:$B$600,1,FALSE),"Falta"),"", "Falta")</f>
        <v>Falta</v>
      </c>
    </row>
    <row r="402" spans="1:6" x14ac:dyDescent="0.25">
      <c r="A402" s="11">
        <f t="shared" si="6"/>
        <v>5101102</v>
      </c>
      <c r="B402" s="17">
        <v>5101102</v>
      </c>
      <c r="C402" s="17" t="s">
        <v>1990</v>
      </c>
      <c r="D402" s="17">
        <v>0</v>
      </c>
      <c r="E402" s="17">
        <v>1</v>
      </c>
      <c r="F402" s="7" t="str">
        <f>IF(A402=IFERROR(VLOOKUP(A402,CATALOGO!$B$2:$B$600,1,FALSE),"Falta"),"", "Falta")</f>
        <v>Falta</v>
      </c>
    </row>
    <row r="403" spans="1:6" x14ac:dyDescent="0.25">
      <c r="A403" s="11">
        <f t="shared" si="6"/>
        <v>5101104</v>
      </c>
      <c r="B403" s="17">
        <v>5101104</v>
      </c>
      <c r="C403" s="17" t="s">
        <v>298</v>
      </c>
      <c r="D403" s="17">
        <v>6580.27</v>
      </c>
      <c r="E403" s="17">
        <v>10</v>
      </c>
      <c r="F403" s="7" t="str">
        <f>IF(A403=IFERROR(VLOOKUP(A403,CATALOGO!$B$2:$B$600,1,FALSE),"Falta"),"", "Falta")</f>
        <v>Falta</v>
      </c>
    </row>
    <row r="404" spans="1:6" x14ac:dyDescent="0.25">
      <c r="A404" s="11">
        <f t="shared" si="6"/>
        <v>5101105</v>
      </c>
      <c r="B404" s="17">
        <v>5101105</v>
      </c>
      <c r="C404" s="17" t="s">
        <v>353</v>
      </c>
      <c r="D404" s="17">
        <v>6121.07</v>
      </c>
      <c r="E404" s="17">
        <v>2</v>
      </c>
      <c r="F404" s="7" t="str">
        <f>IF(A404=IFERROR(VLOOKUP(A404,CATALOGO!$B$2:$B$600,1,FALSE),"Falta"),"", "Falta")</f>
        <v>Falta</v>
      </c>
    </row>
    <row r="405" spans="1:6" x14ac:dyDescent="0.25">
      <c r="A405" s="11">
        <f t="shared" si="6"/>
        <v>5101106</v>
      </c>
      <c r="B405" s="17">
        <v>5101106</v>
      </c>
      <c r="C405" s="17" t="s">
        <v>340</v>
      </c>
      <c r="D405" s="17">
        <v>7651.72</v>
      </c>
      <c r="E405" s="17">
        <v>1</v>
      </c>
      <c r="F405" s="7" t="str">
        <f>IF(A405=IFERROR(VLOOKUP(A405,CATALOGO!$B$2:$B$600,1,FALSE),"Falta"),"", "Falta")</f>
        <v>Falta</v>
      </c>
    </row>
    <row r="406" spans="1:6" x14ac:dyDescent="0.25">
      <c r="A406" s="11">
        <f t="shared" si="6"/>
        <v>5101108</v>
      </c>
      <c r="B406" s="17">
        <v>5101108</v>
      </c>
      <c r="C406" s="17" t="s">
        <v>312</v>
      </c>
      <c r="D406" s="17">
        <v>5661.88</v>
      </c>
      <c r="E406" s="17">
        <v>4</v>
      </c>
      <c r="F406" s="7" t="str">
        <f>IF(A406=IFERROR(VLOOKUP(A406,CATALOGO!$B$2:$B$600,1,FALSE),"Falta"),"", "Falta")</f>
        <v>Falta</v>
      </c>
    </row>
    <row r="407" spans="1:6" x14ac:dyDescent="0.25">
      <c r="A407" s="11">
        <f t="shared" si="6"/>
        <v>5101109</v>
      </c>
      <c r="B407" s="17">
        <v>5101109</v>
      </c>
      <c r="C407" s="17" t="s">
        <v>313</v>
      </c>
      <c r="D407" s="17">
        <v>5661.88</v>
      </c>
      <c r="E407" s="17">
        <v>6</v>
      </c>
      <c r="F407" s="7" t="str">
        <f>IF(A407=IFERROR(VLOOKUP(A407,CATALOGO!$B$2:$B$600,1,FALSE),"Falta"),"", "Falta")</f>
        <v>Falta</v>
      </c>
    </row>
    <row r="408" spans="1:6" x14ac:dyDescent="0.25">
      <c r="A408" s="11">
        <f t="shared" si="6"/>
        <v>5101114</v>
      </c>
      <c r="B408" s="17">
        <v>5101114</v>
      </c>
      <c r="C408" s="17" t="s">
        <v>1494</v>
      </c>
      <c r="D408" s="17">
        <v>33000</v>
      </c>
      <c r="E408" s="17">
        <v>1</v>
      </c>
      <c r="F408" s="7" t="str">
        <f>IF(A408=IFERROR(VLOOKUP(A408,CATALOGO!$B$2:$B$600,1,FALSE),"Falta"),"", "Falta")</f>
        <v>Falta</v>
      </c>
    </row>
    <row r="409" spans="1:6" x14ac:dyDescent="0.25">
      <c r="A409" s="11">
        <f t="shared" si="6"/>
        <v>5101115</v>
      </c>
      <c r="B409" s="17">
        <v>5101115</v>
      </c>
      <c r="C409" s="17" t="s">
        <v>291</v>
      </c>
      <c r="D409" s="17">
        <v>33000</v>
      </c>
      <c r="E409" s="17">
        <v>1</v>
      </c>
      <c r="F409" s="7" t="str">
        <f>IF(A409=IFERROR(VLOOKUP(A409,CATALOGO!$B$2:$B$600,1,FALSE),"Falta"),"", "Falta")</f>
        <v>Falta</v>
      </c>
    </row>
    <row r="410" spans="1:6" x14ac:dyDescent="0.25">
      <c r="A410" s="11">
        <f t="shared" si="6"/>
        <v>5101119</v>
      </c>
      <c r="B410" s="17">
        <v>5101119</v>
      </c>
      <c r="C410" s="17" t="s">
        <v>302</v>
      </c>
      <c r="D410" s="17">
        <v>3365.9</v>
      </c>
      <c r="E410" s="17">
        <v>10</v>
      </c>
      <c r="F410" s="7" t="str">
        <f>IF(A410=IFERROR(VLOOKUP(A410,CATALOGO!$B$2:$B$600,1,FALSE),"Falta"),"", "Falta")</f>
        <v>Falta</v>
      </c>
    </row>
    <row r="411" spans="1:6" x14ac:dyDescent="0.25">
      <c r="A411" s="11">
        <f t="shared" si="6"/>
        <v>5101125</v>
      </c>
      <c r="B411" s="17">
        <v>5101125</v>
      </c>
      <c r="C411" s="17" t="s">
        <v>1495</v>
      </c>
      <c r="D411" s="17">
        <v>3825.1</v>
      </c>
      <c r="E411" s="17">
        <v>21</v>
      </c>
      <c r="F411" s="7" t="str">
        <f>IF(A411=IFERROR(VLOOKUP(A411,CATALOGO!$B$2:$B$600,1,FALSE),"Falta"),"", "Falta")</f>
        <v>Falta</v>
      </c>
    </row>
    <row r="412" spans="1:6" x14ac:dyDescent="0.25">
      <c r="A412" s="11">
        <f t="shared" si="6"/>
        <v>5101135</v>
      </c>
      <c r="B412" s="17">
        <v>5101135</v>
      </c>
      <c r="C412" s="17" t="s">
        <v>1496</v>
      </c>
      <c r="D412" s="17">
        <v>3059.77</v>
      </c>
      <c r="E412" s="17">
        <v>5</v>
      </c>
      <c r="F412" s="7" t="str">
        <f>IF(A412=IFERROR(VLOOKUP(A412,CATALOGO!$B$2:$B$600,1,FALSE),"Falta"),"", "Falta")</f>
        <v>Falta</v>
      </c>
    </row>
    <row r="413" spans="1:6" x14ac:dyDescent="0.25">
      <c r="A413" s="11">
        <f t="shared" si="6"/>
        <v>5101136</v>
      </c>
      <c r="B413" s="17">
        <v>5101136</v>
      </c>
      <c r="C413" s="17" t="s">
        <v>346</v>
      </c>
      <c r="D413" s="17">
        <v>3059.77</v>
      </c>
      <c r="E413" s="17">
        <v>1</v>
      </c>
      <c r="F413" s="7" t="str">
        <f>IF(A413=IFERROR(VLOOKUP(A413,CATALOGO!$B$2:$B$600,1,FALSE),"Falta"),"", "Falta")</f>
        <v>Falta</v>
      </c>
    </row>
    <row r="414" spans="1:6" x14ac:dyDescent="0.25">
      <c r="A414" s="11">
        <f t="shared" si="6"/>
        <v>5101138</v>
      </c>
      <c r="B414" s="17">
        <v>5101138</v>
      </c>
      <c r="C414" s="17" t="s">
        <v>345</v>
      </c>
      <c r="D414" s="17">
        <v>3059.77</v>
      </c>
      <c r="E414" s="17">
        <v>5</v>
      </c>
      <c r="F414" s="7" t="str">
        <f>IF(A414=IFERROR(VLOOKUP(A414,CATALOGO!$B$2:$B$600,1,FALSE),"Falta"),"", "Falta")</f>
        <v>Falta</v>
      </c>
    </row>
    <row r="415" spans="1:6" x14ac:dyDescent="0.25">
      <c r="A415" s="11">
        <f t="shared" si="6"/>
        <v>5101140</v>
      </c>
      <c r="B415" s="17">
        <v>5101140</v>
      </c>
      <c r="C415" s="17" t="s">
        <v>642</v>
      </c>
      <c r="D415" s="17">
        <v>3617.9</v>
      </c>
      <c r="E415" s="17">
        <v>1</v>
      </c>
      <c r="F415" s="7" t="str">
        <f>IF(A415=IFERROR(VLOOKUP(A415,CATALOGO!$B$2:$B$600,1,FALSE),"Falta"),"", "Falta")</f>
        <v/>
      </c>
    </row>
    <row r="416" spans="1:6" x14ac:dyDescent="0.25">
      <c r="A416" s="11">
        <f t="shared" si="6"/>
        <v>5101149</v>
      </c>
      <c r="B416" s="17">
        <v>5101149</v>
      </c>
      <c r="C416" s="17" t="s">
        <v>1999</v>
      </c>
      <c r="D416" s="17">
        <v>0</v>
      </c>
      <c r="E416" s="17">
        <v>1</v>
      </c>
      <c r="F416" s="7" t="str">
        <f>IF(A416=IFERROR(VLOOKUP(A416,CATALOGO!$B$2:$B$600,1,FALSE),"Falta"),"", "Falta")</f>
        <v>Falta</v>
      </c>
    </row>
    <row r="417" spans="1:6" x14ac:dyDescent="0.25">
      <c r="A417" s="11">
        <f t="shared" si="6"/>
        <v>5101165</v>
      </c>
      <c r="B417" s="17">
        <v>5101165</v>
      </c>
      <c r="C417" s="17" t="s">
        <v>645</v>
      </c>
      <c r="D417" s="17">
        <v>4259.1899999999996</v>
      </c>
      <c r="E417" s="17">
        <v>9</v>
      </c>
      <c r="F417" s="7" t="str">
        <f>IF(A417=IFERROR(VLOOKUP(A417,CATALOGO!$B$2:$B$600,1,FALSE),"Falta"),"", "Falta")</f>
        <v/>
      </c>
    </row>
    <row r="418" spans="1:6" x14ac:dyDescent="0.25">
      <c r="A418" s="11">
        <f t="shared" si="6"/>
        <v>5101170</v>
      </c>
      <c r="B418" s="17">
        <v>5101170</v>
      </c>
      <c r="C418" s="17" t="s">
        <v>332</v>
      </c>
      <c r="D418" s="17">
        <v>3300</v>
      </c>
      <c r="E418" s="17">
        <v>248</v>
      </c>
      <c r="F418" s="7" t="str">
        <f>IF(A418=IFERROR(VLOOKUP(A418,CATALOGO!$B$2:$B$600,1,FALSE),"Falta"),"", "Falta")</f>
        <v>Falta</v>
      </c>
    </row>
    <row r="419" spans="1:6" x14ac:dyDescent="0.25">
      <c r="A419" s="11">
        <f t="shared" si="6"/>
        <v>5101171</v>
      </c>
      <c r="B419" s="17">
        <v>5101171</v>
      </c>
      <c r="C419" s="17" t="s">
        <v>334</v>
      </c>
      <c r="D419" s="17">
        <v>3300</v>
      </c>
      <c r="E419" s="17">
        <v>211</v>
      </c>
      <c r="F419" s="7" t="str">
        <f>IF(A419=IFERROR(VLOOKUP(A419,CATALOGO!$B$2:$B$600,1,FALSE),"Falta"),"", "Falta")</f>
        <v>Falta</v>
      </c>
    </row>
    <row r="420" spans="1:6" x14ac:dyDescent="0.25">
      <c r="A420" s="11">
        <f t="shared" si="6"/>
        <v>5101185</v>
      </c>
      <c r="B420" s="17">
        <v>5101185</v>
      </c>
      <c r="C420" s="17" t="s">
        <v>319</v>
      </c>
      <c r="D420" s="17">
        <v>7651.72</v>
      </c>
      <c r="E420" s="17">
        <v>21</v>
      </c>
      <c r="F420" s="7" t="str">
        <f>IF(A420=IFERROR(VLOOKUP(A420,CATALOGO!$B$2:$B$600,1,FALSE),"Falta"),"", "Falta")</f>
        <v>Falta</v>
      </c>
    </row>
    <row r="421" spans="1:6" x14ac:dyDescent="0.25">
      <c r="A421" s="11">
        <f t="shared" si="6"/>
        <v>5101186</v>
      </c>
      <c r="B421" s="17">
        <v>5101186</v>
      </c>
      <c r="C421" s="17" t="s">
        <v>320</v>
      </c>
      <c r="D421" s="17">
        <v>8417.0499999999993</v>
      </c>
      <c r="E421" s="17">
        <v>17</v>
      </c>
      <c r="F421" s="7" t="str">
        <f>IF(A421=IFERROR(VLOOKUP(A421,CATALOGO!$B$2:$B$600,1,FALSE),"Falta"),"", "Falta")</f>
        <v>Falta</v>
      </c>
    </row>
    <row r="422" spans="1:6" x14ac:dyDescent="0.25">
      <c r="A422" s="11">
        <f t="shared" si="6"/>
        <v>5101187</v>
      </c>
      <c r="B422" s="17">
        <v>5101187</v>
      </c>
      <c r="C422" s="17" t="s">
        <v>349</v>
      </c>
      <c r="D422" s="17">
        <v>10450</v>
      </c>
      <c r="E422" s="17">
        <v>132</v>
      </c>
      <c r="F422" s="7" t="str">
        <f>IF(A422=IFERROR(VLOOKUP(A422,CATALOGO!$B$2:$B$600,1,FALSE),"Falta"),"", "Falta")</f>
        <v>Falta</v>
      </c>
    </row>
    <row r="423" spans="1:6" x14ac:dyDescent="0.25">
      <c r="A423" s="11">
        <f t="shared" si="6"/>
        <v>5101188</v>
      </c>
      <c r="B423" s="17">
        <v>5101188</v>
      </c>
      <c r="C423" s="17" t="s">
        <v>350</v>
      </c>
      <c r="D423" s="17">
        <v>12631.19</v>
      </c>
      <c r="E423" s="17">
        <v>6</v>
      </c>
      <c r="F423" s="7" t="str">
        <f>IF(A423=IFERROR(VLOOKUP(A423,CATALOGO!$B$2:$B$600,1,FALSE),"Falta"),"", "Falta")</f>
        <v>Falta</v>
      </c>
    </row>
    <row r="424" spans="1:6" x14ac:dyDescent="0.25">
      <c r="A424" s="11">
        <f t="shared" si="6"/>
        <v>5101190</v>
      </c>
      <c r="B424" s="17">
        <v>5101190</v>
      </c>
      <c r="C424" s="17" t="s">
        <v>315</v>
      </c>
      <c r="D424" s="17">
        <v>7651.72</v>
      </c>
      <c r="E424" s="17">
        <v>42</v>
      </c>
      <c r="F424" s="7" t="str">
        <f>IF(A424=IFERROR(VLOOKUP(A424,CATALOGO!$B$2:$B$600,1,FALSE),"Falta"),"", "Falta")</f>
        <v>Falta</v>
      </c>
    </row>
    <row r="425" spans="1:6" x14ac:dyDescent="0.25">
      <c r="A425" s="11">
        <f t="shared" si="6"/>
        <v>5101191</v>
      </c>
      <c r="B425" s="17">
        <v>5101191</v>
      </c>
      <c r="C425" s="17" t="s">
        <v>316</v>
      </c>
      <c r="D425" s="17">
        <v>8417.0499999999993</v>
      </c>
      <c r="E425" s="17">
        <v>40</v>
      </c>
      <c r="F425" s="7" t="str">
        <f>IF(A425=IFERROR(VLOOKUP(A425,CATALOGO!$B$2:$B$600,1,FALSE),"Falta"),"", "Falta")</f>
        <v>Falta</v>
      </c>
    </row>
    <row r="426" spans="1:6" x14ac:dyDescent="0.25">
      <c r="A426" s="11">
        <f t="shared" si="6"/>
        <v>5101192</v>
      </c>
      <c r="B426" s="17">
        <v>5101192</v>
      </c>
      <c r="C426" s="17" t="s">
        <v>347</v>
      </c>
      <c r="D426" s="17">
        <v>10450</v>
      </c>
      <c r="E426" s="17">
        <v>281</v>
      </c>
      <c r="F426" s="7" t="str">
        <f>IF(A426=IFERROR(VLOOKUP(A426,CATALOGO!$B$2:$B$600,1,FALSE),"Falta"),"", "Falta")</f>
        <v>Falta</v>
      </c>
    </row>
    <row r="427" spans="1:6" x14ac:dyDescent="0.25">
      <c r="A427" s="11">
        <f t="shared" si="6"/>
        <v>5101193</v>
      </c>
      <c r="B427" s="17">
        <v>5101193</v>
      </c>
      <c r="C427" s="17" t="s">
        <v>348</v>
      </c>
      <c r="D427" s="17">
        <v>12631.19</v>
      </c>
      <c r="E427" s="17">
        <v>22</v>
      </c>
      <c r="F427" s="7" t="str">
        <f>IF(A427=IFERROR(VLOOKUP(A427,CATALOGO!$B$2:$B$600,1,FALSE),"Falta"),"", "Falta")</f>
        <v>Falta</v>
      </c>
    </row>
    <row r="428" spans="1:6" x14ac:dyDescent="0.25">
      <c r="A428" s="11">
        <f t="shared" si="6"/>
        <v>5101196</v>
      </c>
      <c r="B428" s="17">
        <v>5101196</v>
      </c>
      <c r="C428" s="17" t="s">
        <v>318</v>
      </c>
      <c r="D428" s="17">
        <v>8417.0499999999993</v>
      </c>
      <c r="E428" s="17">
        <v>9</v>
      </c>
      <c r="F428" s="7" t="str">
        <f>IF(A428=IFERROR(VLOOKUP(A428,CATALOGO!$B$2:$B$600,1,FALSE),"Falta"),"", "Falta")</f>
        <v>Falta</v>
      </c>
    </row>
    <row r="429" spans="1:6" x14ac:dyDescent="0.25">
      <c r="A429" s="11">
        <f t="shared" si="6"/>
        <v>5101200</v>
      </c>
      <c r="B429" s="17">
        <v>5101200</v>
      </c>
      <c r="C429" s="17" t="s">
        <v>634</v>
      </c>
      <c r="D429" s="17">
        <v>4525.3900000000003</v>
      </c>
      <c r="E429" s="17">
        <v>1</v>
      </c>
      <c r="F429" s="7" t="str">
        <f>IF(A429=IFERROR(VLOOKUP(A429,CATALOGO!$B$2:$B$600,1,FALSE),"Falta"),"", "Falta")</f>
        <v>Falta</v>
      </c>
    </row>
    <row r="430" spans="1:6" x14ac:dyDescent="0.25">
      <c r="A430" s="11">
        <f t="shared" si="6"/>
        <v>5101201</v>
      </c>
      <c r="B430" s="17">
        <v>5101201</v>
      </c>
      <c r="C430" s="17" t="s">
        <v>1498</v>
      </c>
      <c r="D430" s="17">
        <v>4591.9399999999996</v>
      </c>
      <c r="E430" s="17">
        <v>1</v>
      </c>
      <c r="F430" s="7" t="str">
        <f>IF(A430=IFERROR(VLOOKUP(A430,CATALOGO!$B$2:$B$600,1,FALSE),"Falta"),"", "Falta")</f>
        <v>Falta</v>
      </c>
    </row>
    <row r="431" spans="1:6" x14ac:dyDescent="0.25">
      <c r="A431" s="11">
        <f t="shared" si="6"/>
        <v>5101204</v>
      </c>
      <c r="B431" s="17">
        <v>5101204</v>
      </c>
      <c r="C431" s="17" t="s">
        <v>656</v>
      </c>
      <c r="D431" s="17">
        <v>4259.1899999999996</v>
      </c>
      <c r="E431" s="17">
        <v>28</v>
      </c>
      <c r="F431" s="7" t="str">
        <f>IF(A431=IFERROR(VLOOKUP(A431,CATALOGO!$B$2:$B$600,1,FALSE),"Falta"),"", "Falta")</f>
        <v/>
      </c>
    </row>
    <row r="432" spans="1:6" x14ac:dyDescent="0.25">
      <c r="A432" s="11">
        <f t="shared" si="6"/>
        <v>5101210</v>
      </c>
      <c r="B432" s="17">
        <v>5101210</v>
      </c>
      <c r="C432" s="17" t="s">
        <v>293</v>
      </c>
      <c r="D432" s="17">
        <v>33000</v>
      </c>
      <c r="E432" s="17">
        <v>2</v>
      </c>
      <c r="F432" s="7" t="str">
        <f>IF(A432=IFERROR(VLOOKUP(A432,CATALOGO!$B$2:$B$600,1,FALSE),"Falta"),"", "Falta")</f>
        <v>Falta</v>
      </c>
    </row>
    <row r="433" spans="1:6" x14ac:dyDescent="0.25">
      <c r="A433" s="11">
        <f t="shared" si="6"/>
        <v>5101211</v>
      </c>
      <c r="B433" s="17">
        <v>5101211</v>
      </c>
      <c r="C433" s="17" t="s">
        <v>310</v>
      </c>
      <c r="D433" s="17">
        <v>9947.7000000000007</v>
      </c>
      <c r="E433" s="17">
        <v>2</v>
      </c>
      <c r="F433" s="7" t="str">
        <f>IF(A433=IFERROR(VLOOKUP(A433,CATALOGO!$B$2:$B$600,1,FALSE),"Falta"),"", "Falta")</f>
        <v>Falta</v>
      </c>
    </row>
    <row r="434" spans="1:6" x14ac:dyDescent="0.25">
      <c r="A434" s="11">
        <f t="shared" si="6"/>
        <v>5101221</v>
      </c>
      <c r="B434" s="17">
        <v>5101221</v>
      </c>
      <c r="C434" s="17" t="s">
        <v>289</v>
      </c>
      <c r="D434" s="17">
        <v>33000</v>
      </c>
      <c r="E434" s="17">
        <v>1</v>
      </c>
      <c r="F434" s="7" t="str">
        <f>IF(A434=IFERROR(VLOOKUP(A434,CATALOGO!$B$2:$B$600,1,FALSE),"Falta"),"", "Falta")</f>
        <v>Falta</v>
      </c>
    </row>
    <row r="435" spans="1:6" x14ac:dyDescent="0.25">
      <c r="A435" s="11">
        <f t="shared" si="6"/>
        <v>5101223</v>
      </c>
      <c r="B435" s="17">
        <v>5101223</v>
      </c>
      <c r="C435" s="17" t="s">
        <v>294</v>
      </c>
      <c r="D435" s="17">
        <v>33000</v>
      </c>
      <c r="E435" s="17">
        <v>1</v>
      </c>
      <c r="F435" s="7" t="str">
        <f>IF(A435=IFERROR(VLOOKUP(A435,CATALOGO!$B$2:$B$600,1,FALSE),"Falta"),"", "Falta")</f>
        <v>Falta</v>
      </c>
    </row>
    <row r="436" spans="1:6" x14ac:dyDescent="0.25">
      <c r="A436" s="11">
        <f t="shared" si="6"/>
        <v>5101230</v>
      </c>
      <c r="B436" s="17">
        <v>5101230</v>
      </c>
      <c r="C436" s="17" t="s">
        <v>625</v>
      </c>
      <c r="D436" s="17">
        <v>3629.99</v>
      </c>
      <c r="E436" s="17">
        <v>25</v>
      </c>
      <c r="F436" s="7" t="str">
        <f>IF(A436=IFERROR(VLOOKUP(A436,CATALOGO!$B$2:$B$600,1,FALSE),"Falta"),"", "Falta")</f>
        <v/>
      </c>
    </row>
    <row r="437" spans="1:6" x14ac:dyDescent="0.25">
      <c r="A437" s="11">
        <f t="shared" si="6"/>
        <v>5101234</v>
      </c>
      <c r="B437" s="17">
        <v>5101234</v>
      </c>
      <c r="C437" s="17" t="s">
        <v>624</v>
      </c>
      <c r="D437" s="17">
        <v>4259.1899999999996</v>
      </c>
      <c r="E437" s="17">
        <v>3</v>
      </c>
      <c r="F437" s="7" t="str">
        <f>IF(A437=IFERROR(VLOOKUP(A437,CATALOGO!$B$2:$B$600,1,FALSE),"Falta"),"", "Falta")</f>
        <v/>
      </c>
    </row>
    <row r="438" spans="1:6" x14ac:dyDescent="0.25">
      <c r="A438" s="11">
        <f t="shared" si="6"/>
        <v>5101235</v>
      </c>
      <c r="B438" s="17">
        <v>5101235</v>
      </c>
      <c r="C438" s="17" t="s">
        <v>1499</v>
      </c>
      <c r="D438" s="17">
        <v>4325.74</v>
      </c>
      <c r="E438" s="17">
        <v>1</v>
      </c>
      <c r="F438" s="7" t="str">
        <f>IF(A438=IFERROR(VLOOKUP(A438,CATALOGO!$B$2:$B$600,1,FALSE),"Falta"),"", "Falta")</f>
        <v>Falta</v>
      </c>
    </row>
    <row r="439" spans="1:6" x14ac:dyDescent="0.25">
      <c r="A439" s="11">
        <f t="shared" si="6"/>
        <v>5101310</v>
      </c>
      <c r="B439" s="17">
        <v>5101310</v>
      </c>
      <c r="C439" s="17" t="s">
        <v>295</v>
      </c>
      <c r="D439" s="17">
        <v>33000</v>
      </c>
      <c r="E439" s="17">
        <v>2</v>
      </c>
      <c r="F439" s="7" t="str">
        <f>IF(A439=IFERROR(VLOOKUP(A439,CATALOGO!$B$2:$B$600,1,FALSE),"Falta"),"", "Falta")</f>
        <v>Falta</v>
      </c>
    </row>
    <row r="440" spans="1:6" x14ac:dyDescent="0.25">
      <c r="A440" s="11">
        <f t="shared" si="6"/>
        <v>5101340</v>
      </c>
      <c r="B440" s="17">
        <v>5101340</v>
      </c>
      <c r="C440" s="17" t="s">
        <v>309</v>
      </c>
      <c r="D440" s="17">
        <v>21780</v>
      </c>
      <c r="E440" s="17">
        <v>15</v>
      </c>
      <c r="F440" s="7" t="str">
        <f>IF(A440=IFERROR(VLOOKUP(A440,CATALOGO!$B$2:$B$600,1,FALSE),"Falta"),"", "Falta")</f>
        <v>Falta</v>
      </c>
    </row>
    <row r="441" spans="1:6" x14ac:dyDescent="0.25">
      <c r="A441" s="11">
        <f t="shared" si="6"/>
        <v>5101342</v>
      </c>
      <c r="B441" s="17">
        <v>5101342</v>
      </c>
      <c r="C441" s="17" t="s">
        <v>288</v>
      </c>
      <c r="D441" s="17">
        <v>33000</v>
      </c>
      <c r="E441" s="17">
        <v>1</v>
      </c>
      <c r="F441" s="7" t="str">
        <f>IF(A441=IFERROR(VLOOKUP(A441,CATALOGO!$B$2:$B$600,1,FALSE),"Falta"),"", "Falta")</f>
        <v>Falta</v>
      </c>
    </row>
    <row r="442" spans="1:6" x14ac:dyDescent="0.25">
      <c r="A442" s="11">
        <f t="shared" si="6"/>
        <v>5101390</v>
      </c>
      <c r="B442" s="17">
        <v>5101390</v>
      </c>
      <c r="C442" s="17" t="s">
        <v>314</v>
      </c>
      <c r="D442" s="17">
        <v>22990</v>
      </c>
      <c r="E442" s="17">
        <v>4</v>
      </c>
      <c r="F442" s="7" t="str">
        <f>IF(A442=IFERROR(VLOOKUP(A442,CATALOGO!$B$2:$B$600,1,FALSE),"Falta"),"", "Falta")</f>
        <v>Falta</v>
      </c>
    </row>
    <row r="443" spans="1:6" x14ac:dyDescent="0.25">
      <c r="A443" s="11">
        <f t="shared" si="6"/>
        <v>5101391</v>
      </c>
      <c r="B443" s="17">
        <v>5101391</v>
      </c>
      <c r="C443" s="17" t="s">
        <v>297</v>
      </c>
      <c r="D443" s="17">
        <v>33000</v>
      </c>
      <c r="E443" s="17">
        <v>2</v>
      </c>
      <c r="F443" s="7" t="str">
        <f>IF(A443=IFERROR(VLOOKUP(A443,CATALOGO!$B$2:$B$600,1,FALSE),"Falta"),"", "Falta")</f>
        <v>Falta</v>
      </c>
    </row>
    <row r="444" spans="1:6" x14ac:dyDescent="0.25">
      <c r="A444" s="11">
        <f t="shared" si="6"/>
        <v>5101439</v>
      </c>
      <c r="B444" s="17">
        <v>5101439</v>
      </c>
      <c r="C444" s="17" t="s">
        <v>290</v>
      </c>
      <c r="D444" s="17">
        <v>33000</v>
      </c>
      <c r="E444" s="17">
        <v>1</v>
      </c>
      <c r="F444" s="7" t="str">
        <f>IF(A444=IFERROR(VLOOKUP(A444,CATALOGO!$B$2:$B$600,1,FALSE),"Falta"),"", "Falta")</f>
        <v>Falta</v>
      </c>
    </row>
    <row r="445" spans="1:6" x14ac:dyDescent="0.25">
      <c r="A445" s="11">
        <f t="shared" si="6"/>
        <v>5101443</v>
      </c>
      <c r="B445" s="17">
        <v>5101443</v>
      </c>
      <c r="C445" s="17" t="s">
        <v>356</v>
      </c>
      <c r="D445" s="17">
        <v>10713.02</v>
      </c>
      <c r="E445" s="17">
        <v>1</v>
      </c>
      <c r="F445" s="7" t="str">
        <f>IF(A445=IFERROR(VLOOKUP(A445,CATALOGO!$B$2:$B$600,1,FALSE),"Falta"),"", "Falta")</f>
        <v>Falta</v>
      </c>
    </row>
    <row r="446" spans="1:6" x14ac:dyDescent="0.25">
      <c r="A446" s="11">
        <f t="shared" si="6"/>
        <v>5101445</v>
      </c>
      <c r="B446" s="17">
        <v>5101445</v>
      </c>
      <c r="C446" s="17" t="s">
        <v>296</v>
      </c>
      <c r="D446" s="17">
        <v>33000</v>
      </c>
      <c r="E446" s="17">
        <v>8</v>
      </c>
      <c r="F446" s="7" t="str">
        <f>IF(A446=IFERROR(VLOOKUP(A446,CATALOGO!$B$2:$B$600,1,FALSE),"Falta"),"", "Falta")</f>
        <v>Falta</v>
      </c>
    </row>
    <row r="447" spans="1:6" x14ac:dyDescent="0.25">
      <c r="A447" s="11">
        <f t="shared" si="6"/>
        <v>5101495</v>
      </c>
      <c r="B447" s="17">
        <v>5101495</v>
      </c>
      <c r="C447" s="17" t="s">
        <v>623</v>
      </c>
      <c r="D447" s="17">
        <v>3617.9</v>
      </c>
      <c r="E447" s="17">
        <v>7</v>
      </c>
      <c r="F447" s="7" t="str">
        <f>IF(A447=IFERROR(VLOOKUP(A447,CATALOGO!$B$2:$B$600,1,FALSE),"Falta"),"", "Falta")</f>
        <v/>
      </c>
    </row>
    <row r="448" spans="1:6" x14ac:dyDescent="0.25">
      <c r="A448" s="11">
        <f t="shared" si="6"/>
        <v>5101556</v>
      </c>
      <c r="B448" s="17">
        <v>5101556</v>
      </c>
      <c r="C448" s="17" t="s">
        <v>2049</v>
      </c>
      <c r="D448" s="17">
        <v>5830</v>
      </c>
      <c r="E448" s="17">
        <v>25</v>
      </c>
      <c r="F448" s="7" t="str">
        <f>IF(A448=IFERROR(VLOOKUP(A448,CATALOGO!$B$2:$B$600,1,FALSE),"Falta"),"", "Falta")</f>
        <v>Falta</v>
      </c>
    </row>
    <row r="449" spans="1:6" x14ac:dyDescent="0.25">
      <c r="A449" s="11">
        <f t="shared" si="6"/>
        <v>5101557</v>
      </c>
      <c r="B449" s="17">
        <v>5101557</v>
      </c>
      <c r="C449" s="17" t="s">
        <v>352</v>
      </c>
      <c r="D449" s="17">
        <v>5355.75</v>
      </c>
      <c r="E449" s="17">
        <v>12</v>
      </c>
      <c r="F449" s="7" t="str">
        <f>IF(A449=IFERROR(VLOOKUP(A449,CATALOGO!$B$2:$B$600,1,FALSE),"Falta"),"", "Falta")</f>
        <v>Falta</v>
      </c>
    </row>
    <row r="450" spans="1:6" x14ac:dyDescent="0.25">
      <c r="A450" s="11">
        <f t="shared" si="6"/>
        <v>5101561</v>
      </c>
      <c r="B450" s="17">
        <v>5101561</v>
      </c>
      <c r="C450" s="17" t="s">
        <v>2053</v>
      </c>
      <c r="D450" s="17">
        <v>0</v>
      </c>
      <c r="E450" s="17">
        <v>7</v>
      </c>
      <c r="F450" s="7" t="str">
        <f>IF(A450=IFERROR(VLOOKUP(A450,CATALOGO!$B$2:$B$600,1,FALSE),"Falta"),"", "Falta")</f>
        <v>Falta</v>
      </c>
    </row>
    <row r="451" spans="1:6" x14ac:dyDescent="0.25">
      <c r="A451" s="11">
        <f t="shared" si="6"/>
        <v>5101563</v>
      </c>
      <c r="B451" s="17">
        <v>5101563</v>
      </c>
      <c r="C451" s="17" t="s">
        <v>2055</v>
      </c>
      <c r="D451" s="17">
        <v>5900</v>
      </c>
      <c r="E451" s="17">
        <v>1</v>
      </c>
      <c r="F451" s="7" t="str">
        <f>IF(A451=IFERROR(VLOOKUP(A451,CATALOGO!$B$2:$B$600,1,FALSE),"Falta"),"", "Falta")</f>
        <v>Falta</v>
      </c>
    </row>
    <row r="452" spans="1:6" x14ac:dyDescent="0.25">
      <c r="A452" s="11">
        <f t="shared" si="6"/>
        <v>5101565</v>
      </c>
      <c r="B452" s="17">
        <v>5101565</v>
      </c>
      <c r="C452" s="17" t="s">
        <v>2057</v>
      </c>
      <c r="D452" s="17">
        <v>0</v>
      </c>
      <c r="E452" s="17">
        <v>1</v>
      </c>
      <c r="F452" s="7" t="str">
        <f>IF(A452=IFERROR(VLOOKUP(A452,CATALOGO!$B$2:$B$600,1,FALSE),"Falta"),"", "Falta")</f>
        <v>Falta</v>
      </c>
    </row>
    <row r="453" spans="1:6" x14ac:dyDescent="0.25">
      <c r="A453" s="11">
        <f t="shared" si="6"/>
        <v>5101567</v>
      </c>
      <c r="B453" s="17">
        <v>5101567</v>
      </c>
      <c r="C453" s="17" t="s">
        <v>354</v>
      </c>
      <c r="D453" s="17">
        <v>1682.19</v>
      </c>
      <c r="E453" s="17">
        <v>13</v>
      </c>
      <c r="F453" s="7" t="str">
        <f>IF(A453=IFERROR(VLOOKUP(A453,CATALOGO!$B$2:$B$600,1,FALSE),"Falta"),"", "Falta")</f>
        <v>Falta</v>
      </c>
    </row>
    <row r="454" spans="1:6" x14ac:dyDescent="0.25">
      <c r="A454" s="11">
        <f t="shared" ref="A454:A517" si="7">IFERROR(B454*1,"")</f>
        <v>5101625</v>
      </c>
      <c r="B454" s="17">
        <v>5101625</v>
      </c>
      <c r="C454" s="17" t="s">
        <v>404</v>
      </c>
      <c r="D454" s="17">
        <v>390</v>
      </c>
      <c r="E454" s="17">
        <v>19</v>
      </c>
      <c r="F454" s="7" t="str">
        <f>IF(A454=IFERROR(VLOOKUP(A454,CATALOGO!$B$2:$B$600,1,FALSE),"Falta"),"", "Falta")</f>
        <v>Falta</v>
      </c>
    </row>
    <row r="455" spans="1:6" x14ac:dyDescent="0.25">
      <c r="A455" s="11">
        <f t="shared" si="7"/>
        <v>5101654</v>
      </c>
      <c r="B455" s="17">
        <v>5101654</v>
      </c>
      <c r="C455" s="17" t="s">
        <v>660</v>
      </c>
      <c r="D455" s="17">
        <v>4259.1899999999996</v>
      </c>
      <c r="E455" s="17">
        <v>42</v>
      </c>
      <c r="F455" s="7" t="str">
        <f>IF(A455=IFERROR(VLOOKUP(A455,CATALOGO!$B$2:$B$600,1,FALSE),"Falta"),"", "Falta")</f>
        <v/>
      </c>
    </row>
    <row r="456" spans="1:6" x14ac:dyDescent="0.25">
      <c r="A456" s="11">
        <f t="shared" si="7"/>
        <v>5101666</v>
      </c>
      <c r="B456" s="17">
        <v>5101666</v>
      </c>
      <c r="C456" s="17" t="s">
        <v>323</v>
      </c>
      <c r="D456" s="17">
        <v>7502</v>
      </c>
      <c r="E456" s="17">
        <v>9</v>
      </c>
      <c r="F456" s="7" t="str">
        <f>IF(A456=IFERROR(VLOOKUP(A456,CATALOGO!$B$2:$B$600,1,FALSE),"Falta"),"", "Falta")</f>
        <v>Falta</v>
      </c>
    </row>
    <row r="457" spans="1:6" x14ac:dyDescent="0.25">
      <c r="A457" s="11">
        <f t="shared" si="7"/>
        <v>5101750</v>
      </c>
      <c r="B457" s="17">
        <v>5101750</v>
      </c>
      <c r="C457" s="17" t="s">
        <v>300</v>
      </c>
      <c r="D457" s="17">
        <v>4285.82</v>
      </c>
      <c r="E457" s="17">
        <v>90</v>
      </c>
      <c r="F457" s="7" t="str">
        <f>IF(A457=IFERROR(VLOOKUP(A457,CATALOGO!$B$2:$B$600,1,FALSE),"Falta"),"", "Falta")</f>
        <v>Falta</v>
      </c>
    </row>
    <row r="458" spans="1:6" x14ac:dyDescent="0.25">
      <c r="A458" s="11">
        <f t="shared" si="7"/>
        <v>5101777</v>
      </c>
      <c r="B458" s="17">
        <v>5101777</v>
      </c>
      <c r="C458" s="17" t="s">
        <v>324</v>
      </c>
      <c r="D458" s="17">
        <v>7139</v>
      </c>
      <c r="E458" s="17">
        <v>170</v>
      </c>
      <c r="F458" s="7" t="str">
        <f>IF(A458=IFERROR(VLOOKUP(A458,CATALOGO!$B$2:$B$600,1,FALSE),"Falta"),"", "Falta")</f>
        <v>Falta</v>
      </c>
    </row>
    <row r="459" spans="1:6" x14ac:dyDescent="0.25">
      <c r="A459" s="11">
        <f t="shared" si="7"/>
        <v>5101778</v>
      </c>
      <c r="B459" s="17">
        <v>5101778</v>
      </c>
      <c r="C459" s="17" t="s">
        <v>325</v>
      </c>
      <c r="D459" s="17">
        <v>7345.59</v>
      </c>
      <c r="E459" s="17">
        <v>8</v>
      </c>
      <c r="F459" s="7" t="str">
        <f>IF(A459=IFERROR(VLOOKUP(A459,CATALOGO!$B$2:$B$600,1,FALSE),"Falta"),"", "Falta")</f>
        <v>Falta</v>
      </c>
    </row>
    <row r="460" spans="1:6" x14ac:dyDescent="0.25">
      <c r="A460" s="11">
        <f t="shared" si="7"/>
        <v>5101845</v>
      </c>
      <c r="B460" s="17">
        <v>5101845</v>
      </c>
      <c r="C460" s="17" t="s">
        <v>649</v>
      </c>
      <c r="D460" s="17">
        <v>4259.1899999999996</v>
      </c>
      <c r="E460" s="17">
        <v>6</v>
      </c>
      <c r="F460" s="7" t="str">
        <f>IF(A460=IFERROR(VLOOKUP(A460,CATALOGO!$B$2:$B$600,1,FALSE),"Falta"),"", "Falta")</f>
        <v/>
      </c>
    </row>
    <row r="461" spans="1:6" x14ac:dyDescent="0.25">
      <c r="A461" s="11">
        <f t="shared" si="7"/>
        <v>5101846</v>
      </c>
      <c r="B461" s="17">
        <v>5101846</v>
      </c>
      <c r="C461" s="17" t="s">
        <v>1501</v>
      </c>
      <c r="D461" s="17">
        <v>4392.29</v>
      </c>
      <c r="E461" s="17">
        <v>1</v>
      </c>
      <c r="F461" s="7" t="str">
        <f>IF(A461=IFERROR(VLOOKUP(A461,CATALOGO!$B$2:$B$600,1,FALSE),"Falta"),"", "Falta")</f>
        <v>Falta</v>
      </c>
    </row>
    <row r="462" spans="1:6" x14ac:dyDescent="0.25">
      <c r="A462" s="11">
        <f t="shared" si="7"/>
        <v>5101850</v>
      </c>
      <c r="B462" s="17">
        <v>5101850</v>
      </c>
      <c r="C462" s="17" t="s">
        <v>333</v>
      </c>
      <c r="D462" s="17">
        <v>3599.99</v>
      </c>
      <c r="E462" s="17">
        <v>62</v>
      </c>
      <c r="F462" s="7" t="str">
        <f>IF(A462=IFERROR(VLOOKUP(A462,CATALOGO!$B$2:$B$600,1,FALSE),"Falta"),"", "Falta")</f>
        <v>Falta</v>
      </c>
    </row>
    <row r="463" spans="1:6" x14ac:dyDescent="0.25">
      <c r="A463" s="11">
        <f t="shared" si="7"/>
        <v>5101852</v>
      </c>
      <c r="B463" s="17">
        <v>5101852</v>
      </c>
      <c r="C463" s="17" t="s">
        <v>640</v>
      </c>
      <c r="D463" s="17">
        <v>3617.9</v>
      </c>
      <c r="E463" s="17">
        <v>193</v>
      </c>
      <c r="F463" s="7" t="str">
        <f>IF(A463=IFERROR(VLOOKUP(A463,CATALOGO!$B$2:$B$600,1,FALSE),"Falta"),"", "Falta")</f>
        <v/>
      </c>
    </row>
    <row r="464" spans="1:6" x14ac:dyDescent="0.25">
      <c r="A464" s="11">
        <f t="shared" si="7"/>
        <v>5101853</v>
      </c>
      <c r="B464" s="17">
        <v>5101853</v>
      </c>
      <c r="C464" s="17" t="s">
        <v>641</v>
      </c>
      <c r="D464" s="17">
        <v>3859.9</v>
      </c>
      <c r="E464" s="17">
        <v>80</v>
      </c>
      <c r="F464" s="7" t="str">
        <f>IF(A464=IFERROR(VLOOKUP(A464,CATALOGO!$B$2:$B$600,1,FALSE),"Falta"),"", "Falta")</f>
        <v>Falta</v>
      </c>
    </row>
    <row r="465" spans="1:6" x14ac:dyDescent="0.25">
      <c r="A465" s="11">
        <f t="shared" si="7"/>
        <v>5101855</v>
      </c>
      <c r="B465" s="17">
        <v>5101855</v>
      </c>
      <c r="C465" s="17" t="s">
        <v>650</v>
      </c>
      <c r="D465" s="17">
        <v>3617.9</v>
      </c>
      <c r="E465" s="17">
        <v>39</v>
      </c>
      <c r="F465" s="7" t="str">
        <f>IF(A465=IFERROR(VLOOKUP(A465,CATALOGO!$B$2:$B$600,1,FALSE),"Falta"),"", "Falta")</f>
        <v/>
      </c>
    </row>
    <row r="466" spans="1:6" x14ac:dyDescent="0.25">
      <c r="A466" s="11">
        <f t="shared" si="7"/>
        <v>5101856</v>
      </c>
      <c r="B466" s="17">
        <v>5101856</v>
      </c>
      <c r="C466" s="17" t="s">
        <v>651</v>
      </c>
      <c r="D466" s="17">
        <v>3859.9</v>
      </c>
      <c r="E466" s="17">
        <v>9</v>
      </c>
      <c r="F466" s="7" t="str">
        <f>IF(A466=IFERROR(VLOOKUP(A466,CATALOGO!$B$2:$B$600,1,FALSE),"Falta"),"", "Falta")</f>
        <v>Falta</v>
      </c>
    </row>
    <row r="467" spans="1:6" x14ac:dyDescent="0.25">
      <c r="A467" s="11">
        <f t="shared" si="7"/>
        <v>5101863</v>
      </c>
      <c r="B467" s="17">
        <v>5101863</v>
      </c>
      <c r="C467" s="17" t="s">
        <v>658</v>
      </c>
      <c r="D467" s="17">
        <v>3617.9</v>
      </c>
      <c r="E467" s="17">
        <v>172</v>
      </c>
      <c r="F467" s="7" t="str">
        <f>IF(A467=IFERROR(VLOOKUP(A467,CATALOGO!$B$2:$B$600,1,FALSE),"Falta"),"", "Falta")</f>
        <v/>
      </c>
    </row>
    <row r="468" spans="1:6" x14ac:dyDescent="0.25">
      <c r="A468" s="11">
        <f t="shared" si="7"/>
        <v>5101864</v>
      </c>
      <c r="B468" s="17">
        <v>5101864</v>
      </c>
      <c r="C468" s="17" t="s">
        <v>659</v>
      </c>
      <c r="D468" s="17">
        <v>3729</v>
      </c>
      <c r="E468" s="17">
        <v>34</v>
      </c>
      <c r="F468" s="7" t="str">
        <f>IF(A468=IFERROR(VLOOKUP(A468,CATALOGO!$B$2:$B$600,1,FALSE),"Falta"),"", "Falta")</f>
        <v>Falta</v>
      </c>
    </row>
    <row r="469" spans="1:6" x14ac:dyDescent="0.25">
      <c r="A469" s="11">
        <f t="shared" si="7"/>
        <v>5101870</v>
      </c>
      <c r="B469" s="17">
        <v>5101870</v>
      </c>
      <c r="C469" s="17" t="s">
        <v>2072</v>
      </c>
      <c r="D469" s="17">
        <v>0</v>
      </c>
      <c r="E469" s="17">
        <v>1</v>
      </c>
      <c r="F469" s="7" t="str">
        <f>IF(A469=IFERROR(VLOOKUP(A469,CATALOGO!$B$2:$B$600,1,FALSE),"Falta"),"", "Falta")</f>
        <v>Falta</v>
      </c>
    </row>
    <row r="470" spans="1:6" x14ac:dyDescent="0.25">
      <c r="A470" s="11">
        <f t="shared" si="7"/>
        <v>5101873</v>
      </c>
      <c r="B470" s="17">
        <v>5101873</v>
      </c>
      <c r="C470" s="17" t="s">
        <v>647</v>
      </c>
      <c r="D470" s="17">
        <v>4259.1899999999996</v>
      </c>
      <c r="E470" s="17">
        <v>82</v>
      </c>
      <c r="F470" s="7" t="str">
        <f>IF(A470=IFERROR(VLOOKUP(A470,CATALOGO!$B$2:$B$600,1,FALSE),"Falta"),"", "Falta")</f>
        <v/>
      </c>
    </row>
    <row r="471" spans="1:6" x14ac:dyDescent="0.25">
      <c r="A471" s="11">
        <f t="shared" si="7"/>
        <v>5101874</v>
      </c>
      <c r="B471" s="17">
        <v>5101874</v>
      </c>
      <c r="C471" s="17" t="s">
        <v>648</v>
      </c>
      <c r="D471" s="17">
        <v>4325.74</v>
      </c>
      <c r="E471" s="17">
        <v>10</v>
      </c>
      <c r="F471" s="7" t="str">
        <f>IF(A471=IFERROR(VLOOKUP(A471,CATALOGO!$B$2:$B$600,1,FALSE),"Falta"),"", "Falta")</f>
        <v>Falta</v>
      </c>
    </row>
    <row r="472" spans="1:6" x14ac:dyDescent="0.25">
      <c r="A472" s="11">
        <f t="shared" si="7"/>
        <v>5101875</v>
      </c>
      <c r="B472" s="17">
        <v>5101875</v>
      </c>
      <c r="C472" s="17" t="s">
        <v>627</v>
      </c>
      <c r="D472" s="17">
        <v>4259.1899999999996</v>
      </c>
      <c r="E472" s="17">
        <v>1</v>
      </c>
      <c r="F472" s="7" t="str">
        <f>IF(A472=IFERROR(VLOOKUP(A472,CATALOGO!$B$2:$B$600,1,FALSE),"Falta"),"", "Falta")</f>
        <v>Falta</v>
      </c>
    </row>
    <row r="473" spans="1:6" x14ac:dyDescent="0.25">
      <c r="A473" s="11">
        <f t="shared" si="7"/>
        <v>5101876</v>
      </c>
      <c r="B473" s="17">
        <v>5101876</v>
      </c>
      <c r="C473" s="17" t="s">
        <v>663</v>
      </c>
      <c r="D473" s="17">
        <v>4259.1899999999996</v>
      </c>
      <c r="E473" s="17">
        <v>27</v>
      </c>
      <c r="F473" s="7" t="str">
        <f>IF(A473=IFERROR(VLOOKUP(A473,CATALOGO!$B$2:$B$600,1,FALSE),"Falta"),"", "Falta")</f>
        <v>Falta</v>
      </c>
    </row>
    <row r="474" spans="1:6" x14ac:dyDescent="0.25">
      <c r="A474" s="11">
        <f t="shared" si="7"/>
        <v>5101877</v>
      </c>
      <c r="B474" s="17">
        <v>5101877</v>
      </c>
      <c r="C474" s="17" t="s">
        <v>655</v>
      </c>
      <c r="D474" s="17">
        <v>4259.1899999999996</v>
      </c>
      <c r="E474" s="17">
        <v>10</v>
      </c>
      <c r="F474" s="7" t="str">
        <f>IF(A474=IFERROR(VLOOKUP(A474,CATALOGO!$B$2:$B$600,1,FALSE),"Falta"),"", "Falta")</f>
        <v>Falta</v>
      </c>
    </row>
    <row r="475" spans="1:6" x14ac:dyDescent="0.25">
      <c r="A475" s="11">
        <f t="shared" si="7"/>
        <v>5101878</v>
      </c>
      <c r="B475" s="17">
        <v>5101878</v>
      </c>
      <c r="C475" s="17" t="s">
        <v>626</v>
      </c>
      <c r="D475" s="17">
        <v>4259.1899999999996</v>
      </c>
      <c r="E475" s="17">
        <v>4</v>
      </c>
      <c r="F475" s="7" t="str">
        <f>IF(A475=IFERROR(VLOOKUP(A475,CATALOGO!$B$2:$B$600,1,FALSE),"Falta"),"", "Falta")</f>
        <v>Falta</v>
      </c>
    </row>
    <row r="476" spans="1:6" x14ac:dyDescent="0.25">
      <c r="A476" s="11">
        <f t="shared" si="7"/>
        <v>5101880</v>
      </c>
      <c r="B476" s="17">
        <v>5101880</v>
      </c>
      <c r="C476" s="17" t="s">
        <v>628</v>
      </c>
      <c r="D476" s="17">
        <v>4259.1899999999996</v>
      </c>
      <c r="E476" s="17">
        <v>5</v>
      </c>
      <c r="F476" s="7" t="str">
        <f>IF(A476=IFERROR(VLOOKUP(A476,CATALOGO!$B$2:$B$600,1,FALSE),"Falta"),"", "Falta")</f>
        <v>Falta</v>
      </c>
    </row>
    <row r="477" spans="1:6" x14ac:dyDescent="0.25">
      <c r="A477" s="11">
        <f t="shared" si="7"/>
        <v>5101883</v>
      </c>
      <c r="B477" s="17">
        <v>5101883</v>
      </c>
      <c r="C477" s="17" t="s">
        <v>654</v>
      </c>
      <c r="D477" s="17">
        <v>4325.74</v>
      </c>
      <c r="E477" s="17">
        <v>3</v>
      </c>
      <c r="F477" s="7" t="str">
        <f>IF(A477=IFERROR(VLOOKUP(A477,CATALOGO!$B$2:$B$600,1,FALSE),"Falta"),"", "Falta")</f>
        <v/>
      </c>
    </row>
    <row r="478" spans="1:6" x14ac:dyDescent="0.25">
      <c r="A478" s="11">
        <f t="shared" si="7"/>
        <v>5101885</v>
      </c>
      <c r="B478" s="17">
        <v>5101885</v>
      </c>
      <c r="C478" s="17" t="s">
        <v>664</v>
      </c>
      <c r="D478" s="17">
        <v>4325.74</v>
      </c>
      <c r="E478" s="17">
        <v>3</v>
      </c>
      <c r="F478" s="7" t="str">
        <f>IF(A478=IFERROR(VLOOKUP(A478,CATALOGO!$B$2:$B$600,1,FALSE),"Falta"),"", "Falta")</f>
        <v>Falta</v>
      </c>
    </row>
    <row r="479" spans="1:6" x14ac:dyDescent="0.25">
      <c r="A479" s="11">
        <f t="shared" si="7"/>
        <v>5101886</v>
      </c>
      <c r="B479" s="17">
        <v>5101886</v>
      </c>
      <c r="C479" s="17" t="s">
        <v>646</v>
      </c>
      <c r="D479" s="17">
        <v>4259.1899999999996</v>
      </c>
      <c r="E479" s="17">
        <v>3</v>
      </c>
      <c r="F479" s="7" t="str">
        <f>IF(A479=IFERROR(VLOOKUP(A479,CATALOGO!$B$2:$B$600,1,FALSE),"Falta"),"", "Falta")</f>
        <v/>
      </c>
    </row>
    <row r="480" spans="1:6" x14ac:dyDescent="0.25">
      <c r="A480" s="11">
        <f t="shared" si="7"/>
        <v>5101888</v>
      </c>
      <c r="B480" s="17">
        <v>5101888</v>
      </c>
      <c r="C480" s="17" t="s">
        <v>326</v>
      </c>
      <c r="D480" s="17">
        <v>7139</v>
      </c>
      <c r="E480" s="17">
        <v>228</v>
      </c>
      <c r="F480" s="7" t="str">
        <f>IF(A480=IFERROR(VLOOKUP(A480,CATALOGO!$B$2:$B$600,1,FALSE),"Falta"),"", "Falta")</f>
        <v>Falta</v>
      </c>
    </row>
    <row r="481" spans="1:6" x14ac:dyDescent="0.25">
      <c r="A481" s="11">
        <f t="shared" si="7"/>
        <v>5101889</v>
      </c>
      <c r="B481" s="17">
        <v>5101889</v>
      </c>
      <c r="C481" s="17" t="s">
        <v>327</v>
      </c>
      <c r="D481" s="17">
        <v>7345.59</v>
      </c>
      <c r="E481" s="17">
        <v>31</v>
      </c>
      <c r="F481" s="7" t="str">
        <f>IF(A481=IFERROR(VLOOKUP(A481,CATALOGO!$B$2:$B$600,1,FALSE),"Falta"),"", "Falta")</f>
        <v>Falta</v>
      </c>
    </row>
    <row r="482" spans="1:6" x14ac:dyDescent="0.25">
      <c r="A482" s="11">
        <f t="shared" si="7"/>
        <v>5101900</v>
      </c>
      <c r="B482" s="17">
        <v>5101900</v>
      </c>
      <c r="C482" s="17" t="s">
        <v>307</v>
      </c>
      <c r="D482" s="17">
        <v>3992.99</v>
      </c>
      <c r="E482" s="17">
        <v>87</v>
      </c>
      <c r="F482" s="7" t="str">
        <f>IF(A482=IFERROR(VLOOKUP(A482,CATALOGO!$B$2:$B$600,1,FALSE),"Falta"),"", "Falta")</f>
        <v>Falta</v>
      </c>
    </row>
    <row r="483" spans="1:6" x14ac:dyDescent="0.25">
      <c r="A483" s="11">
        <f t="shared" si="7"/>
        <v>5101902</v>
      </c>
      <c r="B483" s="17">
        <v>5101902</v>
      </c>
      <c r="C483" s="17" t="s">
        <v>1503</v>
      </c>
      <c r="D483" s="17">
        <v>3059.77</v>
      </c>
      <c r="E483" s="17">
        <v>55</v>
      </c>
      <c r="F483" s="7" t="str">
        <f>IF(A483=IFERROR(VLOOKUP(A483,CATALOGO!$B$2:$B$600,1,FALSE),"Falta"),"", "Falta")</f>
        <v>Falta</v>
      </c>
    </row>
    <row r="484" spans="1:6" x14ac:dyDescent="0.25">
      <c r="A484" s="11">
        <f t="shared" si="7"/>
        <v>5101906</v>
      </c>
      <c r="B484" s="17">
        <v>5101906</v>
      </c>
      <c r="C484" s="17" t="s">
        <v>357</v>
      </c>
      <c r="D484" s="17">
        <v>3059.77</v>
      </c>
      <c r="E484" s="17">
        <v>42</v>
      </c>
      <c r="F484" s="7" t="str">
        <f>IF(A484=IFERROR(VLOOKUP(A484,CATALOGO!$B$2:$B$600,1,FALSE),"Falta"),"", "Falta")</f>
        <v>Falta</v>
      </c>
    </row>
    <row r="485" spans="1:6" x14ac:dyDescent="0.25">
      <c r="A485" s="11">
        <f t="shared" si="7"/>
        <v>5101912</v>
      </c>
      <c r="B485" s="17">
        <v>5101912</v>
      </c>
      <c r="C485" s="17" t="s">
        <v>328</v>
      </c>
      <c r="D485" s="17">
        <v>6121.07</v>
      </c>
      <c r="E485" s="17">
        <v>5</v>
      </c>
      <c r="F485" s="7" t="str">
        <f>IF(A485=IFERROR(VLOOKUP(A485,CATALOGO!$B$2:$B$600,1,FALSE),"Falta"),"", "Falta")</f>
        <v>Falta</v>
      </c>
    </row>
    <row r="486" spans="1:6" x14ac:dyDescent="0.25">
      <c r="A486" s="11">
        <f t="shared" si="7"/>
        <v>5101914</v>
      </c>
      <c r="B486" s="17">
        <v>5101914</v>
      </c>
      <c r="C486" s="17" t="s">
        <v>329</v>
      </c>
      <c r="D486" s="17">
        <v>3518.97</v>
      </c>
      <c r="E486" s="17">
        <v>38</v>
      </c>
      <c r="F486" s="7" t="str">
        <f>IF(A486=IFERROR(VLOOKUP(A486,CATALOGO!$B$2:$B$600,1,FALSE),"Falta"),"", "Falta")</f>
        <v>Falta</v>
      </c>
    </row>
    <row r="487" spans="1:6" x14ac:dyDescent="0.25">
      <c r="A487" s="11">
        <f t="shared" si="7"/>
        <v>5101915</v>
      </c>
      <c r="B487" s="17">
        <v>5101915</v>
      </c>
      <c r="C487" s="17" t="s">
        <v>1506</v>
      </c>
      <c r="D487" s="17">
        <v>3059.77</v>
      </c>
      <c r="E487" s="17">
        <v>1</v>
      </c>
      <c r="F487" s="7" t="str">
        <f>IF(A487=IFERROR(VLOOKUP(A487,CATALOGO!$B$2:$B$600,1,FALSE),"Falta"),"", "Falta")</f>
        <v>Falta</v>
      </c>
    </row>
    <row r="488" spans="1:6" x14ac:dyDescent="0.25">
      <c r="A488" s="11">
        <f t="shared" si="7"/>
        <v>5101918</v>
      </c>
      <c r="B488" s="17">
        <v>5101918</v>
      </c>
      <c r="C488" s="17" t="s">
        <v>1508</v>
      </c>
      <c r="D488" s="17">
        <v>3059.77</v>
      </c>
      <c r="E488" s="17">
        <v>1</v>
      </c>
      <c r="F488" s="7" t="str">
        <f>IF(A488=IFERROR(VLOOKUP(A488,CATALOGO!$B$2:$B$600,1,FALSE),"Falta"),"", "Falta")</f>
        <v>Falta</v>
      </c>
    </row>
    <row r="489" spans="1:6" x14ac:dyDescent="0.25">
      <c r="A489" s="11">
        <f t="shared" si="7"/>
        <v>5101919</v>
      </c>
      <c r="B489" s="17">
        <v>5101919</v>
      </c>
      <c r="C489" s="17" t="s">
        <v>1509</v>
      </c>
      <c r="D489" s="17">
        <v>3059.77</v>
      </c>
      <c r="E489" s="17">
        <v>7</v>
      </c>
      <c r="F489" s="7" t="str">
        <f>IF(A489=IFERROR(VLOOKUP(A489,CATALOGO!$B$2:$B$600,1,FALSE),"Falta"),"", "Falta")</f>
        <v>Falta</v>
      </c>
    </row>
    <row r="490" spans="1:6" x14ac:dyDescent="0.25">
      <c r="A490" s="11">
        <f t="shared" si="7"/>
        <v>5101922</v>
      </c>
      <c r="B490" s="17">
        <v>5101922</v>
      </c>
      <c r="C490" s="17" t="s">
        <v>1511</v>
      </c>
      <c r="D490" s="17">
        <v>3672.03</v>
      </c>
      <c r="E490" s="17">
        <v>1</v>
      </c>
      <c r="F490" s="7" t="str">
        <f>IF(A490=IFERROR(VLOOKUP(A490,CATALOGO!$B$2:$B$600,1,FALSE),"Falta"),"", "Falta")</f>
        <v>Falta</v>
      </c>
    </row>
    <row r="491" spans="1:6" x14ac:dyDescent="0.25">
      <c r="A491" s="11">
        <f t="shared" si="7"/>
        <v>5101924</v>
      </c>
      <c r="B491" s="17">
        <v>5101924</v>
      </c>
      <c r="C491" s="17" t="s">
        <v>1513</v>
      </c>
      <c r="D491" s="17">
        <v>3518.97</v>
      </c>
      <c r="E491" s="17">
        <v>3</v>
      </c>
      <c r="F491" s="7" t="str">
        <f>IF(A491=IFERROR(VLOOKUP(A491,CATALOGO!$B$2:$B$600,1,FALSE),"Falta"),"", "Falta")</f>
        <v>Falta</v>
      </c>
    </row>
    <row r="492" spans="1:6" x14ac:dyDescent="0.25">
      <c r="A492" s="11">
        <f t="shared" si="7"/>
        <v>5101925</v>
      </c>
      <c r="B492" s="17">
        <v>5101925</v>
      </c>
      <c r="C492" s="17" t="s">
        <v>1514</v>
      </c>
      <c r="D492" s="17">
        <v>3059.77</v>
      </c>
      <c r="E492" s="17">
        <v>13</v>
      </c>
      <c r="F492" s="7" t="str">
        <f>IF(A492=IFERROR(VLOOKUP(A492,CATALOGO!$B$2:$B$600,1,FALSE),"Falta"),"", "Falta")</f>
        <v>Falta</v>
      </c>
    </row>
    <row r="493" spans="1:6" x14ac:dyDescent="0.25">
      <c r="A493" s="11">
        <f t="shared" si="7"/>
        <v>5101951</v>
      </c>
      <c r="B493" s="17">
        <v>5101951</v>
      </c>
      <c r="C493" s="17" t="s">
        <v>622</v>
      </c>
      <c r="D493" s="17">
        <v>3061.29</v>
      </c>
      <c r="E493" s="17">
        <v>2</v>
      </c>
      <c r="F493" s="7" t="str">
        <f>IF(A493=IFERROR(VLOOKUP(A493,CATALOGO!$B$2:$B$600,1,FALSE),"Falta"),"", "Falta")</f>
        <v>Falta</v>
      </c>
    </row>
    <row r="494" spans="1:6" x14ac:dyDescent="0.25">
      <c r="A494" s="11">
        <f t="shared" si="7"/>
        <v>5101985</v>
      </c>
      <c r="B494" s="17">
        <v>5101985</v>
      </c>
      <c r="C494" s="17" t="s">
        <v>304</v>
      </c>
      <c r="D494" s="17">
        <v>3992.99</v>
      </c>
      <c r="E494" s="17">
        <v>159</v>
      </c>
      <c r="F494" s="7" t="str">
        <f>IF(A494=IFERROR(VLOOKUP(A494,CATALOGO!$B$2:$B$600,1,FALSE),"Falta"),"", "Falta")</f>
        <v>Falta</v>
      </c>
    </row>
    <row r="495" spans="1:6" x14ac:dyDescent="0.25">
      <c r="A495" s="11">
        <f t="shared" si="7"/>
        <v>5101986</v>
      </c>
      <c r="B495" s="17">
        <v>5101986</v>
      </c>
      <c r="C495" s="17" t="s">
        <v>305</v>
      </c>
      <c r="D495" s="17">
        <v>3825.1</v>
      </c>
      <c r="E495" s="17">
        <v>20</v>
      </c>
      <c r="F495" s="7" t="str">
        <f>IF(A495=IFERROR(VLOOKUP(A495,CATALOGO!$B$2:$B$600,1,FALSE),"Falta"),"", "Falta")</f>
        <v>Falta</v>
      </c>
    </row>
    <row r="496" spans="1:6" x14ac:dyDescent="0.25">
      <c r="A496" s="11">
        <f t="shared" si="7"/>
        <v>5101998</v>
      </c>
      <c r="B496" s="17">
        <v>5101998</v>
      </c>
      <c r="C496" s="17" t="s">
        <v>321</v>
      </c>
      <c r="D496" s="17">
        <v>7345.59</v>
      </c>
      <c r="E496" s="17">
        <v>28</v>
      </c>
      <c r="F496" s="7" t="str">
        <f>IF(A496=IFERROR(VLOOKUP(A496,CATALOGO!$B$2:$B$600,1,FALSE),"Falta"),"", "Falta")</f>
        <v>Falta</v>
      </c>
    </row>
    <row r="497" spans="1:6" x14ac:dyDescent="0.25">
      <c r="A497" s="11">
        <f t="shared" si="7"/>
        <v>5101999</v>
      </c>
      <c r="B497" s="17">
        <v>5101999</v>
      </c>
      <c r="C497" s="17" t="s">
        <v>322</v>
      </c>
      <c r="D497" s="17">
        <v>7139</v>
      </c>
      <c r="E497" s="17">
        <v>215</v>
      </c>
      <c r="F497" s="7" t="str">
        <f>IF(A497=IFERROR(VLOOKUP(A497,CATALOGO!$B$2:$B$600,1,FALSE),"Falta"),"", "Falta")</f>
        <v>Falta</v>
      </c>
    </row>
    <row r="498" spans="1:6" x14ac:dyDescent="0.25">
      <c r="A498" s="11">
        <f t="shared" si="7"/>
        <v>5102001</v>
      </c>
      <c r="B498" s="17">
        <v>5102001</v>
      </c>
      <c r="C498" s="17" t="s">
        <v>399</v>
      </c>
      <c r="D498" s="17">
        <v>2661.99</v>
      </c>
      <c r="E498" s="17">
        <v>23</v>
      </c>
      <c r="F498" s="7" t="str">
        <f>IF(A498=IFERROR(VLOOKUP(A498,CATALOGO!$B$2:$B$600,1,FALSE),"Falta"),"", "Falta")</f>
        <v>Falta</v>
      </c>
    </row>
    <row r="499" spans="1:6" x14ac:dyDescent="0.25">
      <c r="A499" s="11">
        <f t="shared" si="7"/>
        <v>5320787</v>
      </c>
      <c r="B499" s="17">
        <v>5320787</v>
      </c>
      <c r="C499" s="17" t="s">
        <v>413</v>
      </c>
      <c r="D499" s="17">
        <v>18149.990000000002</v>
      </c>
      <c r="E499" s="17">
        <v>1</v>
      </c>
      <c r="F499" s="7" t="str">
        <f>IF(A499=IFERROR(VLOOKUP(A499,CATALOGO!$B$2:$B$600,1,FALSE),"Falta"),"", "Falta")</f>
        <v>Falta</v>
      </c>
    </row>
    <row r="500" spans="1:6" x14ac:dyDescent="0.25">
      <c r="A500" s="11">
        <f t="shared" si="7"/>
        <v>5919025</v>
      </c>
      <c r="B500" s="17">
        <v>5919025</v>
      </c>
      <c r="C500" s="17" t="s">
        <v>841</v>
      </c>
      <c r="D500" s="17">
        <v>1222.99</v>
      </c>
      <c r="E500" s="17">
        <v>2</v>
      </c>
      <c r="F500" s="7" t="str">
        <f>IF(A500=IFERROR(VLOOKUP(A500,CATALOGO!$B$2:$B$600,1,FALSE),"Falta"),"", "Falta")</f>
        <v>Falta</v>
      </c>
    </row>
    <row r="501" spans="1:6" x14ac:dyDescent="0.25">
      <c r="A501" s="11">
        <f t="shared" si="7"/>
        <v>5919165</v>
      </c>
      <c r="B501" s="17">
        <v>5919165</v>
      </c>
      <c r="C501" s="17" t="s">
        <v>838</v>
      </c>
      <c r="D501" s="17">
        <v>1600</v>
      </c>
      <c r="E501" s="17">
        <v>73</v>
      </c>
      <c r="F501" s="7" t="str">
        <f>IF(A501=IFERROR(VLOOKUP(A501,CATALOGO!$B$2:$B$600,1,FALSE),"Falta"),"", "Falta")</f>
        <v>Falta</v>
      </c>
    </row>
    <row r="502" spans="1:6" x14ac:dyDescent="0.25">
      <c r="A502" s="11">
        <f t="shared" si="7"/>
        <v>6001004</v>
      </c>
      <c r="B502" s="17">
        <v>6001004</v>
      </c>
      <c r="C502" s="17" t="s">
        <v>1067</v>
      </c>
      <c r="D502" s="17">
        <v>6600</v>
      </c>
      <c r="E502" s="17">
        <v>3</v>
      </c>
      <c r="F502" s="7" t="str">
        <f>IF(A502=IFERROR(VLOOKUP(A502,CATALOGO!$B$2:$B$600,1,FALSE),"Falta"),"", "Falta")</f>
        <v>Falta</v>
      </c>
    </row>
    <row r="503" spans="1:6" x14ac:dyDescent="0.25">
      <c r="A503" s="11">
        <f t="shared" si="7"/>
        <v>6001005</v>
      </c>
      <c r="B503" s="17">
        <v>6001005</v>
      </c>
      <c r="C503" s="17" t="s">
        <v>1068</v>
      </c>
      <c r="D503" s="17">
        <v>3000</v>
      </c>
      <c r="E503" s="17">
        <v>3</v>
      </c>
      <c r="F503" s="7" t="str">
        <f>IF(A503=IFERROR(VLOOKUP(A503,CATALOGO!$B$2:$B$600,1,FALSE),"Falta"),"", "Falta")</f>
        <v>Falta</v>
      </c>
    </row>
    <row r="504" spans="1:6" x14ac:dyDescent="0.25">
      <c r="A504" s="11">
        <f t="shared" si="7"/>
        <v>6001941</v>
      </c>
      <c r="B504" s="17">
        <v>6001941</v>
      </c>
      <c r="C504" s="17" t="s">
        <v>1069</v>
      </c>
      <c r="D504" s="17">
        <v>12000</v>
      </c>
      <c r="E504" s="17">
        <v>3</v>
      </c>
      <c r="F504" s="7" t="str">
        <f>IF(A504=IFERROR(VLOOKUP(A504,CATALOGO!$B$2:$B$600,1,FALSE),"Falta"),"", "Falta")</f>
        <v>Falta</v>
      </c>
    </row>
    <row r="505" spans="1:6" x14ac:dyDescent="0.25">
      <c r="A505" s="11">
        <f t="shared" si="7"/>
        <v>6001942</v>
      </c>
      <c r="B505" s="17">
        <v>6001942</v>
      </c>
      <c r="C505" s="17" t="s">
        <v>850</v>
      </c>
      <c r="D505" s="17">
        <v>4123.57</v>
      </c>
      <c r="E505" s="17">
        <v>1</v>
      </c>
      <c r="F505" s="7" t="str">
        <f>IF(A505=IFERROR(VLOOKUP(A505,CATALOGO!$B$2:$B$600,1,FALSE),"Falta"),"", "Falta")</f>
        <v>Falta</v>
      </c>
    </row>
    <row r="506" spans="1:6" x14ac:dyDescent="0.25">
      <c r="A506" s="11">
        <f t="shared" si="7"/>
        <v>6401002</v>
      </c>
      <c r="B506" s="17">
        <v>6401002</v>
      </c>
      <c r="C506" s="17" t="s">
        <v>1516</v>
      </c>
      <c r="D506" s="17">
        <v>2447.5100000000002</v>
      </c>
      <c r="E506" s="17">
        <v>1</v>
      </c>
      <c r="F506" s="7" t="str">
        <f>IF(A506=IFERROR(VLOOKUP(A506,CATALOGO!$B$2:$B$600,1,FALSE),"Falta"),"", "Falta")</f>
        <v>Falta</v>
      </c>
    </row>
    <row r="507" spans="1:6" x14ac:dyDescent="0.25">
      <c r="A507" s="11">
        <f t="shared" si="7"/>
        <v>7700094</v>
      </c>
      <c r="B507" s="17">
        <v>7700094</v>
      </c>
      <c r="C507" s="17" t="s">
        <v>1519</v>
      </c>
      <c r="D507" s="17">
        <v>199.65</v>
      </c>
      <c r="E507" s="17">
        <v>3</v>
      </c>
      <c r="F507" s="7" t="str">
        <f>IF(A507=IFERROR(VLOOKUP(A507,CATALOGO!$B$2:$B$600,1,FALSE),"Falta"),"", "Falta")</f>
        <v>Falta</v>
      </c>
    </row>
    <row r="508" spans="1:6" x14ac:dyDescent="0.25">
      <c r="A508" s="11">
        <f t="shared" si="7"/>
        <v>7700096</v>
      </c>
      <c r="B508" s="17">
        <v>7700096</v>
      </c>
      <c r="C508" s="17" t="s">
        <v>816</v>
      </c>
      <c r="D508" s="17">
        <v>199.65</v>
      </c>
      <c r="E508" s="17">
        <v>2</v>
      </c>
      <c r="F508" s="7" t="str">
        <f>IF(A508=IFERROR(VLOOKUP(A508,CATALOGO!$B$2:$B$600,1,FALSE),"Falta"),"", "Falta")</f>
        <v>Falta</v>
      </c>
    </row>
    <row r="509" spans="1:6" x14ac:dyDescent="0.25">
      <c r="A509" s="11">
        <f t="shared" si="7"/>
        <v>7700100</v>
      </c>
      <c r="B509" s="17">
        <v>7700100</v>
      </c>
      <c r="C509" s="17" t="s">
        <v>775</v>
      </c>
      <c r="D509" s="17">
        <v>199.65</v>
      </c>
      <c r="E509" s="17">
        <v>63</v>
      </c>
      <c r="F509" s="7" t="str">
        <f>IF(A509=IFERROR(VLOOKUP(A509,CATALOGO!$B$2:$B$600,1,FALSE),"Falta"),"", "Falta")</f>
        <v/>
      </c>
    </row>
    <row r="510" spans="1:6" x14ac:dyDescent="0.25">
      <c r="A510" s="11">
        <f t="shared" si="7"/>
        <v>7700101</v>
      </c>
      <c r="B510" s="17">
        <v>7700101</v>
      </c>
      <c r="C510" s="17" t="s">
        <v>776</v>
      </c>
      <c r="D510" s="17">
        <v>199.65</v>
      </c>
      <c r="E510" s="17">
        <v>230</v>
      </c>
      <c r="F510" s="7" t="str">
        <f>IF(A510=IFERROR(VLOOKUP(A510,CATALOGO!$B$2:$B$600,1,FALSE),"Falta"),"", "Falta")</f>
        <v/>
      </c>
    </row>
    <row r="511" spans="1:6" x14ac:dyDescent="0.25">
      <c r="A511" s="11">
        <f t="shared" si="7"/>
        <v>7700103</v>
      </c>
      <c r="B511" s="17">
        <v>7700103</v>
      </c>
      <c r="C511" s="17" t="s">
        <v>783</v>
      </c>
      <c r="D511" s="17">
        <v>199.65</v>
      </c>
      <c r="E511" s="17">
        <v>74</v>
      </c>
      <c r="F511" s="7" t="str">
        <f>IF(A511=IFERROR(VLOOKUP(A511,CATALOGO!$B$2:$B$600,1,FALSE),"Falta"),"", "Falta")</f>
        <v/>
      </c>
    </row>
    <row r="512" spans="1:6" x14ac:dyDescent="0.25">
      <c r="A512" s="11">
        <f t="shared" si="7"/>
        <v>7700104</v>
      </c>
      <c r="B512" s="17">
        <v>7700104</v>
      </c>
      <c r="C512" s="17" t="s">
        <v>780</v>
      </c>
      <c r="D512" s="17">
        <v>199.65</v>
      </c>
      <c r="E512" s="17">
        <v>61</v>
      </c>
      <c r="F512" s="7" t="str">
        <f>IF(A512=IFERROR(VLOOKUP(A512,CATALOGO!$B$2:$B$600,1,FALSE),"Falta"),"", "Falta")</f>
        <v/>
      </c>
    </row>
    <row r="513" spans="1:6" x14ac:dyDescent="0.25">
      <c r="A513" s="11">
        <f t="shared" si="7"/>
        <v>7700105</v>
      </c>
      <c r="B513" s="17">
        <v>7700105</v>
      </c>
      <c r="C513" s="17" t="s">
        <v>779</v>
      </c>
      <c r="D513" s="17">
        <v>199.65</v>
      </c>
      <c r="E513" s="17">
        <v>71</v>
      </c>
      <c r="F513" s="7" t="str">
        <f>IF(A513=IFERROR(VLOOKUP(A513,CATALOGO!$B$2:$B$600,1,FALSE),"Falta"),"", "Falta")</f>
        <v/>
      </c>
    </row>
    <row r="514" spans="1:6" x14ac:dyDescent="0.25">
      <c r="A514" s="11">
        <f t="shared" si="7"/>
        <v>7700106</v>
      </c>
      <c r="B514" s="17">
        <v>7700106</v>
      </c>
      <c r="C514" s="17" t="s">
        <v>786</v>
      </c>
      <c r="D514" s="17">
        <v>199.65</v>
      </c>
      <c r="E514" s="17">
        <v>17</v>
      </c>
      <c r="F514" s="7" t="str">
        <f>IF(A514=IFERROR(VLOOKUP(A514,CATALOGO!$B$2:$B$600,1,FALSE),"Falta"),"", "Falta")</f>
        <v/>
      </c>
    </row>
    <row r="515" spans="1:6" x14ac:dyDescent="0.25">
      <c r="A515" s="11">
        <f t="shared" si="7"/>
        <v>7700107</v>
      </c>
      <c r="B515" s="17">
        <v>7700107</v>
      </c>
      <c r="C515" s="17" t="s">
        <v>1520</v>
      </c>
      <c r="D515" s="17">
        <v>199.65</v>
      </c>
      <c r="E515" s="17">
        <v>1</v>
      </c>
      <c r="F515" s="7" t="str">
        <f>IF(A515=IFERROR(VLOOKUP(A515,CATALOGO!$B$2:$B$600,1,FALSE),"Falta"),"", "Falta")</f>
        <v>Falta</v>
      </c>
    </row>
    <row r="516" spans="1:6" x14ac:dyDescent="0.25">
      <c r="A516" s="11">
        <f t="shared" si="7"/>
        <v>7700200</v>
      </c>
      <c r="B516" s="17">
        <v>7700200</v>
      </c>
      <c r="C516" s="17" t="s">
        <v>778</v>
      </c>
      <c r="D516" s="17">
        <v>399.99</v>
      </c>
      <c r="E516" s="17">
        <v>6</v>
      </c>
      <c r="F516" s="7" t="str">
        <f>IF(A516=IFERROR(VLOOKUP(A516,CATALOGO!$B$2:$B$600,1,FALSE),"Falta"),"", "Falta")</f>
        <v>Falta</v>
      </c>
    </row>
    <row r="517" spans="1:6" x14ac:dyDescent="0.25">
      <c r="A517" s="11">
        <f t="shared" si="7"/>
        <v>7700204</v>
      </c>
      <c r="B517" s="17">
        <v>7700204</v>
      </c>
      <c r="C517" s="17" t="s">
        <v>781</v>
      </c>
      <c r="D517" s="17">
        <v>399.99</v>
      </c>
      <c r="E517" s="17">
        <v>5</v>
      </c>
      <c r="F517" s="7" t="str">
        <f>IF(A517=IFERROR(VLOOKUP(A517,CATALOGO!$B$2:$B$600,1,FALSE),"Falta"),"", "Falta")</f>
        <v>Falta</v>
      </c>
    </row>
    <row r="518" spans="1:6" x14ac:dyDescent="0.25">
      <c r="A518" s="11">
        <f t="shared" ref="A518:A581" si="8">IFERROR(B518*1,"")</f>
        <v>7700206</v>
      </c>
      <c r="B518" s="17">
        <v>7700206</v>
      </c>
      <c r="C518" s="17" t="s">
        <v>787</v>
      </c>
      <c r="D518" s="17">
        <v>599.99</v>
      </c>
      <c r="E518" s="17">
        <v>6</v>
      </c>
      <c r="F518" s="7" t="str">
        <f>IF(A518=IFERROR(VLOOKUP(A518,CATALOGO!$B$2:$B$600,1,FALSE),"Falta"),"", "Falta")</f>
        <v>Falta</v>
      </c>
    </row>
    <row r="519" spans="1:6" x14ac:dyDescent="0.25">
      <c r="A519" s="11">
        <f t="shared" si="8"/>
        <v>7700207</v>
      </c>
      <c r="B519" s="17">
        <v>7700207</v>
      </c>
      <c r="C519" s="17" t="s">
        <v>785</v>
      </c>
      <c r="D519" s="17">
        <v>799.99</v>
      </c>
      <c r="E519" s="17">
        <v>7</v>
      </c>
      <c r="F519" s="7" t="str">
        <f>IF(A519=IFERROR(VLOOKUP(A519,CATALOGO!$B$2:$B$600,1,FALSE),"Falta"),"", "Falta")</f>
        <v>Falta</v>
      </c>
    </row>
    <row r="520" spans="1:6" x14ac:dyDescent="0.25">
      <c r="A520" s="11">
        <f t="shared" si="8"/>
        <v>7700450</v>
      </c>
      <c r="B520" s="17">
        <v>7700450</v>
      </c>
      <c r="C520" s="17" t="s">
        <v>788</v>
      </c>
      <c r="D520" s="17">
        <v>165</v>
      </c>
      <c r="E520" s="17">
        <v>13</v>
      </c>
      <c r="F520" s="7" t="str">
        <f>IF(A520=IFERROR(VLOOKUP(A520,CATALOGO!$B$2:$B$600,1,FALSE),"Falta"),"", "Falta")</f>
        <v/>
      </c>
    </row>
    <row r="521" spans="1:6" x14ac:dyDescent="0.25">
      <c r="A521" s="11">
        <f t="shared" si="8"/>
        <v>7700451</v>
      </c>
      <c r="B521" s="17">
        <v>7700451</v>
      </c>
      <c r="C521" s="17" t="s">
        <v>789</v>
      </c>
      <c r="D521" s="17">
        <v>165</v>
      </c>
      <c r="E521" s="17">
        <v>32</v>
      </c>
      <c r="F521" s="7" t="str">
        <f>IF(A521=IFERROR(VLOOKUP(A521,CATALOGO!$B$2:$B$600,1,FALSE),"Falta"),"", "Falta")</f>
        <v/>
      </c>
    </row>
    <row r="522" spans="1:6" x14ac:dyDescent="0.25">
      <c r="A522" s="11">
        <f t="shared" si="8"/>
        <v>7700452</v>
      </c>
      <c r="B522" s="17">
        <v>7700452</v>
      </c>
      <c r="C522" s="17" t="s">
        <v>798</v>
      </c>
      <c r="D522" s="17">
        <v>165</v>
      </c>
      <c r="E522" s="17">
        <v>2</v>
      </c>
      <c r="F522" s="7" t="str">
        <f>IF(A522=IFERROR(VLOOKUP(A522,CATALOGO!$B$2:$B$600,1,FALSE),"Falta"),"", "Falta")</f>
        <v/>
      </c>
    </row>
    <row r="523" spans="1:6" x14ac:dyDescent="0.25">
      <c r="A523" s="11">
        <f t="shared" si="8"/>
        <v>7700453</v>
      </c>
      <c r="B523" s="17">
        <v>7700453</v>
      </c>
      <c r="C523" s="17" t="s">
        <v>799</v>
      </c>
      <c r="D523" s="17">
        <v>199.76</v>
      </c>
      <c r="E523" s="17">
        <v>53</v>
      </c>
      <c r="F523" s="7" t="str">
        <f>IF(A523=IFERROR(VLOOKUP(A523,CATALOGO!$B$2:$B$600,1,FALSE),"Falta"),"", "Falta")</f>
        <v/>
      </c>
    </row>
    <row r="524" spans="1:6" x14ac:dyDescent="0.25">
      <c r="A524" s="11">
        <f t="shared" si="8"/>
        <v>7700454</v>
      </c>
      <c r="B524" s="17">
        <v>7700454</v>
      </c>
      <c r="C524" s="17" t="s">
        <v>797</v>
      </c>
      <c r="D524" s="17">
        <v>199.76</v>
      </c>
      <c r="E524" s="17">
        <v>22</v>
      </c>
      <c r="F524" s="7" t="str">
        <f>IF(A524=IFERROR(VLOOKUP(A524,CATALOGO!$B$2:$B$600,1,FALSE),"Falta"),"", "Falta")</f>
        <v/>
      </c>
    </row>
    <row r="525" spans="1:6" x14ac:dyDescent="0.25">
      <c r="A525" s="11">
        <f t="shared" si="8"/>
        <v>7700455</v>
      </c>
      <c r="B525" s="17">
        <v>7700455</v>
      </c>
      <c r="C525" s="17" t="s">
        <v>801</v>
      </c>
      <c r="D525" s="17">
        <v>199.76</v>
      </c>
      <c r="E525" s="17">
        <v>7</v>
      </c>
      <c r="F525" s="7" t="str">
        <f>IF(A525=IFERROR(VLOOKUP(A525,CATALOGO!$B$2:$B$600,1,FALSE),"Falta"),"", "Falta")</f>
        <v/>
      </c>
    </row>
    <row r="526" spans="1:6" x14ac:dyDescent="0.25">
      <c r="A526" s="11">
        <f t="shared" si="8"/>
        <v>7700456</v>
      </c>
      <c r="B526" s="17">
        <v>7700456</v>
      </c>
      <c r="C526" s="17" t="s">
        <v>800</v>
      </c>
      <c r="D526" s="17">
        <v>199.76</v>
      </c>
      <c r="E526" s="17">
        <v>4</v>
      </c>
      <c r="F526" s="7" t="str">
        <f>IF(A526=IFERROR(VLOOKUP(A526,CATALOGO!$B$2:$B$600,1,FALSE),"Falta"),"", "Falta")</f>
        <v/>
      </c>
    </row>
    <row r="527" spans="1:6" x14ac:dyDescent="0.25">
      <c r="A527" s="11">
        <f t="shared" si="8"/>
        <v>7700459</v>
      </c>
      <c r="B527" s="17">
        <v>7700459</v>
      </c>
      <c r="C527" s="17" t="s">
        <v>790</v>
      </c>
      <c r="D527" s="17">
        <v>198.99</v>
      </c>
      <c r="E527" s="17">
        <v>1</v>
      </c>
      <c r="F527" s="7" t="str">
        <f>IF(A527=IFERROR(VLOOKUP(A527,CATALOGO!$B$2:$B$600,1,FALSE),"Falta"),"", "Falta")</f>
        <v>Falta</v>
      </c>
    </row>
    <row r="528" spans="1:6" x14ac:dyDescent="0.25">
      <c r="A528" s="11">
        <f t="shared" si="8"/>
        <v>7700460</v>
      </c>
      <c r="B528" s="17">
        <v>7700460</v>
      </c>
      <c r="C528" s="17" t="s">
        <v>791</v>
      </c>
      <c r="D528" s="17">
        <v>199.76</v>
      </c>
      <c r="E528" s="17">
        <v>2</v>
      </c>
      <c r="F528" s="7" t="str">
        <f>IF(A528=IFERROR(VLOOKUP(A528,CATALOGO!$B$2:$B$600,1,FALSE),"Falta"),"", "Falta")</f>
        <v/>
      </c>
    </row>
    <row r="529" spans="1:6" x14ac:dyDescent="0.25">
      <c r="A529" s="11">
        <f t="shared" si="8"/>
        <v>7700461</v>
      </c>
      <c r="B529" s="17">
        <v>7700461</v>
      </c>
      <c r="C529" s="17" t="s">
        <v>793</v>
      </c>
      <c r="D529" s="17">
        <v>199.76</v>
      </c>
      <c r="E529" s="17">
        <v>10</v>
      </c>
      <c r="F529" s="7" t="str">
        <f>IF(A529=IFERROR(VLOOKUP(A529,CATALOGO!$B$2:$B$600,1,FALSE),"Falta"),"", "Falta")</f>
        <v/>
      </c>
    </row>
    <row r="530" spans="1:6" x14ac:dyDescent="0.25">
      <c r="A530" s="11">
        <f t="shared" si="8"/>
        <v>7700462</v>
      </c>
      <c r="B530" s="17">
        <v>7700462</v>
      </c>
      <c r="C530" s="17" t="s">
        <v>792</v>
      </c>
      <c r="D530" s="17">
        <v>199.76</v>
      </c>
      <c r="E530" s="17">
        <v>11</v>
      </c>
      <c r="F530" s="7" t="str">
        <f>IF(A530=IFERROR(VLOOKUP(A530,CATALOGO!$B$2:$B$600,1,FALSE),"Falta"),"", "Falta")</f>
        <v/>
      </c>
    </row>
    <row r="531" spans="1:6" x14ac:dyDescent="0.25">
      <c r="A531" s="11">
        <f t="shared" si="8"/>
        <v>7700463</v>
      </c>
      <c r="B531" s="17">
        <v>7700463</v>
      </c>
      <c r="C531" s="17" t="s">
        <v>796</v>
      </c>
      <c r="D531" s="17">
        <v>199.76</v>
      </c>
      <c r="E531" s="17">
        <v>10</v>
      </c>
      <c r="F531" s="7" t="str">
        <f>IF(A531=IFERROR(VLOOKUP(A531,CATALOGO!$B$2:$B$600,1,FALSE),"Falta"),"", "Falta")</f>
        <v/>
      </c>
    </row>
    <row r="532" spans="1:6" x14ac:dyDescent="0.25">
      <c r="A532" s="11">
        <f t="shared" si="8"/>
        <v>7700464</v>
      </c>
      <c r="B532" s="17">
        <v>7700464</v>
      </c>
      <c r="C532" s="17" t="s">
        <v>795</v>
      </c>
      <c r="D532" s="17">
        <v>199.76</v>
      </c>
      <c r="E532" s="17">
        <v>4</v>
      </c>
      <c r="F532" s="7" t="str">
        <f>IF(A532=IFERROR(VLOOKUP(A532,CATALOGO!$B$2:$B$600,1,FALSE),"Falta"),"", "Falta")</f>
        <v/>
      </c>
    </row>
    <row r="533" spans="1:6" x14ac:dyDescent="0.25">
      <c r="A533" s="11">
        <f t="shared" si="8"/>
        <v>7700465</v>
      </c>
      <c r="B533" s="17">
        <v>7700465</v>
      </c>
      <c r="C533" s="17" t="s">
        <v>794</v>
      </c>
      <c r="D533" s="17">
        <v>199.76</v>
      </c>
      <c r="E533" s="17">
        <v>6</v>
      </c>
      <c r="F533" s="7" t="str">
        <f>IF(A533=IFERROR(VLOOKUP(A533,CATALOGO!$B$2:$B$600,1,FALSE),"Falta"),"", "Falta")</f>
        <v/>
      </c>
    </row>
    <row r="534" spans="1:6" x14ac:dyDescent="0.25">
      <c r="A534" s="11">
        <f t="shared" si="8"/>
        <v>7700501</v>
      </c>
      <c r="B534" s="17">
        <v>7700501</v>
      </c>
      <c r="C534" s="17" t="s">
        <v>821</v>
      </c>
      <c r="D534" s="17">
        <v>199.65</v>
      </c>
      <c r="E534" s="17">
        <v>8</v>
      </c>
      <c r="F534" s="7" t="str">
        <f>IF(A534=IFERROR(VLOOKUP(A534,CATALOGO!$B$2:$B$600,1,FALSE),"Falta"),"", "Falta")</f>
        <v>Falta</v>
      </c>
    </row>
    <row r="535" spans="1:6" x14ac:dyDescent="0.25">
      <c r="A535" s="11">
        <f t="shared" si="8"/>
        <v>7700502</v>
      </c>
      <c r="B535" s="17">
        <v>7700502</v>
      </c>
      <c r="C535" s="17" t="s">
        <v>818</v>
      </c>
      <c r="D535" s="17">
        <v>199.65</v>
      </c>
      <c r="E535" s="17">
        <v>12</v>
      </c>
      <c r="F535" s="7" t="str">
        <f>IF(A535=IFERROR(VLOOKUP(A535,CATALOGO!$B$2:$B$600,1,FALSE),"Falta"),"", "Falta")</f>
        <v>Falta</v>
      </c>
    </row>
    <row r="536" spans="1:6" x14ac:dyDescent="0.25">
      <c r="A536" s="11">
        <f t="shared" si="8"/>
        <v>7700505</v>
      </c>
      <c r="B536" s="17">
        <v>7700505</v>
      </c>
      <c r="C536" s="17" t="s">
        <v>817</v>
      </c>
      <c r="D536" s="17">
        <v>199.65</v>
      </c>
      <c r="E536" s="17">
        <v>8</v>
      </c>
      <c r="F536" s="7" t="str">
        <f>IF(A536=IFERROR(VLOOKUP(A536,CATALOGO!$B$2:$B$600,1,FALSE),"Falta"),"", "Falta")</f>
        <v>Falta</v>
      </c>
    </row>
    <row r="537" spans="1:6" x14ac:dyDescent="0.25">
      <c r="A537" s="11">
        <f t="shared" si="8"/>
        <v>7700506</v>
      </c>
      <c r="B537" s="17">
        <v>7700506</v>
      </c>
      <c r="C537" s="17" t="s">
        <v>822</v>
      </c>
      <c r="D537" s="17">
        <v>199.65</v>
      </c>
      <c r="E537" s="17">
        <v>6</v>
      </c>
      <c r="F537" s="7" t="str">
        <f>IF(A537=IFERROR(VLOOKUP(A537,CATALOGO!$B$2:$B$600,1,FALSE),"Falta"),"", "Falta")</f>
        <v>Falta</v>
      </c>
    </row>
    <row r="538" spans="1:6" x14ac:dyDescent="0.25">
      <c r="A538" s="11">
        <f t="shared" si="8"/>
        <v>7700507</v>
      </c>
      <c r="B538" s="17">
        <v>7700507</v>
      </c>
      <c r="C538" s="17" t="s">
        <v>820</v>
      </c>
      <c r="D538" s="17">
        <v>199.65</v>
      </c>
      <c r="E538" s="17">
        <v>8</v>
      </c>
      <c r="F538" s="7" t="str">
        <f>IF(A538=IFERROR(VLOOKUP(A538,CATALOGO!$B$2:$B$600,1,FALSE),"Falta"),"", "Falta")</f>
        <v>Falta</v>
      </c>
    </row>
    <row r="539" spans="1:6" x14ac:dyDescent="0.25">
      <c r="A539" s="11">
        <f t="shared" si="8"/>
        <v>7700508</v>
      </c>
      <c r="B539" s="17">
        <v>7700508</v>
      </c>
      <c r="C539" s="17" t="s">
        <v>819</v>
      </c>
      <c r="D539" s="17">
        <v>199.65</v>
      </c>
      <c r="E539" s="17">
        <v>1</v>
      </c>
      <c r="F539" s="7" t="str">
        <f>IF(A539=IFERROR(VLOOKUP(A539,CATALOGO!$B$2:$B$600,1,FALSE),"Falta"),"", "Falta")</f>
        <v>Falta</v>
      </c>
    </row>
    <row r="540" spans="1:6" x14ac:dyDescent="0.25">
      <c r="A540" s="11">
        <f t="shared" si="8"/>
        <v>7700604</v>
      </c>
      <c r="B540" s="17">
        <v>7700604</v>
      </c>
      <c r="C540" s="17" t="s">
        <v>808</v>
      </c>
      <c r="D540" s="17">
        <v>198.99</v>
      </c>
      <c r="E540" s="17">
        <v>3</v>
      </c>
      <c r="F540" s="7" t="str">
        <f>IF(A540=IFERROR(VLOOKUP(A540,CATALOGO!$B$2:$B$600,1,FALSE),"Falta"),"", "Falta")</f>
        <v>Falta</v>
      </c>
    </row>
    <row r="541" spans="1:6" x14ac:dyDescent="0.25">
      <c r="A541" s="11">
        <f t="shared" si="8"/>
        <v>7700605</v>
      </c>
      <c r="B541" s="17">
        <v>7700605</v>
      </c>
      <c r="C541" s="17" t="s">
        <v>810</v>
      </c>
      <c r="D541" s="17">
        <v>198.99</v>
      </c>
      <c r="E541" s="17">
        <v>4</v>
      </c>
      <c r="F541" s="7" t="str">
        <f>IF(A541=IFERROR(VLOOKUP(A541,CATALOGO!$B$2:$B$600,1,FALSE),"Falta"),"", "Falta")</f>
        <v>Falta</v>
      </c>
    </row>
    <row r="542" spans="1:6" x14ac:dyDescent="0.25">
      <c r="A542" s="11">
        <f t="shared" si="8"/>
        <v>7700606</v>
      </c>
      <c r="B542" s="17">
        <v>7700606</v>
      </c>
      <c r="C542" s="17" t="s">
        <v>1521</v>
      </c>
      <c r="D542" s="17">
        <v>198.99</v>
      </c>
      <c r="E542" s="17">
        <v>5</v>
      </c>
      <c r="F542" s="7" t="str">
        <f>IF(A542=IFERROR(VLOOKUP(A542,CATALOGO!$B$2:$B$600,1,FALSE),"Falta"),"", "Falta")</f>
        <v>Falta</v>
      </c>
    </row>
    <row r="543" spans="1:6" x14ac:dyDescent="0.25">
      <c r="A543" s="11">
        <f t="shared" si="8"/>
        <v>7701093</v>
      </c>
      <c r="B543" s="17">
        <v>7701093</v>
      </c>
      <c r="C543" s="17" t="s">
        <v>1523</v>
      </c>
      <c r="D543" s="17">
        <v>199.76</v>
      </c>
      <c r="E543" s="17">
        <v>1</v>
      </c>
      <c r="F543" s="7" t="str">
        <f>IF(A543=IFERROR(VLOOKUP(A543,CATALOGO!$B$2:$B$600,1,FALSE),"Falta"),"", "Falta")</f>
        <v>Falta</v>
      </c>
    </row>
    <row r="544" spans="1:6" x14ac:dyDescent="0.25">
      <c r="A544" s="11">
        <f t="shared" si="8"/>
        <v>7701094</v>
      </c>
      <c r="B544" s="17">
        <v>7701094</v>
      </c>
      <c r="C544" s="17" t="s">
        <v>1524</v>
      </c>
      <c r="D544" s="17">
        <v>199.76</v>
      </c>
      <c r="E544" s="17">
        <v>2</v>
      </c>
      <c r="F544" s="7" t="str">
        <f>IF(A544=IFERROR(VLOOKUP(A544,CATALOGO!$B$2:$B$600,1,FALSE),"Falta"),"", "Falta")</f>
        <v>Falta</v>
      </c>
    </row>
    <row r="545" spans="1:6" x14ac:dyDescent="0.25">
      <c r="A545" s="11">
        <f t="shared" si="8"/>
        <v>7701104</v>
      </c>
      <c r="B545" s="17">
        <v>7701104</v>
      </c>
      <c r="C545" s="17" t="s">
        <v>1525</v>
      </c>
      <c r="D545" s="17">
        <v>199.76</v>
      </c>
      <c r="E545" s="17">
        <v>1</v>
      </c>
      <c r="F545" s="7" t="str">
        <f>IF(A545=IFERROR(VLOOKUP(A545,CATALOGO!$B$2:$B$600,1,FALSE),"Falta"),"", "Falta")</f>
        <v>Falta</v>
      </c>
    </row>
    <row r="546" spans="1:6" x14ac:dyDescent="0.25">
      <c r="A546" s="11">
        <f t="shared" si="8"/>
        <v>7703001</v>
      </c>
      <c r="B546" s="17">
        <v>7703001</v>
      </c>
      <c r="C546" s="17" t="s">
        <v>766</v>
      </c>
      <c r="D546" s="17">
        <v>220</v>
      </c>
      <c r="E546" s="17">
        <v>4</v>
      </c>
      <c r="F546" s="7" t="str">
        <f>IF(A546=IFERROR(VLOOKUP(A546,CATALOGO!$B$2:$B$600,1,FALSE),"Falta"),"", "Falta")</f>
        <v/>
      </c>
    </row>
    <row r="547" spans="1:6" x14ac:dyDescent="0.25">
      <c r="A547" s="11">
        <f t="shared" si="8"/>
        <v>7703002</v>
      </c>
      <c r="B547" s="17">
        <v>7703002</v>
      </c>
      <c r="C547" s="17" t="s">
        <v>1527</v>
      </c>
      <c r="D547" s="17">
        <v>220</v>
      </c>
      <c r="E547" s="17">
        <v>60</v>
      </c>
      <c r="F547" s="7" t="str">
        <f>IF(A547=IFERROR(VLOOKUP(A547,CATALOGO!$B$2:$B$600,1,FALSE),"Falta"),"", "Falta")</f>
        <v/>
      </c>
    </row>
    <row r="548" spans="1:6" x14ac:dyDescent="0.25">
      <c r="A548" s="11">
        <f t="shared" si="8"/>
        <v>7703105</v>
      </c>
      <c r="B548" s="17">
        <v>7703105</v>
      </c>
      <c r="C548" s="17" t="s">
        <v>731</v>
      </c>
      <c r="D548" s="17">
        <v>699.99</v>
      </c>
      <c r="E548" s="17">
        <v>35</v>
      </c>
      <c r="F548" s="7" t="str">
        <f>IF(A548=IFERROR(VLOOKUP(A548,CATALOGO!$B$2:$B$600,1,FALSE),"Falta"),"", "Falta")</f>
        <v/>
      </c>
    </row>
    <row r="549" spans="1:6" x14ac:dyDescent="0.25">
      <c r="A549" s="11">
        <f t="shared" si="8"/>
        <v>7703106</v>
      </c>
      <c r="B549" s="17">
        <v>7703106</v>
      </c>
      <c r="C549" s="17" t="s">
        <v>726</v>
      </c>
      <c r="D549" s="17">
        <v>899.99</v>
      </c>
      <c r="E549" s="17">
        <v>59</v>
      </c>
      <c r="F549" s="7" t="str">
        <f>IF(A549=IFERROR(VLOOKUP(A549,CATALOGO!$B$2:$B$600,1,FALSE),"Falta"),"", "Falta")</f>
        <v/>
      </c>
    </row>
    <row r="550" spans="1:6" x14ac:dyDescent="0.25">
      <c r="A550" s="11">
        <f t="shared" si="8"/>
        <v>7703107</v>
      </c>
      <c r="B550" s="17">
        <v>7703107</v>
      </c>
      <c r="C550" s="17" t="s">
        <v>727</v>
      </c>
      <c r="D550" s="17">
        <v>899.99</v>
      </c>
      <c r="E550" s="17">
        <v>44</v>
      </c>
      <c r="F550" s="7" t="str">
        <f>IF(A550=IFERROR(VLOOKUP(A550,CATALOGO!$B$2:$B$600,1,FALSE),"Falta"),"", "Falta")</f>
        <v>Falta</v>
      </c>
    </row>
    <row r="551" spans="1:6" x14ac:dyDescent="0.25">
      <c r="A551" s="11">
        <f t="shared" si="8"/>
        <v>7703109</v>
      </c>
      <c r="B551" s="17">
        <v>7703109</v>
      </c>
      <c r="C551" s="17" t="s">
        <v>1542</v>
      </c>
      <c r="D551" s="17">
        <v>907.5</v>
      </c>
      <c r="E551" s="17">
        <v>1</v>
      </c>
      <c r="F551" s="7" t="str">
        <f>IF(A551=IFERROR(VLOOKUP(A551,CATALOGO!$B$2:$B$600,1,FALSE),"Falta"),"", "Falta")</f>
        <v>Falta</v>
      </c>
    </row>
    <row r="552" spans="1:6" x14ac:dyDescent="0.25">
      <c r="A552" s="11">
        <f t="shared" si="8"/>
        <v>7703110</v>
      </c>
      <c r="B552" s="17">
        <v>7703110</v>
      </c>
      <c r="C552" s="17" t="s">
        <v>722</v>
      </c>
      <c r="D552" s="17">
        <v>483.99</v>
      </c>
      <c r="E552" s="17">
        <v>39</v>
      </c>
      <c r="F552" s="7" t="str">
        <f>IF(A552=IFERROR(VLOOKUP(A552,CATALOGO!$B$2:$B$600,1,FALSE),"Falta"),"", "Falta")</f>
        <v/>
      </c>
    </row>
    <row r="553" spans="1:6" x14ac:dyDescent="0.25">
      <c r="A553" s="11">
        <f t="shared" si="8"/>
        <v>7703111</v>
      </c>
      <c r="B553" s="17">
        <v>7703111</v>
      </c>
      <c r="C553" s="17" t="s">
        <v>724</v>
      </c>
      <c r="D553" s="17">
        <v>483.99</v>
      </c>
      <c r="E553" s="17">
        <v>52</v>
      </c>
      <c r="F553" s="7" t="str">
        <f>IF(A553=IFERROR(VLOOKUP(A553,CATALOGO!$B$2:$B$600,1,FALSE),"Falta"),"", "Falta")</f>
        <v/>
      </c>
    </row>
    <row r="554" spans="1:6" x14ac:dyDescent="0.25">
      <c r="A554" s="11">
        <f t="shared" si="8"/>
        <v>7703112</v>
      </c>
      <c r="B554" s="17">
        <v>7703112</v>
      </c>
      <c r="C554" s="17" t="s">
        <v>725</v>
      </c>
      <c r="D554" s="17">
        <v>532.39</v>
      </c>
      <c r="E554" s="17">
        <v>54</v>
      </c>
      <c r="F554" s="7" t="str">
        <f>IF(A554=IFERROR(VLOOKUP(A554,CATALOGO!$B$2:$B$600,1,FALSE),"Falta"),"", "Falta")</f>
        <v/>
      </c>
    </row>
    <row r="555" spans="1:6" x14ac:dyDescent="0.25">
      <c r="A555" s="11">
        <f t="shared" si="8"/>
        <v>7703113</v>
      </c>
      <c r="B555" s="17">
        <v>7703113</v>
      </c>
      <c r="C555" s="17" t="s">
        <v>723</v>
      </c>
      <c r="D555" s="17">
        <v>544.49</v>
      </c>
      <c r="E555" s="17">
        <v>77</v>
      </c>
      <c r="F555" s="7" t="str">
        <f>IF(A555=IFERROR(VLOOKUP(A555,CATALOGO!$B$2:$B$600,1,FALSE),"Falta"),"", "Falta")</f>
        <v/>
      </c>
    </row>
    <row r="556" spans="1:6" x14ac:dyDescent="0.25">
      <c r="A556" s="11">
        <f t="shared" si="8"/>
        <v>7703114</v>
      </c>
      <c r="B556" s="17">
        <v>7703114</v>
      </c>
      <c r="C556" s="17" t="s">
        <v>715</v>
      </c>
      <c r="D556" s="17">
        <v>599.99</v>
      </c>
      <c r="E556" s="17">
        <v>37</v>
      </c>
      <c r="F556" s="7" t="str">
        <f>IF(A556=IFERROR(VLOOKUP(A556,CATALOGO!$B$2:$B$600,1,FALSE),"Falta"),"", "Falta")</f>
        <v>Falta</v>
      </c>
    </row>
    <row r="557" spans="1:6" x14ac:dyDescent="0.25">
      <c r="A557" s="11">
        <f t="shared" si="8"/>
        <v>7703115</v>
      </c>
      <c r="B557" s="17">
        <v>7703115</v>
      </c>
      <c r="C557" s="17" t="s">
        <v>716</v>
      </c>
      <c r="D557" s="17">
        <v>499.99</v>
      </c>
      <c r="E557" s="17">
        <v>76</v>
      </c>
      <c r="F557" s="7" t="str">
        <f>IF(A557=IFERROR(VLOOKUP(A557,CATALOGO!$B$2:$B$600,1,FALSE),"Falta"),"", "Falta")</f>
        <v/>
      </c>
    </row>
    <row r="558" spans="1:6" x14ac:dyDescent="0.25">
      <c r="A558" s="11">
        <f t="shared" si="8"/>
        <v>7703116</v>
      </c>
      <c r="B558" s="17">
        <v>7703116</v>
      </c>
      <c r="C558" s="17" t="s">
        <v>717</v>
      </c>
      <c r="D558" s="17">
        <v>499.99</v>
      </c>
      <c r="E558" s="17">
        <v>31</v>
      </c>
      <c r="F558" s="7" t="str">
        <f>IF(A558=IFERROR(VLOOKUP(A558,CATALOGO!$B$2:$B$600,1,FALSE),"Falta"),"", "Falta")</f>
        <v/>
      </c>
    </row>
    <row r="559" spans="1:6" x14ac:dyDescent="0.25">
      <c r="A559" s="11">
        <f t="shared" si="8"/>
        <v>7703117</v>
      </c>
      <c r="B559" s="17">
        <v>7703117</v>
      </c>
      <c r="C559" s="17" t="s">
        <v>719</v>
      </c>
      <c r="D559" s="17">
        <v>599.99</v>
      </c>
      <c r="E559" s="17">
        <v>48</v>
      </c>
      <c r="F559" s="7" t="str">
        <f>IF(A559=IFERROR(VLOOKUP(A559,CATALOGO!$B$2:$B$600,1,FALSE),"Falta"),"", "Falta")</f>
        <v/>
      </c>
    </row>
    <row r="560" spans="1:6" x14ac:dyDescent="0.25">
      <c r="A560" s="11">
        <f t="shared" si="8"/>
        <v>7703118</v>
      </c>
      <c r="B560" s="17">
        <v>7703118</v>
      </c>
      <c r="C560" s="17" t="s">
        <v>721</v>
      </c>
      <c r="D560" s="17">
        <v>699.99</v>
      </c>
      <c r="E560" s="17">
        <v>34</v>
      </c>
      <c r="F560" s="7" t="str">
        <f>IF(A560=IFERROR(VLOOKUP(A560,CATALOGO!$B$2:$B$600,1,FALSE),"Falta"),"", "Falta")</f>
        <v/>
      </c>
    </row>
    <row r="561" spans="1:6" x14ac:dyDescent="0.25">
      <c r="A561" s="11">
        <f t="shared" si="8"/>
        <v>7703120</v>
      </c>
      <c r="B561" s="17">
        <v>7703120</v>
      </c>
      <c r="C561" s="17" t="s">
        <v>720</v>
      </c>
      <c r="D561" s="17">
        <v>699</v>
      </c>
      <c r="E561" s="17">
        <v>2</v>
      </c>
      <c r="F561" s="7" t="str">
        <f>IF(A561=IFERROR(VLOOKUP(A561,CATALOGO!$B$2:$B$600,1,FALSE),"Falta"),"", "Falta")</f>
        <v>Falta</v>
      </c>
    </row>
    <row r="562" spans="1:6" x14ac:dyDescent="0.25">
      <c r="A562" s="11">
        <f t="shared" si="8"/>
        <v>7703121</v>
      </c>
      <c r="B562" s="17">
        <v>7703121</v>
      </c>
      <c r="C562" s="17" t="s">
        <v>729</v>
      </c>
      <c r="D562" s="17">
        <v>799.99</v>
      </c>
      <c r="E562" s="17">
        <v>10</v>
      </c>
      <c r="F562" s="7" t="str">
        <f>IF(A562=IFERROR(VLOOKUP(A562,CATALOGO!$B$2:$B$600,1,FALSE),"Falta"),"", "Falta")</f>
        <v/>
      </c>
    </row>
    <row r="563" spans="1:6" x14ac:dyDescent="0.25">
      <c r="A563" s="11">
        <f t="shared" si="8"/>
        <v>7703129</v>
      </c>
      <c r="B563" s="17">
        <v>7703129</v>
      </c>
      <c r="C563" s="17" t="s">
        <v>737</v>
      </c>
      <c r="D563" s="17">
        <v>673.49</v>
      </c>
      <c r="E563" s="17">
        <v>21</v>
      </c>
      <c r="F563" s="7" t="str">
        <f>IF(A563=IFERROR(VLOOKUP(A563,CATALOGO!$B$2:$B$600,1,FALSE),"Falta"),"", "Falta")</f>
        <v>Falta</v>
      </c>
    </row>
    <row r="564" spans="1:6" x14ac:dyDescent="0.25">
      <c r="A564" s="11">
        <f t="shared" si="8"/>
        <v>7703130</v>
      </c>
      <c r="B564" s="17">
        <v>7703130</v>
      </c>
      <c r="C564" s="17" t="s">
        <v>738</v>
      </c>
      <c r="D564" s="17">
        <v>671.8</v>
      </c>
      <c r="E564" s="17">
        <v>57</v>
      </c>
      <c r="F564" s="7" t="str">
        <f>IF(A564=IFERROR(VLOOKUP(A564,CATALOGO!$B$2:$B$600,1,FALSE),"Falta"),"", "Falta")</f>
        <v>Falta</v>
      </c>
    </row>
    <row r="565" spans="1:6" x14ac:dyDescent="0.25">
      <c r="A565" s="11">
        <f t="shared" si="8"/>
        <v>7703143</v>
      </c>
      <c r="B565" s="17">
        <v>7703143</v>
      </c>
      <c r="C565" s="17" t="s">
        <v>732</v>
      </c>
      <c r="D565" s="17">
        <v>3699.99</v>
      </c>
      <c r="E565" s="17">
        <v>2</v>
      </c>
      <c r="F565" s="7" t="str">
        <f>IF(A565=IFERROR(VLOOKUP(A565,CATALOGO!$B$2:$B$600,1,FALSE),"Falta"),"", "Falta")</f>
        <v>Falta</v>
      </c>
    </row>
    <row r="566" spans="1:6" x14ac:dyDescent="0.25">
      <c r="A566" s="11">
        <f t="shared" si="8"/>
        <v>7703158</v>
      </c>
      <c r="B566" s="17">
        <v>7703158</v>
      </c>
      <c r="C566" s="17" t="s">
        <v>1543</v>
      </c>
      <c r="D566" s="17">
        <v>5699.99</v>
      </c>
      <c r="E566" s="17">
        <v>2</v>
      </c>
      <c r="F566" s="7" t="str">
        <f>IF(A566=IFERROR(VLOOKUP(A566,CATALOGO!$B$2:$B$600,1,FALSE),"Falta"),"", "Falta")</f>
        <v/>
      </c>
    </row>
    <row r="567" spans="1:6" x14ac:dyDescent="0.25">
      <c r="A567" s="11">
        <f t="shared" si="8"/>
        <v>7703185</v>
      </c>
      <c r="B567" s="17">
        <v>7703185</v>
      </c>
      <c r="C567" s="17" t="s">
        <v>728</v>
      </c>
      <c r="D567" s="17">
        <v>999.99</v>
      </c>
      <c r="E567" s="17">
        <v>2</v>
      </c>
      <c r="F567" s="7" t="str">
        <f>IF(A567=IFERROR(VLOOKUP(A567,CATALOGO!$B$2:$B$600,1,FALSE),"Falta"),"", "Falta")</f>
        <v/>
      </c>
    </row>
    <row r="568" spans="1:6" x14ac:dyDescent="0.25">
      <c r="A568" s="11">
        <f t="shared" si="8"/>
        <v>7703260</v>
      </c>
      <c r="B568" s="17">
        <v>7703260</v>
      </c>
      <c r="C568" s="17" t="s">
        <v>749</v>
      </c>
      <c r="D568" s="17">
        <v>424.83</v>
      </c>
      <c r="E568" s="17">
        <v>26</v>
      </c>
      <c r="F568" s="7" t="str">
        <f>IF(A568=IFERROR(VLOOKUP(A568,CATALOGO!$B$2:$B$600,1,FALSE),"Falta"),"", "Falta")</f>
        <v>Falta</v>
      </c>
    </row>
    <row r="569" spans="1:6" x14ac:dyDescent="0.25">
      <c r="A569" s="11">
        <f t="shared" si="8"/>
        <v>7703340</v>
      </c>
      <c r="B569" s="17">
        <v>7703340</v>
      </c>
      <c r="C569" s="17" t="s">
        <v>750</v>
      </c>
      <c r="D569" s="17">
        <v>424.83</v>
      </c>
      <c r="E569" s="17">
        <v>2</v>
      </c>
      <c r="F569" s="7" t="str">
        <f>IF(A569=IFERROR(VLOOKUP(A569,CATALOGO!$B$2:$B$600,1,FALSE),"Falta"),"", "Falta")</f>
        <v>Falta</v>
      </c>
    </row>
    <row r="570" spans="1:6" x14ac:dyDescent="0.25">
      <c r="A570" s="11">
        <f t="shared" si="8"/>
        <v>7703341</v>
      </c>
      <c r="B570" s="17">
        <v>7703341</v>
      </c>
      <c r="C570" s="17" t="s">
        <v>756</v>
      </c>
      <c r="D570" s="17">
        <v>424.83</v>
      </c>
      <c r="E570" s="17">
        <v>10</v>
      </c>
      <c r="F570" s="7" t="str">
        <f>IF(A570=IFERROR(VLOOKUP(A570,CATALOGO!$B$2:$B$600,1,FALSE),"Falta"),"", "Falta")</f>
        <v>Falta</v>
      </c>
    </row>
    <row r="571" spans="1:6" x14ac:dyDescent="0.25">
      <c r="A571" s="11">
        <f t="shared" si="8"/>
        <v>7703540</v>
      </c>
      <c r="B571" s="17">
        <v>7703540</v>
      </c>
      <c r="C571" s="17" t="s">
        <v>755</v>
      </c>
      <c r="D571" s="17">
        <v>447.19</v>
      </c>
      <c r="E571" s="17">
        <v>5</v>
      </c>
      <c r="F571" s="7" t="str">
        <f>IF(A571=IFERROR(VLOOKUP(A571,CATALOGO!$B$2:$B$600,1,FALSE),"Falta"),"", "Falta")</f>
        <v>Falta</v>
      </c>
    </row>
    <row r="572" spans="1:6" x14ac:dyDescent="0.25">
      <c r="A572" s="11">
        <f t="shared" si="8"/>
        <v>7703601</v>
      </c>
      <c r="B572" s="17">
        <v>7703601</v>
      </c>
      <c r="C572" s="17" t="s">
        <v>760</v>
      </c>
      <c r="D572" s="17">
        <v>350.89</v>
      </c>
      <c r="E572" s="17">
        <v>34</v>
      </c>
      <c r="F572" s="7" t="str">
        <f>IF(A572=IFERROR(VLOOKUP(A572,CATALOGO!$B$2:$B$600,1,FALSE),"Falta"),"", "Falta")</f>
        <v/>
      </c>
    </row>
    <row r="573" spans="1:6" x14ac:dyDescent="0.25">
      <c r="A573" s="11">
        <f t="shared" si="8"/>
        <v>7703602</v>
      </c>
      <c r="B573" s="17">
        <v>7703602</v>
      </c>
      <c r="C573" s="17" t="s">
        <v>761</v>
      </c>
      <c r="D573" s="17">
        <v>350.89</v>
      </c>
      <c r="E573" s="17">
        <v>27</v>
      </c>
      <c r="F573" s="7" t="str">
        <f>IF(A573=IFERROR(VLOOKUP(A573,CATALOGO!$B$2:$B$600,1,FALSE),"Falta"),"", "Falta")</f>
        <v/>
      </c>
    </row>
    <row r="574" spans="1:6" x14ac:dyDescent="0.25">
      <c r="A574" s="11">
        <f t="shared" si="8"/>
        <v>7703603</v>
      </c>
      <c r="B574" s="17">
        <v>7703603</v>
      </c>
      <c r="C574" s="17" t="s">
        <v>762</v>
      </c>
      <c r="D574" s="17">
        <v>350.89</v>
      </c>
      <c r="E574" s="17">
        <v>21</v>
      </c>
      <c r="F574" s="7" t="str">
        <f>IF(A574=IFERROR(VLOOKUP(A574,CATALOGO!$B$2:$B$600,1,FALSE),"Falta"),"", "Falta")</f>
        <v/>
      </c>
    </row>
    <row r="575" spans="1:6" x14ac:dyDescent="0.25">
      <c r="A575" s="11">
        <f t="shared" si="8"/>
        <v>7703604</v>
      </c>
      <c r="B575" s="17">
        <v>7703604</v>
      </c>
      <c r="C575" s="17" t="s">
        <v>763</v>
      </c>
      <c r="D575" s="17">
        <v>350.89</v>
      </c>
      <c r="E575" s="17">
        <v>8</v>
      </c>
      <c r="F575" s="7" t="str">
        <f>IF(A575=IFERROR(VLOOKUP(A575,CATALOGO!$B$2:$B$600,1,FALSE),"Falta"),"", "Falta")</f>
        <v/>
      </c>
    </row>
    <row r="576" spans="1:6" x14ac:dyDescent="0.25">
      <c r="A576" s="11">
        <f t="shared" si="8"/>
        <v>7703605</v>
      </c>
      <c r="B576" s="17">
        <v>7703605</v>
      </c>
      <c r="C576" s="17" t="s">
        <v>764</v>
      </c>
      <c r="D576" s="17">
        <v>350.89</v>
      </c>
      <c r="E576" s="17">
        <v>28</v>
      </c>
      <c r="F576" s="7" t="str">
        <f>IF(A576=IFERROR(VLOOKUP(A576,CATALOGO!$B$2:$B$600,1,FALSE),"Falta"),"", "Falta")</f>
        <v/>
      </c>
    </row>
    <row r="577" spans="1:6" x14ac:dyDescent="0.25">
      <c r="A577" s="11">
        <f t="shared" si="8"/>
        <v>7703606</v>
      </c>
      <c r="B577" s="17">
        <v>7703606</v>
      </c>
      <c r="C577" s="17" t="s">
        <v>765</v>
      </c>
      <c r="D577" s="17">
        <v>350.89</v>
      </c>
      <c r="E577" s="17">
        <v>4</v>
      </c>
      <c r="F577" s="7" t="str">
        <f>IF(A577=IFERROR(VLOOKUP(A577,CATALOGO!$B$2:$B$600,1,FALSE),"Falta"),"", "Falta")</f>
        <v/>
      </c>
    </row>
    <row r="578" spans="1:6" x14ac:dyDescent="0.25">
      <c r="A578" s="11">
        <f t="shared" si="8"/>
        <v>7703640</v>
      </c>
      <c r="B578" s="17">
        <v>7703640</v>
      </c>
      <c r="C578" s="17" t="s">
        <v>747</v>
      </c>
      <c r="D578" s="17">
        <v>447.19</v>
      </c>
      <c r="E578" s="17">
        <v>12</v>
      </c>
      <c r="F578" s="7" t="str">
        <f>IF(A578=IFERROR(VLOOKUP(A578,CATALOGO!$B$2:$B$600,1,FALSE),"Falta"),"", "Falta")</f>
        <v>Falta</v>
      </c>
    </row>
    <row r="579" spans="1:6" x14ac:dyDescent="0.25">
      <c r="A579" s="11">
        <f t="shared" si="8"/>
        <v>7703660</v>
      </c>
      <c r="B579" s="17">
        <v>7703660</v>
      </c>
      <c r="C579" s="17" t="s">
        <v>739</v>
      </c>
      <c r="D579" s="17">
        <v>220</v>
      </c>
      <c r="E579" s="17">
        <v>37</v>
      </c>
      <c r="F579" s="7" t="str">
        <f>IF(A579=IFERROR(VLOOKUP(A579,CATALOGO!$B$2:$B$600,1,FALSE),"Falta"),"", "Falta")</f>
        <v/>
      </c>
    </row>
    <row r="580" spans="1:6" x14ac:dyDescent="0.25">
      <c r="A580" s="11">
        <f t="shared" si="8"/>
        <v>7703664</v>
      </c>
      <c r="B580" s="17">
        <v>7703664</v>
      </c>
      <c r="C580" s="17" t="s">
        <v>740</v>
      </c>
      <c r="D580" s="17">
        <v>223.6</v>
      </c>
      <c r="E580" s="17">
        <v>6</v>
      </c>
      <c r="F580" s="7" t="str">
        <f>IF(A580=IFERROR(VLOOKUP(A580,CATALOGO!$B$2:$B$600,1,FALSE),"Falta"),"", "Falta")</f>
        <v>Falta</v>
      </c>
    </row>
    <row r="581" spans="1:6" x14ac:dyDescent="0.25">
      <c r="A581" s="11">
        <f t="shared" si="8"/>
        <v>7703665</v>
      </c>
      <c r="B581" s="17">
        <v>7703665</v>
      </c>
      <c r="C581" s="17" t="s">
        <v>741</v>
      </c>
      <c r="D581" s="17">
        <v>223.6</v>
      </c>
      <c r="E581" s="17">
        <v>5</v>
      </c>
      <c r="F581" s="7" t="str">
        <f>IF(A581=IFERROR(VLOOKUP(A581,CATALOGO!$B$2:$B$600,1,FALSE),"Falta"),"", "Falta")</f>
        <v>Falta</v>
      </c>
    </row>
    <row r="582" spans="1:6" x14ac:dyDescent="0.25">
      <c r="A582" s="11">
        <f t="shared" ref="A582:A645" si="9">IFERROR(B582*1,"")</f>
        <v>7703666</v>
      </c>
      <c r="B582" s="17">
        <v>7703666</v>
      </c>
      <c r="C582" s="17" t="s">
        <v>742</v>
      </c>
      <c r="D582" s="17">
        <v>221.38</v>
      </c>
      <c r="E582" s="17">
        <v>5</v>
      </c>
      <c r="F582" s="7" t="str">
        <f>IF(A582=IFERROR(VLOOKUP(A582,CATALOGO!$B$2:$B$600,1,FALSE),"Falta"),"", "Falta")</f>
        <v>Falta</v>
      </c>
    </row>
    <row r="583" spans="1:6" x14ac:dyDescent="0.25">
      <c r="A583" s="11">
        <f t="shared" si="9"/>
        <v>7703667</v>
      </c>
      <c r="B583" s="17">
        <v>7703667</v>
      </c>
      <c r="C583" s="17" t="s">
        <v>1544</v>
      </c>
      <c r="D583" s="17">
        <v>223.6</v>
      </c>
      <c r="E583" s="17">
        <v>12</v>
      </c>
      <c r="F583" s="7" t="str">
        <f>IF(A583=IFERROR(VLOOKUP(A583,CATALOGO!$B$2:$B$600,1,FALSE),"Falta"),"", "Falta")</f>
        <v>Falta</v>
      </c>
    </row>
    <row r="584" spans="1:6" x14ac:dyDescent="0.25">
      <c r="A584" s="11">
        <f t="shared" si="9"/>
        <v>7703668</v>
      </c>
      <c r="B584" s="17">
        <v>7703668</v>
      </c>
      <c r="C584" s="17" t="s">
        <v>1545</v>
      </c>
      <c r="D584" s="17">
        <v>223.6</v>
      </c>
      <c r="E584" s="17">
        <v>4</v>
      </c>
      <c r="F584" s="7" t="str">
        <f>IF(A584=IFERROR(VLOOKUP(A584,CATALOGO!$B$2:$B$600,1,FALSE),"Falta"),"", "Falta")</f>
        <v>Falta</v>
      </c>
    </row>
    <row r="585" spans="1:6" x14ac:dyDescent="0.25">
      <c r="A585" s="11">
        <f t="shared" si="9"/>
        <v>7703669</v>
      </c>
      <c r="B585" s="17">
        <v>7703669</v>
      </c>
      <c r="C585" s="17" t="s">
        <v>743</v>
      </c>
      <c r="D585" s="17">
        <v>223.6</v>
      </c>
      <c r="E585" s="17">
        <v>17</v>
      </c>
      <c r="F585" s="7" t="str">
        <f>IF(A585=IFERROR(VLOOKUP(A585,CATALOGO!$B$2:$B$600,1,FALSE),"Falta"),"", "Falta")</f>
        <v>Falta</v>
      </c>
    </row>
    <row r="586" spans="1:6" x14ac:dyDescent="0.25">
      <c r="A586" s="11">
        <f t="shared" si="9"/>
        <v>7703670</v>
      </c>
      <c r="B586" s="17">
        <v>7703670</v>
      </c>
      <c r="C586" s="17" t="s">
        <v>745</v>
      </c>
      <c r="D586" s="17">
        <v>447.19</v>
      </c>
      <c r="E586" s="17">
        <v>9</v>
      </c>
      <c r="F586" s="7" t="str">
        <f>IF(A586=IFERROR(VLOOKUP(A586,CATALOGO!$B$2:$B$600,1,FALSE),"Falta"),"", "Falta")</f>
        <v>Falta</v>
      </c>
    </row>
    <row r="587" spans="1:6" x14ac:dyDescent="0.25">
      <c r="A587" s="11">
        <f t="shared" si="9"/>
        <v>7703672</v>
      </c>
      <c r="B587" s="17">
        <v>7703672</v>
      </c>
      <c r="C587" s="17" t="s">
        <v>744</v>
      </c>
      <c r="D587" s="17">
        <v>424.83</v>
      </c>
      <c r="E587" s="17">
        <v>1</v>
      </c>
      <c r="F587" s="7" t="str">
        <f>IF(A587=IFERROR(VLOOKUP(A587,CATALOGO!$B$2:$B$600,1,FALSE),"Falta"),"", "Falta")</f>
        <v>Falta</v>
      </c>
    </row>
    <row r="588" spans="1:6" x14ac:dyDescent="0.25">
      <c r="A588" s="11">
        <f t="shared" si="9"/>
        <v>7703673</v>
      </c>
      <c r="B588" s="17">
        <v>7703673</v>
      </c>
      <c r="C588" s="17" t="s">
        <v>754</v>
      </c>
      <c r="D588" s="17">
        <v>424.83</v>
      </c>
      <c r="E588" s="17">
        <v>3</v>
      </c>
      <c r="F588" s="7" t="str">
        <f>IF(A588=IFERROR(VLOOKUP(A588,CATALOGO!$B$2:$B$600,1,FALSE),"Falta"),"", "Falta")</f>
        <v>Falta</v>
      </c>
    </row>
    <row r="589" spans="1:6" x14ac:dyDescent="0.25">
      <c r="A589" s="11">
        <f t="shared" si="9"/>
        <v>7703674</v>
      </c>
      <c r="B589" s="17">
        <v>7703674</v>
      </c>
      <c r="C589" s="17" t="s">
        <v>753</v>
      </c>
      <c r="D589" s="17">
        <v>424.83</v>
      </c>
      <c r="E589" s="17">
        <v>22</v>
      </c>
      <c r="F589" s="7" t="str">
        <f>IF(A589=IFERROR(VLOOKUP(A589,CATALOGO!$B$2:$B$600,1,FALSE),"Falta"),"", "Falta")</f>
        <v>Falta</v>
      </c>
    </row>
    <row r="590" spans="1:6" x14ac:dyDescent="0.25">
      <c r="A590" s="11">
        <f t="shared" si="9"/>
        <v>7703675</v>
      </c>
      <c r="B590" s="17">
        <v>7703675</v>
      </c>
      <c r="C590" s="17" t="s">
        <v>752</v>
      </c>
      <c r="D590" s="17">
        <v>424.83</v>
      </c>
      <c r="E590" s="17">
        <v>12</v>
      </c>
      <c r="F590" s="7" t="str">
        <f>IF(A590=IFERROR(VLOOKUP(A590,CATALOGO!$B$2:$B$600,1,FALSE),"Falta"),"", "Falta")</f>
        <v>Falta</v>
      </c>
    </row>
    <row r="591" spans="1:6" x14ac:dyDescent="0.25">
      <c r="A591" s="11">
        <f t="shared" si="9"/>
        <v>7703676</v>
      </c>
      <c r="B591" s="17">
        <v>7703676</v>
      </c>
      <c r="C591" s="17" t="s">
        <v>758</v>
      </c>
      <c r="D591" s="17">
        <v>424.83</v>
      </c>
      <c r="E591" s="17">
        <v>11</v>
      </c>
      <c r="F591" s="7" t="str">
        <f>IF(A591=IFERROR(VLOOKUP(A591,CATALOGO!$B$2:$B$600,1,FALSE),"Falta"),"", "Falta")</f>
        <v>Falta</v>
      </c>
    </row>
    <row r="592" spans="1:6" x14ac:dyDescent="0.25">
      <c r="A592" s="11">
        <f t="shared" si="9"/>
        <v>7703678</v>
      </c>
      <c r="B592" s="17">
        <v>7703678</v>
      </c>
      <c r="C592" s="17" t="s">
        <v>757</v>
      </c>
      <c r="D592" s="17">
        <v>424.83</v>
      </c>
      <c r="E592" s="17">
        <v>13</v>
      </c>
      <c r="F592" s="7" t="str">
        <f>IF(A592=IFERROR(VLOOKUP(A592,CATALOGO!$B$2:$B$600,1,FALSE),"Falta"),"", "Falta")</f>
        <v>Falta</v>
      </c>
    </row>
    <row r="593" spans="1:6" x14ac:dyDescent="0.25">
      <c r="A593" s="11">
        <f t="shared" si="9"/>
        <v>7703702</v>
      </c>
      <c r="B593" s="17">
        <v>7703702</v>
      </c>
      <c r="C593" s="17" t="s">
        <v>1546</v>
      </c>
      <c r="D593" s="17">
        <v>290.81</v>
      </c>
      <c r="E593" s="17">
        <v>1</v>
      </c>
      <c r="F593" s="7" t="str">
        <f>IF(A593=IFERROR(VLOOKUP(A593,CATALOGO!$B$2:$B$600,1,FALSE),"Falta"),"", "Falta")</f>
        <v>Falta</v>
      </c>
    </row>
    <row r="594" spans="1:6" x14ac:dyDescent="0.25">
      <c r="A594" s="11">
        <f t="shared" si="9"/>
        <v>7703704</v>
      </c>
      <c r="B594" s="17">
        <v>7703704</v>
      </c>
      <c r="C594" s="17" t="s">
        <v>1547</v>
      </c>
      <c r="D594" s="17">
        <v>290.81</v>
      </c>
      <c r="E594" s="17">
        <v>2</v>
      </c>
      <c r="F594" s="7" t="str">
        <f>IF(A594=IFERROR(VLOOKUP(A594,CATALOGO!$B$2:$B$600,1,FALSE),"Falta"),"", "Falta")</f>
        <v>Falta</v>
      </c>
    </row>
    <row r="595" spans="1:6" x14ac:dyDescent="0.25">
      <c r="A595" s="11">
        <f t="shared" si="9"/>
        <v>7703780</v>
      </c>
      <c r="B595" s="17">
        <v>7703780</v>
      </c>
      <c r="C595" s="17" t="s">
        <v>748</v>
      </c>
      <c r="D595" s="17">
        <v>514.27</v>
      </c>
      <c r="E595" s="17">
        <v>14</v>
      </c>
      <c r="F595" s="7" t="str">
        <f>IF(A595=IFERROR(VLOOKUP(A595,CATALOGO!$B$2:$B$600,1,FALSE),"Falta"),"", "Falta")</f>
        <v>Falta</v>
      </c>
    </row>
    <row r="596" spans="1:6" x14ac:dyDescent="0.25">
      <c r="A596" s="11">
        <f t="shared" si="9"/>
        <v>7703888</v>
      </c>
      <c r="B596" s="17">
        <v>7703888</v>
      </c>
      <c r="C596" s="17" t="s">
        <v>736</v>
      </c>
      <c r="D596" s="17">
        <v>2999.99</v>
      </c>
      <c r="E596" s="17">
        <v>1</v>
      </c>
      <c r="F596" s="7" t="str">
        <f>IF(A596=IFERROR(VLOOKUP(A596,CATALOGO!$B$2:$B$600,1,FALSE),"Falta"),"", "Falta")</f>
        <v>Falta</v>
      </c>
    </row>
    <row r="597" spans="1:6" x14ac:dyDescent="0.25">
      <c r="A597" s="11">
        <f t="shared" si="9"/>
        <v>7703920</v>
      </c>
      <c r="B597" s="17">
        <v>7703920</v>
      </c>
      <c r="C597" s="17" t="s">
        <v>746</v>
      </c>
      <c r="D597" s="17">
        <v>514.27</v>
      </c>
      <c r="E597" s="17">
        <v>15</v>
      </c>
      <c r="F597" s="7" t="str">
        <f>IF(A597=IFERROR(VLOOKUP(A597,CATALOGO!$B$2:$B$600,1,FALSE),"Falta"),"", "Falta")</f>
        <v>Falta</v>
      </c>
    </row>
    <row r="598" spans="1:6" x14ac:dyDescent="0.25">
      <c r="A598" s="11">
        <f t="shared" si="9"/>
        <v>7703994</v>
      </c>
      <c r="B598" s="17">
        <v>7703994</v>
      </c>
      <c r="C598" s="17" t="s">
        <v>734</v>
      </c>
      <c r="D598" s="17">
        <v>1999.99</v>
      </c>
      <c r="E598" s="17">
        <v>20</v>
      </c>
      <c r="F598" s="7" t="str">
        <f>IF(A598=IFERROR(VLOOKUP(A598,CATALOGO!$B$2:$B$600,1,FALSE),"Falta"),"", "Falta")</f>
        <v>Falta</v>
      </c>
    </row>
    <row r="599" spans="1:6" x14ac:dyDescent="0.25">
      <c r="A599" s="11">
        <f t="shared" si="9"/>
        <v>7707001</v>
      </c>
      <c r="B599" s="17">
        <v>7707001</v>
      </c>
      <c r="C599" s="17" t="s">
        <v>1843</v>
      </c>
      <c r="D599" s="17">
        <v>122.44</v>
      </c>
      <c r="E599" s="17">
        <v>53</v>
      </c>
      <c r="F599" s="7" t="str">
        <f>IF(A599=IFERROR(VLOOKUP(A599,CATALOGO!$B$2:$B$600,1,FALSE),"Falta"),"", "Falta")</f>
        <v>Falta</v>
      </c>
    </row>
    <row r="600" spans="1:6" x14ac:dyDescent="0.25">
      <c r="A600" s="11">
        <f t="shared" si="9"/>
        <v>7707002</v>
      </c>
      <c r="B600" s="17">
        <v>7707002</v>
      </c>
      <c r="C600" s="17" t="s">
        <v>928</v>
      </c>
      <c r="D600" s="17">
        <v>190</v>
      </c>
      <c r="E600" s="17">
        <v>49</v>
      </c>
      <c r="F600" s="7" t="str">
        <f>IF(A600=IFERROR(VLOOKUP(A600,CATALOGO!$B$2:$B$600,1,FALSE),"Falta"),"", "Falta")</f>
        <v/>
      </c>
    </row>
    <row r="601" spans="1:6" x14ac:dyDescent="0.25">
      <c r="A601" s="11">
        <f t="shared" si="9"/>
        <v>7707011</v>
      </c>
      <c r="B601" s="17">
        <v>7707011</v>
      </c>
      <c r="C601" s="17" t="s">
        <v>907</v>
      </c>
      <c r="D601" s="17">
        <v>1200</v>
      </c>
      <c r="E601" s="17">
        <v>4</v>
      </c>
      <c r="F601" s="7" t="str">
        <f>IF(A601=IFERROR(VLOOKUP(A601,CATALOGO!$B$2:$B$600,1,FALSE),"Falta"),"", "Falta")</f>
        <v/>
      </c>
    </row>
    <row r="602" spans="1:6" x14ac:dyDescent="0.25">
      <c r="A602" s="11">
        <f t="shared" si="9"/>
        <v>7707013</v>
      </c>
      <c r="B602" s="17">
        <v>7707013</v>
      </c>
      <c r="C602" s="17" t="s">
        <v>1553</v>
      </c>
      <c r="D602" s="17">
        <v>198.97</v>
      </c>
      <c r="E602" s="17">
        <v>59</v>
      </c>
      <c r="F602" s="7" t="str">
        <f>IF(A602=IFERROR(VLOOKUP(A602,CATALOGO!$B$2:$B$600,1,FALSE),"Falta"),"", "Falta")</f>
        <v/>
      </c>
    </row>
    <row r="603" spans="1:6" x14ac:dyDescent="0.25">
      <c r="A603" s="11">
        <f t="shared" si="9"/>
        <v>7707017</v>
      </c>
      <c r="B603" s="17">
        <v>7707017</v>
      </c>
      <c r="C603" s="17" t="s">
        <v>1554</v>
      </c>
      <c r="D603" s="17">
        <v>107.13</v>
      </c>
      <c r="E603" s="17">
        <v>7</v>
      </c>
      <c r="F603" s="7" t="str">
        <f>IF(A603=IFERROR(VLOOKUP(A603,CATALOGO!$B$2:$B$600,1,FALSE),"Falta"),"", "Falta")</f>
        <v>Falta</v>
      </c>
    </row>
    <row r="604" spans="1:6" x14ac:dyDescent="0.25">
      <c r="A604" s="11">
        <f t="shared" si="9"/>
        <v>7707021</v>
      </c>
      <c r="B604" s="17">
        <v>7707021</v>
      </c>
      <c r="C604" s="17" t="s">
        <v>2221</v>
      </c>
      <c r="D604" s="17">
        <v>0</v>
      </c>
      <c r="E604" s="17">
        <v>1</v>
      </c>
      <c r="F604" s="7" t="str">
        <f>IF(A604=IFERROR(VLOOKUP(A604,CATALOGO!$B$2:$B$600,1,FALSE),"Falta"),"", "Falta")</f>
        <v>Falta</v>
      </c>
    </row>
    <row r="605" spans="1:6" x14ac:dyDescent="0.25">
      <c r="A605" s="11">
        <f t="shared" si="9"/>
        <v>7707100</v>
      </c>
      <c r="B605" s="17">
        <v>7707100</v>
      </c>
      <c r="C605" s="17" t="s">
        <v>926</v>
      </c>
      <c r="D605" s="17">
        <v>137.74</v>
      </c>
      <c r="E605" s="17">
        <v>27</v>
      </c>
      <c r="F605" s="7" t="str">
        <f>IF(A605=IFERROR(VLOOKUP(A605,CATALOGO!$B$2:$B$600,1,FALSE),"Falta"),"", "Falta")</f>
        <v/>
      </c>
    </row>
    <row r="606" spans="1:6" x14ac:dyDescent="0.25">
      <c r="A606" s="11">
        <f t="shared" si="9"/>
        <v>7707105</v>
      </c>
      <c r="B606" s="17">
        <v>7707105</v>
      </c>
      <c r="C606" s="17" t="s">
        <v>596</v>
      </c>
      <c r="D606" s="17">
        <v>2299.9899999999998</v>
      </c>
      <c r="E606" s="17">
        <v>1</v>
      </c>
      <c r="F606" s="7" t="str">
        <f>IF(A606=IFERROR(VLOOKUP(A606,CATALOGO!$B$2:$B$600,1,FALSE),"Falta"),"", "Falta")</f>
        <v>Falta</v>
      </c>
    </row>
    <row r="607" spans="1:6" x14ac:dyDescent="0.25">
      <c r="A607" s="11">
        <f t="shared" si="9"/>
        <v>7707115</v>
      </c>
      <c r="B607" s="17">
        <v>7707115</v>
      </c>
      <c r="C607" s="17" t="s">
        <v>937</v>
      </c>
      <c r="D607" s="17">
        <v>168.36</v>
      </c>
      <c r="E607" s="17">
        <v>24</v>
      </c>
      <c r="F607" s="7" t="str">
        <f>IF(A607=IFERROR(VLOOKUP(A607,CATALOGO!$B$2:$B$600,1,FALSE),"Falta"),"", "Falta")</f>
        <v/>
      </c>
    </row>
    <row r="608" spans="1:6" x14ac:dyDescent="0.25">
      <c r="A608" s="11">
        <f t="shared" si="9"/>
        <v>7707139</v>
      </c>
      <c r="B608" s="17">
        <v>7707139</v>
      </c>
      <c r="C608" s="17" t="s">
        <v>914</v>
      </c>
      <c r="D608" s="17">
        <v>531.07000000000005</v>
      </c>
      <c r="E608" s="17">
        <v>2</v>
      </c>
      <c r="F608" s="7" t="str">
        <f>IF(A608=IFERROR(VLOOKUP(A608,CATALOGO!$B$2:$B$600,1,FALSE),"Falta"),"", "Falta")</f>
        <v>Falta</v>
      </c>
    </row>
    <row r="609" spans="1:6" x14ac:dyDescent="0.25">
      <c r="A609" s="11">
        <f t="shared" si="9"/>
        <v>7707154</v>
      </c>
      <c r="B609" s="17">
        <v>7707154</v>
      </c>
      <c r="C609" s="17" t="s">
        <v>934</v>
      </c>
      <c r="D609" s="17">
        <v>96.8</v>
      </c>
      <c r="E609" s="17">
        <v>49</v>
      </c>
      <c r="F609" s="7" t="str">
        <f>IF(A609=IFERROR(VLOOKUP(A609,CATALOGO!$B$2:$B$600,1,FALSE),"Falta"),"", "Falta")</f>
        <v/>
      </c>
    </row>
    <row r="610" spans="1:6" x14ac:dyDescent="0.25">
      <c r="A610" s="11">
        <f t="shared" si="9"/>
        <v>7707159</v>
      </c>
      <c r="B610" s="17">
        <v>7707159</v>
      </c>
      <c r="C610" s="17" t="s">
        <v>14</v>
      </c>
      <c r="D610" s="17">
        <v>228.07</v>
      </c>
      <c r="E610" s="17">
        <v>148</v>
      </c>
      <c r="F610" s="7" t="str">
        <f>IF(A610=IFERROR(VLOOKUP(A610,CATALOGO!$B$2:$B$600,1,FALSE),"Falta"),"", "Falta")</f>
        <v/>
      </c>
    </row>
    <row r="611" spans="1:6" x14ac:dyDescent="0.25">
      <c r="A611" s="11">
        <f t="shared" si="9"/>
        <v>7707160</v>
      </c>
      <c r="B611" s="17">
        <v>7707160</v>
      </c>
      <c r="C611" s="17" t="s">
        <v>930</v>
      </c>
      <c r="D611" s="17">
        <v>362.01</v>
      </c>
      <c r="E611" s="17">
        <v>29</v>
      </c>
      <c r="F611" s="7" t="str">
        <f>IF(A611=IFERROR(VLOOKUP(A611,CATALOGO!$B$2:$B$600,1,FALSE),"Falta"),"", "Falta")</f>
        <v>Falta</v>
      </c>
    </row>
    <row r="612" spans="1:6" x14ac:dyDescent="0.25">
      <c r="A612" s="11">
        <f t="shared" si="9"/>
        <v>7707170</v>
      </c>
      <c r="B612" s="17">
        <v>7707170</v>
      </c>
      <c r="C612" s="17" t="s">
        <v>1556</v>
      </c>
      <c r="D612" s="17">
        <v>189.77</v>
      </c>
      <c r="E612" s="17">
        <v>1</v>
      </c>
      <c r="F612" s="7" t="str">
        <f>IF(A612=IFERROR(VLOOKUP(A612,CATALOGO!$B$2:$B$600,1,FALSE),"Falta"),"", "Falta")</f>
        <v>Falta</v>
      </c>
    </row>
    <row r="613" spans="1:6" x14ac:dyDescent="0.25">
      <c r="A613" s="11">
        <f t="shared" si="9"/>
        <v>7707223</v>
      </c>
      <c r="B613" s="17">
        <v>7707223</v>
      </c>
      <c r="C613" s="17" t="s">
        <v>951</v>
      </c>
      <c r="D613" s="17">
        <v>139.80000000000001</v>
      </c>
      <c r="E613" s="17">
        <v>6</v>
      </c>
      <c r="F613" s="7" t="str">
        <f>IF(A613=IFERROR(VLOOKUP(A613,CATALOGO!$B$2:$B$600,1,FALSE),"Falta"),"", "Falta")</f>
        <v>Falta</v>
      </c>
    </row>
    <row r="614" spans="1:6" x14ac:dyDescent="0.25">
      <c r="A614" s="11">
        <f t="shared" si="9"/>
        <v>7707235</v>
      </c>
      <c r="B614" s="17">
        <v>7707235</v>
      </c>
      <c r="C614" s="17" t="s">
        <v>886</v>
      </c>
      <c r="D614" s="17">
        <v>368.73</v>
      </c>
      <c r="E614" s="17">
        <v>25</v>
      </c>
      <c r="F614" s="7" t="str">
        <f>IF(A614=IFERROR(VLOOKUP(A614,CATALOGO!$B$2:$B$600,1,FALSE),"Falta"),"", "Falta")</f>
        <v>Falta</v>
      </c>
    </row>
    <row r="615" spans="1:6" x14ac:dyDescent="0.25">
      <c r="A615" s="11">
        <f t="shared" si="9"/>
        <v>7707246</v>
      </c>
      <c r="B615" s="17">
        <v>7707246</v>
      </c>
      <c r="C615" s="17" t="s">
        <v>929</v>
      </c>
      <c r="D615" s="17">
        <v>250</v>
      </c>
      <c r="E615" s="17">
        <v>67</v>
      </c>
      <c r="F615" s="7" t="str">
        <f>IF(A615=IFERROR(VLOOKUP(A615,CATALOGO!$B$2:$B$600,1,FALSE),"Falta"),"", "Falta")</f>
        <v/>
      </c>
    </row>
    <row r="616" spans="1:6" x14ac:dyDescent="0.25">
      <c r="A616" s="11">
        <f t="shared" si="9"/>
        <v>7707260</v>
      </c>
      <c r="B616" s="17">
        <v>7707260</v>
      </c>
      <c r="C616" s="17" t="s">
        <v>942</v>
      </c>
      <c r="D616" s="17">
        <v>459.18</v>
      </c>
      <c r="E616" s="17">
        <v>54</v>
      </c>
      <c r="F616" s="7" t="str">
        <f>IF(A616=IFERROR(VLOOKUP(A616,CATALOGO!$B$2:$B$600,1,FALSE),"Falta"),"", "Falta")</f>
        <v>Falta</v>
      </c>
    </row>
    <row r="617" spans="1:6" x14ac:dyDescent="0.25">
      <c r="A617" s="11">
        <f t="shared" si="9"/>
        <v>7707266</v>
      </c>
      <c r="B617" s="17">
        <v>7707266</v>
      </c>
      <c r="C617" s="17" t="s">
        <v>1147</v>
      </c>
      <c r="D617" s="17">
        <v>160.72</v>
      </c>
      <c r="E617" s="17">
        <v>18</v>
      </c>
      <c r="F617" s="7" t="str">
        <f>IF(A617=IFERROR(VLOOKUP(A617,CATALOGO!$B$2:$B$600,1,FALSE),"Falta"),"", "Falta")</f>
        <v/>
      </c>
    </row>
    <row r="618" spans="1:6" x14ac:dyDescent="0.25">
      <c r="A618" s="11">
        <f t="shared" si="9"/>
        <v>7707277</v>
      </c>
      <c r="B618" s="17">
        <v>7707277</v>
      </c>
      <c r="C618" s="17" t="s">
        <v>2235</v>
      </c>
      <c r="D618" s="17">
        <v>96.8</v>
      </c>
      <c r="E618" s="17">
        <v>31</v>
      </c>
      <c r="F618" s="7" t="str">
        <f>IF(A618=IFERROR(VLOOKUP(A618,CATALOGO!$B$2:$B$600,1,FALSE),"Falta"),"", "Falta")</f>
        <v>Falta</v>
      </c>
    </row>
    <row r="619" spans="1:6" x14ac:dyDescent="0.25">
      <c r="A619" s="11">
        <f t="shared" si="9"/>
        <v>7707278</v>
      </c>
      <c r="B619" s="17">
        <v>7707278</v>
      </c>
      <c r="C619" s="17" t="s">
        <v>2236</v>
      </c>
      <c r="D619" s="17">
        <v>121</v>
      </c>
      <c r="E619" s="17">
        <v>35</v>
      </c>
      <c r="F619" s="7" t="str">
        <f>IF(A619=IFERROR(VLOOKUP(A619,CATALOGO!$B$2:$B$600,1,FALSE),"Falta"),"", "Falta")</f>
        <v>Falta</v>
      </c>
    </row>
    <row r="620" spans="1:6" x14ac:dyDescent="0.25">
      <c r="A620" s="11">
        <f t="shared" si="9"/>
        <v>7707279</v>
      </c>
      <c r="B620" s="17">
        <v>7707279</v>
      </c>
      <c r="C620" s="17" t="s">
        <v>888</v>
      </c>
      <c r="D620" s="17">
        <v>119.78</v>
      </c>
      <c r="E620" s="17">
        <v>20</v>
      </c>
      <c r="F620" s="7" t="str">
        <f>IF(A620=IFERROR(VLOOKUP(A620,CATALOGO!$B$2:$B$600,1,FALSE),"Falta"),"", "Falta")</f>
        <v>Falta</v>
      </c>
    </row>
    <row r="621" spans="1:6" x14ac:dyDescent="0.25">
      <c r="A621" s="11">
        <f t="shared" si="9"/>
        <v>7707284</v>
      </c>
      <c r="B621" s="17">
        <v>7707284</v>
      </c>
      <c r="C621" s="17" t="s">
        <v>1559</v>
      </c>
      <c r="D621" s="17">
        <v>102.85</v>
      </c>
      <c r="E621" s="17">
        <v>7</v>
      </c>
      <c r="F621" s="7" t="str">
        <f>IF(A621=IFERROR(VLOOKUP(A621,CATALOGO!$B$2:$B$600,1,FALSE),"Falta"),"", "Falta")</f>
        <v/>
      </c>
    </row>
    <row r="622" spans="1:6" x14ac:dyDescent="0.25">
      <c r="A622" s="11">
        <f t="shared" si="9"/>
        <v>7707290</v>
      </c>
      <c r="B622" s="17">
        <v>7707290</v>
      </c>
      <c r="C622" s="17" t="s">
        <v>895</v>
      </c>
      <c r="D622" s="17">
        <v>596.94000000000005</v>
      </c>
      <c r="E622" s="17">
        <v>14</v>
      </c>
      <c r="F622" s="7" t="str">
        <f>IF(A622=IFERROR(VLOOKUP(A622,CATALOGO!$B$2:$B$600,1,FALSE),"Falta"),"", "Falta")</f>
        <v>Falta</v>
      </c>
    </row>
    <row r="623" spans="1:6" x14ac:dyDescent="0.25">
      <c r="A623" s="11">
        <f t="shared" si="9"/>
        <v>7707292</v>
      </c>
      <c r="B623" s="17">
        <v>7707292</v>
      </c>
      <c r="C623" s="17" t="s">
        <v>1562</v>
      </c>
      <c r="D623" s="17">
        <v>581.64</v>
      </c>
      <c r="E623" s="17">
        <v>1</v>
      </c>
      <c r="F623" s="7" t="str">
        <f>IF(A623=IFERROR(VLOOKUP(A623,CATALOGO!$B$2:$B$600,1,FALSE),"Falta"),"", "Falta")</f>
        <v>Falta</v>
      </c>
    </row>
    <row r="624" spans="1:6" x14ac:dyDescent="0.25">
      <c r="A624" s="11">
        <f t="shared" si="9"/>
        <v>7707298</v>
      </c>
      <c r="B624" s="17">
        <v>7707298</v>
      </c>
      <c r="C624" s="17" t="s">
        <v>1563</v>
      </c>
      <c r="D624" s="17">
        <v>550</v>
      </c>
      <c r="E624" s="17">
        <v>23</v>
      </c>
      <c r="F624" s="7" t="str">
        <f>IF(A624=IFERROR(VLOOKUP(A624,CATALOGO!$B$2:$B$600,1,FALSE),"Falta"),"", "Falta")</f>
        <v/>
      </c>
    </row>
    <row r="625" spans="1:6" x14ac:dyDescent="0.25">
      <c r="A625" s="11">
        <f t="shared" si="9"/>
        <v>7707322</v>
      </c>
      <c r="B625" s="17">
        <v>7707322</v>
      </c>
      <c r="C625" s="17" t="s">
        <v>915</v>
      </c>
      <c r="D625" s="17">
        <v>531.07000000000005</v>
      </c>
      <c r="E625" s="17">
        <v>3</v>
      </c>
      <c r="F625" s="7" t="str">
        <f>IF(A625=IFERROR(VLOOKUP(A625,CATALOGO!$B$2:$B$600,1,FALSE),"Falta"),"", "Falta")</f>
        <v/>
      </c>
    </row>
    <row r="626" spans="1:6" x14ac:dyDescent="0.25">
      <c r="A626" s="11">
        <f t="shared" si="9"/>
        <v>7707357</v>
      </c>
      <c r="B626" s="17">
        <v>7707357</v>
      </c>
      <c r="C626" s="17" t="s">
        <v>1564</v>
      </c>
      <c r="D626" s="17">
        <v>180</v>
      </c>
      <c r="E626" s="17">
        <v>44</v>
      </c>
      <c r="F626" s="7" t="str">
        <f>IF(A626=IFERROR(VLOOKUP(A626,CATALOGO!$B$2:$B$600,1,FALSE),"Falta"),"", "Falta")</f>
        <v/>
      </c>
    </row>
    <row r="627" spans="1:6" x14ac:dyDescent="0.25">
      <c r="A627" s="11">
        <f t="shared" si="9"/>
        <v>7707368</v>
      </c>
      <c r="B627" s="17">
        <v>7707368</v>
      </c>
      <c r="C627" s="17" t="s">
        <v>920</v>
      </c>
      <c r="D627" s="17">
        <v>159.81</v>
      </c>
      <c r="E627" s="17">
        <v>22</v>
      </c>
      <c r="F627" s="7" t="str">
        <f>IF(A627=IFERROR(VLOOKUP(A627,CATALOGO!$B$2:$B$600,1,FALSE),"Falta"),"", "Falta")</f>
        <v/>
      </c>
    </row>
    <row r="628" spans="1:6" x14ac:dyDescent="0.25">
      <c r="A628" s="11">
        <f t="shared" si="9"/>
        <v>7707426</v>
      </c>
      <c r="B628" s="17">
        <v>7707426</v>
      </c>
      <c r="C628" s="17" t="s">
        <v>1565</v>
      </c>
      <c r="D628" s="17">
        <v>149.99</v>
      </c>
      <c r="E628" s="17">
        <v>4</v>
      </c>
      <c r="F628" s="7" t="str">
        <f>IF(A628=IFERROR(VLOOKUP(A628,CATALOGO!$B$2:$B$600,1,FALSE),"Falta"),"", "Falta")</f>
        <v>Falta</v>
      </c>
    </row>
    <row r="629" spans="1:6" x14ac:dyDescent="0.25">
      <c r="A629" s="11">
        <f t="shared" si="9"/>
        <v>7707450</v>
      </c>
      <c r="B629" s="17">
        <v>7707450</v>
      </c>
      <c r="C629" s="17" t="s">
        <v>938</v>
      </c>
      <c r="D629" s="17">
        <v>153.05000000000001</v>
      </c>
      <c r="E629" s="17">
        <v>26</v>
      </c>
      <c r="F629" s="7" t="str">
        <f>IF(A629=IFERROR(VLOOKUP(A629,CATALOGO!$B$2:$B$600,1,FALSE),"Falta"),"", "Falta")</f>
        <v/>
      </c>
    </row>
    <row r="630" spans="1:6" x14ac:dyDescent="0.25">
      <c r="A630" s="11">
        <f t="shared" si="9"/>
        <v>7707452</v>
      </c>
      <c r="B630" s="17">
        <v>7707452</v>
      </c>
      <c r="C630" s="17" t="s">
        <v>944</v>
      </c>
      <c r="D630" s="17">
        <v>120.99</v>
      </c>
      <c r="E630" s="17">
        <v>71</v>
      </c>
      <c r="F630" s="7" t="str">
        <f>IF(A630=IFERROR(VLOOKUP(A630,CATALOGO!$B$2:$B$600,1,FALSE),"Falta"),"", "Falta")</f>
        <v>Falta</v>
      </c>
    </row>
    <row r="631" spans="1:6" x14ac:dyDescent="0.25">
      <c r="A631" s="11">
        <f t="shared" si="9"/>
        <v>7707453</v>
      </c>
      <c r="B631" s="17">
        <v>7707453</v>
      </c>
      <c r="C631" s="17" t="s">
        <v>1566</v>
      </c>
      <c r="D631" s="17">
        <v>133.01</v>
      </c>
      <c r="E631" s="17">
        <v>5</v>
      </c>
      <c r="F631" s="7" t="str">
        <f>IF(A631=IFERROR(VLOOKUP(A631,CATALOGO!$B$2:$B$600,1,FALSE),"Falta"),"", "Falta")</f>
        <v>Falta</v>
      </c>
    </row>
    <row r="632" spans="1:6" x14ac:dyDescent="0.25">
      <c r="A632" s="11">
        <f t="shared" si="9"/>
        <v>7707502</v>
      </c>
      <c r="B632" s="17">
        <v>7707502</v>
      </c>
      <c r="C632" s="17" t="s">
        <v>884</v>
      </c>
      <c r="D632" s="17">
        <v>110</v>
      </c>
      <c r="E632" s="17">
        <v>383</v>
      </c>
      <c r="F632" s="7" t="str">
        <f>IF(A632=IFERROR(VLOOKUP(A632,CATALOGO!$B$2:$B$600,1,FALSE),"Falta"),"", "Falta")</f>
        <v/>
      </c>
    </row>
    <row r="633" spans="1:6" x14ac:dyDescent="0.25">
      <c r="A633" s="11">
        <f t="shared" si="9"/>
        <v>7707504</v>
      </c>
      <c r="B633" s="17">
        <v>7707504</v>
      </c>
      <c r="C633" s="17" t="s">
        <v>890</v>
      </c>
      <c r="D633" s="17">
        <v>99</v>
      </c>
      <c r="E633" s="17">
        <v>31</v>
      </c>
      <c r="F633" s="7" t="str">
        <f>IF(A633=IFERROR(VLOOKUP(A633,CATALOGO!$B$2:$B$600,1,FALSE),"Falta"),"", "Falta")</f>
        <v/>
      </c>
    </row>
    <row r="634" spans="1:6" x14ac:dyDescent="0.25">
      <c r="A634" s="11">
        <f t="shared" si="9"/>
        <v>7707505</v>
      </c>
      <c r="B634" s="17">
        <v>7707505</v>
      </c>
      <c r="C634" s="17" t="s">
        <v>1567</v>
      </c>
      <c r="D634" s="17">
        <v>114.95</v>
      </c>
      <c r="E634" s="17">
        <v>10</v>
      </c>
      <c r="F634" s="7" t="str">
        <f>IF(A634=IFERROR(VLOOKUP(A634,CATALOGO!$B$2:$B$600,1,FALSE),"Falta"),"", "Falta")</f>
        <v/>
      </c>
    </row>
    <row r="635" spans="1:6" x14ac:dyDescent="0.25">
      <c r="A635" s="11">
        <f t="shared" si="9"/>
        <v>7707508</v>
      </c>
      <c r="B635" s="17">
        <v>7707508</v>
      </c>
      <c r="C635" s="17" t="s">
        <v>889</v>
      </c>
      <c r="D635" s="17">
        <v>90.75</v>
      </c>
      <c r="E635" s="17">
        <v>217</v>
      </c>
      <c r="F635" s="7" t="str">
        <f>IF(A635=IFERROR(VLOOKUP(A635,CATALOGO!$B$2:$B$600,1,FALSE),"Falta"),"", "Falta")</f>
        <v/>
      </c>
    </row>
    <row r="636" spans="1:6" x14ac:dyDescent="0.25">
      <c r="A636" s="11">
        <f t="shared" si="9"/>
        <v>7707518</v>
      </c>
      <c r="B636" s="17">
        <v>7707518</v>
      </c>
      <c r="C636" s="17" t="s">
        <v>1568</v>
      </c>
      <c r="D636" s="17">
        <v>587.62</v>
      </c>
      <c r="E636" s="17">
        <v>1</v>
      </c>
      <c r="F636" s="7" t="str">
        <f>IF(A636=IFERROR(VLOOKUP(A636,CATALOGO!$B$2:$B$600,1,FALSE),"Falta"),"", "Falta")</f>
        <v>Falta</v>
      </c>
    </row>
    <row r="637" spans="1:6" x14ac:dyDescent="0.25">
      <c r="A637" s="11">
        <f t="shared" si="9"/>
        <v>7707519</v>
      </c>
      <c r="B637" s="17">
        <v>7707519</v>
      </c>
      <c r="C637" s="17" t="s">
        <v>896</v>
      </c>
      <c r="D637" s="17">
        <v>599.99</v>
      </c>
      <c r="E637" s="17">
        <v>231</v>
      </c>
      <c r="F637" s="7" t="str">
        <f>IF(A637=IFERROR(VLOOKUP(A637,CATALOGO!$B$2:$B$600,1,FALSE),"Falta"),"", "Falta")</f>
        <v/>
      </c>
    </row>
    <row r="638" spans="1:6" x14ac:dyDescent="0.25">
      <c r="A638" s="11">
        <f t="shared" si="9"/>
        <v>7707521</v>
      </c>
      <c r="B638" s="17">
        <v>7707521</v>
      </c>
      <c r="C638" s="17" t="s">
        <v>1569</v>
      </c>
      <c r="D638" s="17">
        <v>120</v>
      </c>
      <c r="E638" s="17">
        <v>273</v>
      </c>
      <c r="F638" s="7" t="str">
        <f>IF(A638=IFERROR(VLOOKUP(A638,CATALOGO!$B$2:$B$600,1,FALSE),"Falta"),"", "Falta")</f>
        <v/>
      </c>
    </row>
    <row r="639" spans="1:6" x14ac:dyDescent="0.25">
      <c r="A639" s="11">
        <f t="shared" si="9"/>
        <v>7707522</v>
      </c>
      <c r="B639" s="17">
        <v>7707522</v>
      </c>
      <c r="C639" s="17" t="s">
        <v>1570</v>
      </c>
      <c r="D639" s="17">
        <v>70</v>
      </c>
      <c r="E639" s="17">
        <v>133</v>
      </c>
      <c r="F639" s="7" t="str">
        <f>IF(A639=IFERROR(VLOOKUP(A639,CATALOGO!$B$2:$B$600,1,FALSE),"Falta"),"", "Falta")</f>
        <v/>
      </c>
    </row>
    <row r="640" spans="1:6" x14ac:dyDescent="0.25">
      <c r="A640" s="11">
        <f t="shared" si="9"/>
        <v>7707524</v>
      </c>
      <c r="B640" s="17">
        <v>7707524</v>
      </c>
      <c r="C640" s="17" t="s">
        <v>1571</v>
      </c>
      <c r="D640" s="17">
        <v>116.18</v>
      </c>
      <c r="E640" s="17">
        <v>4</v>
      </c>
      <c r="F640" s="7" t="str">
        <f>IF(A640=IFERROR(VLOOKUP(A640,CATALOGO!$B$2:$B$600,1,FALSE),"Falta"),"", "Falta")</f>
        <v>Falta</v>
      </c>
    </row>
    <row r="641" spans="1:6" x14ac:dyDescent="0.25">
      <c r="A641" s="11">
        <f t="shared" si="9"/>
        <v>7707528</v>
      </c>
      <c r="B641" s="17">
        <v>7707528</v>
      </c>
      <c r="C641" s="17" t="s">
        <v>923</v>
      </c>
      <c r="D641" s="17">
        <v>169.39</v>
      </c>
      <c r="E641" s="17">
        <v>40</v>
      </c>
      <c r="F641" s="7" t="str">
        <f>IF(A641=IFERROR(VLOOKUP(A641,CATALOGO!$B$2:$B$600,1,FALSE),"Falta"),"", "Falta")</f>
        <v/>
      </c>
    </row>
    <row r="642" spans="1:6" x14ac:dyDescent="0.25">
      <c r="A642" s="11">
        <f t="shared" si="9"/>
        <v>7707532</v>
      </c>
      <c r="B642" s="17">
        <v>7707532</v>
      </c>
      <c r="C642" s="17" t="s">
        <v>1572</v>
      </c>
      <c r="D642" s="17">
        <v>480</v>
      </c>
      <c r="E642" s="17">
        <v>98</v>
      </c>
      <c r="F642" s="7" t="str">
        <f>IF(A642=IFERROR(VLOOKUP(A642,CATALOGO!$B$2:$B$600,1,FALSE),"Falta"),"", "Falta")</f>
        <v/>
      </c>
    </row>
    <row r="643" spans="1:6" x14ac:dyDescent="0.25">
      <c r="A643" s="11">
        <f t="shared" si="9"/>
        <v>7707547</v>
      </c>
      <c r="B643" s="17">
        <v>7707547</v>
      </c>
      <c r="C643" s="17" t="s">
        <v>925</v>
      </c>
      <c r="D643" s="17">
        <v>99.86</v>
      </c>
      <c r="E643" s="17">
        <v>32</v>
      </c>
      <c r="F643" s="7" t="str">
        <f>IF(A643=IFERROR(VLOOKUP(A643,CATALOGO!$B$2:$B$600,1,FALSE),"Falta"),"", "Falta")</f>
        <v/>
      </c>
    </row>
    <row r="644" spans="1:6" x14ac:dyDescent="0.25">
      <c r="A644" s="11">
        <f t="shared" si="9"/>
        <v>7707550</v>
      </c>
      <c r="B644" s="17">
        <v>7707550</v>
      </c>
      <c r="C644" s="17" t="s">
        <v>913</v>
      </c>
      <c r="D644" s="17">
        <v>535.71</v>
      </c>
      <c r="E644" s="17">
        <v>2</v>
      </c>
      <c r="F644" s="7" t="str">
        <f>IF(A644=IFERROR(VLOOKUP(A644,CATALOGO!$B$2:$B$600,1,FALSE),"Falta"),"", "Falta")</f>
        <v>Falta</v>
      </c>
    </row>
    <row r="645" spans="1:6" x14ac:dyDescent="0.25">
      <c r="A645" s="11">
        <f t="shared" si="9"/>
        <v>7707556</v>
      </c>
      <c r="B645" s="17">
        <v>7707556</v>
      </c>
      <c r="C645" s="17" t="s">
        <v>932</v>
      </c>
      <c r="D645" s="17">
        <v>84.99</v>
      </c>
      <c r="E645" s="17">
        <v>111</v>
      </c>
      <c r="F645" s="7" t="str">
        <f>IF(A645=IFERROR(VLOOKUP(A645,CATALOGO!$B$2:$B$600,1,FALSE),"Falta"),"", "Falta")</f>
        <v/>
      </c>
    </row>
    <row r="646" spans="1:6" x14ac:dyDescent="0.25">
      <c r="A646" s="11">
        <f t="shared" ref="A646:A709" si="10">IFERROR(B646*1,"")</f>
        <v>7707557</v>
      </c>
      <c r="B646" s="17">
        <v>7707557</v>
      </c>
      <c r="C646" s="17" t="s">
        <v>1574</v>
      </c>
      <c r="D646" s="17">
        <v>84.99</v>
      </c>
      <c r="E646" s="17">
        <v>165</v>
      </c>
      <c r="F646" s="7" t="str">
        <f>IF(A646=IFERROR(VLOOKUP(A646,CATALOGO!$B$2:$B$600,1,FALSE),"Falta"),"", "Falta")</f>
        <v/>
      </c>
    </row>
    <row r="647" spans="1:6" x14ac:dyDescent="0.25">
      <c r="A647" s="11">
        <f t="shared" si="10"/>
        <v>7707562</v>
      </c>
      <c r="B647" s="17">
        <v>7707562</v>
      </c>
      <c r="C647" s="17" t="s">
        <v>943</v>
      </c>
      <c r="D647" s="17">
        <v>665.49</v>
      </c>
      <c r="E647" s="17">
        <v>30</v>
      </c>
      <c r="F647" s="7" t="str">
        <f>IF(A647=IFERROR(VLOOKUP(A647,CATALOGO!$B$2:$B$600,1,FALSE),"Falta"),"", "Falta")</f>
        <v>Falta</v>
      </c>
    </row>
    <row r="648" spans="1:6" x14ac:dyDescent="0.25">
      <c r="A648" s="11">
        <f t="shared" si="10"/>
        <v>7707563</v>
      </c>
      <c r="B648" s="17">
        <v>7707563</v>
      </c>
      <c r="C648" s="17" t="s">
        <v>905</v>
      </c>
      <c r="D648" s="17">
        <v>143.12</v>
      </c>
      <c r="E648" s="17">
        <v>19</v>
      </c>
      <c r="F648" s="7" t="str">
        <f>IF(A648=IFERROR(VLOOKUP(A648,CATALOGO!$B$2:$B$600,1,FALSE),"Falta"),"", "Falta")</f>
        <v>Falta</v>
      </c>
    </row>
    <row r="649" spans="1:6" x14ac:dyDescent="0.25">
      <c r="A649" s="11">
        <f t="shared" si="10"/>
        <v>7707566</v>
      </c>
      <c r="B649" s="17">
        <v>7707566</v>
      </c>
      <c r="C649" s="17" t="s">
        <v>940</v>
      </c>
      <c r="D649" s="17">
        <v>181.49</v>
      </c>
      <c r="E649" s="17">
        <v>10</v>
      </c>
      <c r="F649" s="7" t="str">
        <f>IF(A649=IFERROR(VLOOKUP(A649,CATALOGO!$B$2:$B$600,1,FALSE),"Falta"),"", "Falta")</f>
        <v>Falta</v>
      </c>
    </row>
    <row r="650" spans="1:6" x14ac:dyDescent="0.25">
      <c r="A650" s="11">
        <f t="shared" si="10"/>
        <v>7707568</v>
      </c>
      <c r="B650" s="17">
        <v>7707568</v>
      </c>
      <c r="C650" s="17" t="s">
        <v>1576</v>
      </c>
      <c r="D650" s="17">
        <v>1650.43</v>
      </c>
      <c r="E650" s="17">
        <v>6</v>
      </c>
      <c r="F650" s="7" t="str">
        <f>IF(A650=IFERROR(VLOOKUP(A650,CATALOGO!$B$2:$B$600,1,FALSE),"Falta"),"", "Falta")</f>
        <v>Falta</v>
      </c>
    </row>
    <row r="651" spans="1:6" x14ac:dyDescent="0.25">
      <c r="A651" s="11">
        <f t="shared" si="10"/>
        <v>7707569</v>
      </c>
      <c r="B651" s="17">
        <v>7707569</v>
      </c>
      <c r="C651" s="17" t="s">
        <v>945</v>
      </c>
      <c r="D651" s="17">
        <v>149.99</v>
      </c>
      <c r="E651" s="17">
        <v>38</v>
      </c>
      <c r="F651" s="7" t="str">
        <f>IF(A651=IFERROR(VLOOKUP(A651,CATALOGO!$B$2:$B$600,1,FALSE),"Falta"),"", "Falta")</f>
        <v>Falta</v>
      </c>
    </row>
    <row r="652" spans="1:6" x14ac:dyDescent="0.25">
      <c r="A652" s="11">
        <f t="shared" si="10"/>
        <v>7707570</v>
      </c>
      <c r="B652" s="17">
        <v>7707570</v>
      </c>
      <c r="C652" s="17" t="s">
        <v>904</v>
      </c>
      <c r="D652" s="17">
        <v>145.19</v>
      </c>
      <c r="E652" s="17">
        <v>49</v>
      </c>
      <c r="F652" s="7" t="str">
        <f>IF(A652=IFERROR(VLOOKUP(A652,CATALOGO!$B$2:$B$600,1,FALSE),"Falta"),"", "Falta")</f>
        <v/>
      </c>
    </row>
    <row r="653" spans="1:6" x14ac:dyDescent="0.25">
      <c r="A653" s="11">
        <f t="shared" si="10"/>
        <v>7707571</v>
      </c>
      <c r="B653" s="17">
        <v>7707571</v>
      </c>
      <c r="C653" s="17" t="s">
        <v>927</v>
      </c>
      <c r="D653" s="17">
        <v>160</v>
      </c>
      <c r="E653" s="17">
        <v>18</v>
      </c>
      <c r="F653" s="7" t="str">
        <f>IF(A653=IFERROR(VLOOKUP(A653,CATALOGO!$B$2:$B$600,1,FALSE),"Falta"),"", "Falta")</f>
        <v/>
      </c>
    </row>
    <row r="654" spans="1:6" x14ac:dyDescent="0.25">
      <c r="A654" s="11">
        <f t="shared" si="10"/>
        <v>7707582</v>
      </c>
      <c r="B654" s="17">
        <v>7707582</v>
      </c>
      <c r="C654" s="17" t="s">
        <v>917</v>
      </c>
      <c r="D654" s="17">
        <v>119.87</v>
      </c>
      <c r="E654" s="17">
        <v>63</v>
      </c>
      <c r="F654" s="7" t="str">
        <f>IF(A654=IFERROR(VLOOKUP(A654,CATALOGO!$B$2:$B$600,1,FALSE),"Falta"),"", "Falta")</f>
        <v>Falta</v>
      </c>
    </row>
    <row r="655" spans="1:6" x14ac:dyDescent="0.25">
      <c r="A655" s="11">
        <f t="shared" si="10"/>
        <v>7707586</v>
      </c>
      <c r="B655" s="17">
        <v>7707586</v>
      </c>
      <c r="C655" s="17" t="s">
        <v>1577</v>
      </c>
      <c r="D655" s="17">
        <v>137.74</v>
      </c>
      <c r="E655" s="17">
        <v>50</v>
      </c>
      <c r="F655" s="7" t="str">
        <f>IF(A655=IFERROR(VLOOKUP(A655,CATALOGO!$B$2:$B$600,1,FALSE),"Falta"),"", "Falta")</f>
        <v/>
      </c>
    </row>
    <row r="656" spans="1:6" x14ac:dyDescent="0.25">
      <c r="A656" s="11">
        <f t="shared" si="10"/>
        <v>7707710</v>
      </c>
      <c r="B656" s="17">
        <v>7707710</v>
      </c>
      <c r="C656" s="17" t="s">
        <v>936</v>
      </c>
      <c r="D656" s="17">
        <v>219.99</v>
      </c>
      <c r="E656" s="17">
        <v>41</v>
      </c>
      <c r="F656" s="7" t="str">
        <f>IF(A656=IFERROR(VLOOKUP(A656,CATALOGO!$B$2:$B$600,1,FALSE),"Falta"),"", "Falta")</f>
        <v/>
      </c>
    </row>
    <row r="657" spans="1:6" x14ac:dyDescent="0.25">
      <c r="A657" s="11">
        <f t="shared" si="10"/>
        <v>7707712</v>
      </c>
      <c r="B657" s="17">
        <v>7707712</v>
      </c>
      <c r="C657" s="17" t="s">
        <v>906</v>
      </c>
      <c r="D657" s="17">
        <v>120.99</v>
      </c>
      <c r="E657" s="17">
        <v>55</v>
      </c>
      <c r="F657" s="7" t="str">
        <f>IF(A657=IFERROR(VLOOKUP(A657,CATALOGO!$B$2:$B$600,1,FALSE),"Falta"),"", "Falta")</f>
        <v/>
      </c>
    </row>
    <row r="658" spans="1:6" x14ac:dyDescent="0.25">
      <c r="A658" s="11">
        <f t="shared" si="10"/>
        <v>7707714</v>
      </c>
      <c r="B658" s="17">
        <v>7707714</v>
      </c>
      <c r="C658" s="17" t="s">
        <v>933</v>
      </c>
      <c r="D658" s="17">
        <v>99.99</v>
      </c>
      <c r="E658" s="17">
        <v>77</v>
      </c>
      <c r="F658" s="7" t="str">
        <f>IF(A658=IFERROR(VLOOKUP(A658,CATALOGO!$B$2:$B$600,1,FALSE),"Falta"),"", "Falta")</f>
        <v/>
      </c>
    </row>
    <row r="659" spans="1:6" x14ac:dyDescent="0.25">
      <c r="A659" s="11">
        <f t="shared" si="10"/>
        <v>7707835</v>
      </c>
      <c r="B659" s="17">
        <v>7707835</v>
      </c>
      <c r="C659" s="17" t="s">
        <v>2267</v>
      </c>
      <c r="D659" s="17">
        <v>0</v>
      </c>
      <c r="E659" s="17">
        <v>1</v>
      </c>
      <c r="F659" s="7" t="str">
        <f>IF(A659=IFERROR(VLOOKUP(A659,CATALOGO!$B$2:$B$600,1,FALSE),"Falta"),"", "Falta")</f>
        <v>Falta</v>
      </c>
    </row>
    <row r="660" spans="1:6" x14ac:dyDescent="0.25">
      <c r="A660" s="11">
        <f t="shared" si="10"/>
        <v>7707922</v>
      </c>
      <c r="B660" s="17">
        <v>7707922</v>
      </c>
      <c r="C660" s="17" t="s">
        <v>1580</v>
      </c>
      <c r="D660" s="17">
        <v>159.96</v>
      </c>
      <c r="E660" s="17">
        <v>35</v>
      </c>
      <c r="F660" s="7" t="str">
        <f>IF(A660=IFERROR(VLOOKUP(A660,CATALOGO!$B$2:$B$600,1,FALSE),"Falta"),"", "Falta")</f>
        <v/>
      </c>
    </row>
    <row r="661" spans="1:6" x14ac:dyDescent="0.25">
      <c r="A661" s="11">
        <f t="shared" si="10"/>
        <v>7707923</v>
      </c>
      <c r="B661" s="17">
        <v>7707923</v>
      </c>
      <c r="C661" s="17" t="s">
        <v>949</v>
      </c>
      <c r="D661" s="17">
        <v>179.99</v>
      </c>
      <c r="E661" s="17">
        <v>28</v>
      </c>
      <c r="F661" s="7" t="str">
        <f>IF(A661=IFERROR(VLOOKUP(A661,CATALOGO!$B$2:$B$600,1,FALSE),"Falta"),"", "Falta")</f>
        <v/>
      </c>
    </row>
    <row r="662" spans="1:6" x14ac:dyDescent="0.25">
      <c r="A662" s="11">
        <f t="shared" si="10"/>
        <v>7707924</v>
      </c>
      <c r="B662" s="17">
        <v>7707924</v>
      </c>
      <c r="C662" s="17" t="s">
        <v>1581</v>
      </c>
      <c r="D662" s="17">
        <v>78.27</v>
      </c>
      <c r="E662" s="17">
        <v>3</v>
      </c>
      <c r="F662" s="7" t="str">
        <f>IF(A662=IFERROR(VLOOKUP(A662,CATALOGO!$B$2:$B$600,1,FALSE),"Falta"),"", "Falta")</f>
        <v>Falta</v>
      </c>
    </row>
    <row r="663" spans="1:6" x14ac:dyDescent="0.25">
      <c r="A663" s="11">
        <f t="shared" si="10"/>
        <v>7707949</v>
      </c>
      <c r="B663" s="17">
        <v>7707949</v>
      </c>
      <c r="C663" s="17" t="s">
        <v>897</v>
      </c>
      <c r="D663" s="17">
        <v>457.67</v>
      </c>
      <c r="E663" s="17">
        <v>7</v>
      </c>
      <c r="F663" s="7" t="str">
        <f>IF(A663=IFERROR(VLOOKUP(A663,CATALOGO!$B$2:$B$600,1,FALSE),"Falta"),"", "Falta")</f>
        <v>Falta</v>
      </c>
    </row>
    <row r="664" spans="1:6" x14ac:dyDescent="0.25">
      <c r="A664" s="11">
        <f t="shared" si="10"/>
        <v>7707950</v>
      </c>
      <c r="B664" s="17">
        <v>7707950</v>
      </c>
      <c r="C664" s="17" t="s">
        <v>899</v>
      </c>
      <c r="D664" s="17">
        <v>587.62</v>
      </c>
      <c r="E664" s="17">
        <v>35</v>
      </c>
      <c r="F664" s="7" t="str">
        <f>IF(A664=IFERROR(VLOOKUP(A664,CATALOGO!$B$2:$B$600,1,FALSE),"Falta"),"", "Falta")</f>
        <v>Falta</v>
      </c>
    </row>
    <row r="665" spans="1:6" x14ac:dyDescent="0.25">
      <c r="A665" s="11">
        <f t="shared" si="10"/>
        <v>7707952</v>
      </c>
      <c r="B665" s="17">
        <v>7707952</v>
      </c>
      <c r="C665" s="17" t="s">
        <v>1583</v>
      </c>
      <c r="D665" s="17">
        <v>604.99</v>
      </c>
      <c r="E665" s="17">
        <v>6</v>
      </c>
      <c r="F665" s="7" t="str">
        <f>IF(A665=IFERROR(VLOOKUP(A665,CATALOGO!$B$2:$B$600,1,FALSE),"Falta"),"", "Falta")</f>
        <v/>
      </c>
    </row>
    <row r="666" spans="1:6" x14ac:dyDescent="0.25">
      <c r="A666" s="11">
        <f t="shared" si="10"/>
        <v>7707987</v>
      </c>
      <c r="B666" s="17">
        <v>7707987</v>
      </c>
      <c r="C666" s="17" t="s">
        <v>918</v>
      </c>
      <c r="D666" s="17">
        <v>145.32</v>
      </c>
      <c r="E666" s="17">
        <v>5</v>
      </c>
      <c r="F666" s="7" t="str">
        <f>IF(A666=IFERROR(VLOOKUP(A666,CATALOGO!$B$2:$B$600,1,FALSE),"Falta"),"", "Falta")</f>
        <v>Falta</v>
      </c>
    </row>
    <row r="667" spans="1:6" x14ac:dyDescent="0.25">
      <c r="A667" s="11">
        <f t="shared" si="10"/>
        <v>7709014</v>
      </c>
      <c r="B667" s="17">
        <v>7709014</v>
      </c>
      <c r="C667" s="17" t="s">
        <v>541</v>
      </c>
      <c r="D667" s="17">
        <v>191.33</v>
      </c>
      <c r="E667" s="17">
        <v>19</v>
      </c>
      <c r="F667" s="7" t="str">
        <f>IF(A667=IFERROR(VLOOKUP(A667,CATALOGO!$B$2:$B$600,1,FALSE),"Falta"),"", "Falta")</f>
        <v/>
      </c>
    </row>
    <row r="668" spans="1:6" x14ac:dyDescent="0.25">
      <c r="A668" s="11">
        <f t="shared" si="10"/>
        <v>7709015</v>
      </c>
      <c r="B668" s="17">
        <v>7709015</v>
      </c>
      <c r="C668" s="17" t="s">
        <v>548</v>
      </c>
      <c r="D668" s="17">
        <v>145.41999999999999</v>
      </c>
      <c r="E668" s="17">
        <v>16</v>
      </c>
      <c r="F668" s="7" t="str">
        <f>IF(A668=IFERROR(VLOOKUP(A668,CATALOGO!$B$2:$B$600,1,FALSE),"Falta"),"", "Falta")</f>
        <v/>
      </c>
    </row>
    <row r="669" spans="1:6" x14ac:dyDescent="0.25">
      <c r="A669" s="11">
        <f t="shared" si="10"/>
        <v>7709016</v>
      </c>
      <c r="B669" s="17">
        <v>7709016</v>
      </c>
      <c r="C669" s="17" t="s">
        <v>511</v>
      </c>
      <c r="D669" s="17">
        <v>229.58</v>
      </c>
      <c r="E669" s="17">
        <v>14</v>
      </c>
      <c r="F669" s="7" t="str">
        <f>IF(A669=IFERROR(VLOOKUP(A669,CATALOGO!$B$2:$B$600,1,FALSE),"Falta"),"", "Falta")</f>
        <v/>
      </c>
    </row>
    <row r="670" spans="1:6" x14ac:dyDescent="0.25">
      <c r="A670" s="11">
        <f t="shared" si="10"/>
        <v>7709017</v>
      </c>
      <c r="B670" s="17">
        <v>7709017</v>
      </c>
      <c r="C670" s="17" t="s">
        <v>518</v>
      </c>
      <c r="D670" s="17">
        <v>325.56</v>
      </c>
      <c r="E670" s="17">
        <v>1</v>
      </c>
      <c r="F670" s="7" t="str">
        <f>IF(A670=IFERROR(VLOOKUP(A670,CATALOGO!$B$2:$B$600,1,FALSE),"Falta"),"", "Falta")</f>
        <v/>
      </c>
    </row>
    <row r="671" spans="1:6" x14ac:dyDescent="0.25">
      <c r="A671" s="11">
        <f t="shared" si="10"/>
        <v>7709021</v>
      </c>
      <c r="B671" s="17">
        <v>7709021</v>
      </c>
      <c r="C671" s="17" t="s">
        <v>508</v>
      </c>
      <c r="D671" s="17">
        <v>191.33</v>
      </c>
      <c r="E671" s="17">
        <v>2</v>
      </c>
      <c r="F671" s="7" t="str">
        <f>IF(A671=IFERROR(VLOOKUP(A671,CATALOGO!$B$2:$B$600,1,FALSE),"Falta"),"", "Falta")</f>
        <v/>
      </c>
    </row>
    <row r="672" spans="1:6" x14ac:dyDescent="0.25">
      <c r="A672" s="11">
        <f t="shared" si="10"/>
        <v>7709041</v>
      </c>
      <c r="B672" s="17">
        <v>7709041</v>
      </c>
      <c r="C672" s="17" t="s">
        <v>524</v>
      </c>
      <c r="D672" s="17">
        <v>413.28</v>
      </c>
      <c r="E672" s="17">
        <v>10</v>
      </c>
      <c r="F672" s="7" t="str">
        <f>IF(A672=IFERROR(VLOOKUP(A672,CATALOGO!$B$2:$B$600,1,FALSE),"Falta"),"", "Falta")</f>
        <v/>
      </c>
    </row>
    <row r="673" spans="1:6" x14ac:dyDescent="0.25">
      <c r="A673" s="11">
        <f t="shared" si="10"/>
        <v>7709042</v>
      </c>
      <c r="B673" s="17">
        <v>7709042</v>
      </c>
      <c r="C673" s="17" t="s">
        <v>565</v>
      </c>
      <c r="D673" s="17">
        <v>298.13</v>
      </c>
      <c r="E673" s="17">
        <v>67</v>
      </c>
      <c r="F673" s="7" t="str">
        <f>IF(A673=IFERROR(VLOOKUP(A673,CATALOGO!$B$2:$B$600,1,FALSE),"Falta"),"", "Falta")</f>
        <v>Falta</v>
      </c>
    </row>
    <row r="674" spans="1:6" x14ac:dyDescent="0.25">
      <c r="A674" s="11">
        <f t="shared" si="10"/>
        <v>7709062</v>
      </c>
      <c r="B674" s="17">
        <v>7709062</v>
      </c>
      <c r="C674" s="17" t="s">
        <v>566</v>
      </c>
      <c r="D674" s="17">
        <v>329.1</v>
      </c>
      <c r="E674" s="17">
        <v>15</v>
      </c>
      <c r="F674" s="7" t="str">
        <f>IF(A674=IFERROR(VLOOKUP(A674,CATALOGO!$B$2:$B$600,1,FALSE),"Falta"),"", "Falta")</f>
        <v/>
      </c>
    </row>
    <row r="675" spans="1:6" x14ac:dyDescent="0.25">
      <c r="A675" s="11">
        <f t="shared" si="10"/>
        <v>7709064</v>
      </c>
      <c r="B675" s="17">
        <v>7709064</v>
      </c>
      <c r="C675" s="17" t="s">
        <v>1134</v>
      </c>
      <c r="D675" s="17">
        <v>151.54</v>
      </c>
      <c r="E675" s="17">
        <v>8</v>
      </c>
      <c r="F675" s="7" t="str">
        <f>IF(A675=IFERROR(VLOOKUP(A675,CATALOGO!$B$2:$B$600,1,FALSE),"Falta"),"", "Falta")</f>
        <v/>
      </c>
    </row>
    <row r="676" spans="1:6" x14ac:dyDescent="0.25">
      <c r="A676" s="11">
        <f t="shared" si="10"/>
        <v>7709065</v>
      </c>
      <c r="B676" s="17">
        <v>7709065</v>
      </c>
      <c r="C676" s="17" t="s">
        <v>1132</v>
      </c>
      <c r="D676" s="17">
        <v>151.54</v>
      </c>
      <c r="E676" s="17">
        <v>8</v>
      </c>
      <c r="F676" s="7" t="str">
        <f>IF(A676=IFERROR(VLOOKUP(A676,CATALOGO!$B$2:$B$600,1,FALSE),"Falta"),"", "Falta")</f>
        <v/>
      </c>
    </row>
    <row r="677" spans="1:6" x14ac:dyDescent="0.25">
      <c r="A677" s="11">
        <f t="shared" si="10"/>
        <v>7709066</v>
      </c>
      <c r="B677" s="17">
        <v>7709066</v>
      </c>
      <c r="C677" s="17" t="s">
        <v>1136</v>
      </c>
      <c r="D677" s="17">
        <v>168.38</v>
      </c>
      <c r="E677" s="17">
        <v>7</v>
      </c>
      <c r="F677" s="7" t="str">
        <f>IF(A677=IFERROR(VLOOKUP(A677,CATALOGO!$B$2:$B$600,1,FALSE),"Falta"),"", "Falta")</f>
        <v/>
      </c>
    </row>
    <row r="678" spans="1:6" x14ac:dyDescent="0.25">
      <c r="A678" s="11">
        <f t="shared" si="10"/>
        <v>7709067</v>
      </c>
      <c r="B678" s="17">
        <v>7709067</v>
      </c>
      <c r="C678" s="17" t="s">
        <v>1137</v>
      </c>
      <c r="D678" s="17">
        <v>168.38</v>
      </c>
      <c r="E678" s="17">
        <v>10</v>
      </c>
      <c r="F678" s="7" t="str">
        <f>IF(A678=IFERROR(VLOOKUP(A678,CATALOGO!$B$2:$B$600,1,FALSE),"Falta"),"", "Falta")</f>
        <v/>
      </c>
    </row>
    <row r="679" spans="1:6" x14ac:dyDescent="0.25">
      <c r="A679" s="11">
        <f t="shared" si="10"/>
        <v>7709068</v>
      </c>
      <c r="B679" s="17">
        <v>7709068</v>
      </c>
      <c r="C679" s="17" t="s">
        <v>1133</v>
      </c>
      <c r="D679" s="17">
        <v>151.54</v>
      </c>
      <c r="E679" s="17">
        <v>5</v>
      </c>
      <c r="F679" s="7" t="str">
        <f>IF(A679=IFERROR(VLOOKUP(A679,CATALOGO!$B$2:$B$600,1,FALSE),"Falta"),"", "Falta")</f>
        <v/>
      </c>
    </row>
    <row r="680" spans="1:6" x14ac:dyDescent="0.25">
      <c r="A680" s="11">
        <f t="shared" si="10"/>
        <v>7709069</v>
      </c>
      <c r="B680" s="17">
        <v>7709069</v>
      </c>
      <c r="C680" s="17" t="s">
        <v>1135</v>
      </c>
      <c r="D680" s="17">
        <v>162.77000000000001</v>
      </c>
      <c r="E680" s="17">
        <v>4</v>
      </c>
      <c r="F680" s="7" t="str">
        <f>IF(A680=IFERROR(VLOOKUP(A680,CATALOGO!$B$2:$B$600,1,FALSE),"Falta"),"", "Falta")</f>
        <v/>
      </c>
    </row>
    <row r="681" spans="1:6" x14ac:dyDescent="0.25">
      <c r="A681" s="11">
        <f t="shared" si="10"/>
        <v>7709103</v>
      </c>
      <c r="B681" s="17">
        <v>7709103</v>
      </c>
      <c r="C681" s="17" t="s">
        <v>515</v>
      </c>
      <c r="D681" s="17">
        <v>350.58</v>
      </c>
      <c r="E681" s="17">
        <v>7</v>
      </c>
      <c r="F681" s="7" t="str">
        <f>IF(A681=IFERROR(VLOOKUP(A681,CATALOGO!$B$2:$B$600,1,FALSE),"Falta"),"", "Falta")</f>
        <v/>
      </c>
    </row>
    <row r="682" spans="1:6" x14ac:dyDescent="0.25">
      <c r="A682" s="11">
        <f t="shared" si="10"/>
        <v>7709106</v>
      </c>
      <c r="B682" s="17">
        <v>7709106</v>
      </c>
      <c r="C682" s="17" t="s">
        <v>517</v>
      </c>
      <c r="D682" s="17">
        <v>241.99</v>
      </c>
      <c r="E682" s="17">
        <v>6</v>
      </c>
      <c r="F682" s="7" t="str">
        <f>IF(A682=IFERROR(VLOOKUP(A682,CATALOGO!$B$2:$B$600,1,FALSE),"Falta"),"", "Falta")</f>
        <v>Falta</v>
      </c>
    </row>
    <row r="683" spans="1:6" x14ac:dyDescent="0.25">
      <c r="A683" s="11">
        <f t="shared" si="10"/>
        <v>7709122</v>
      </c>
      <c r="B683" s="17">
        <v>7709122</v>
      </c>
      <c r="C683" s="17" t="s">
        <v>1585</v>
      </c>
      <c r="D683" s="17">
        <v>2178</v>
      </c>
      <c r="E683" s="17">
        <v>5</v>
      </c>
      <c r="F683" s="7" t="str">
        <f>IF(A683=IFERROR(VLOOKUP(A683,CATALOGO!$B$2:$B$600,1,FALSE),"Falta"),"", "Falta")</f>
        <v>Falta</v>
      </c>
    </row>
    <row r="684" spans="1:6" x14ac:dyDescent="0.25">
      <c r="A684" s="11">
        <f t="shared" si="10"/>
        <v>7709137</v>
      </c>
      <c r="B684" s="17">
        <v>7709137</v>
      </c>
      <c r="C684" s="17" t="s">
        <v>522</v>
      </c>
      <c r="D684" s="17">
        <v>229.58</v>
      </c>
      <c r="E684" s="17">
        <v>15</v>
      </c>
      <c r="F684" s="7" t="str">
        <f>IF(A684=IFERROR(VLOOKUP(A684,CATALOGO!$B$2:$B$600,1,FALSE),"Falta"),"", "Falta")</f>
        <v>Falta</v>
      </c>
    </row>
    <row r="685" spans="1:6" x14ac:dyDescent="0.25">
      <c r="A685" s="11">
        <f t="shared" si="10"/>
        <v>7709138</v>
      </c>
      <c r="B685" s="17">
        <v>7709138</v>
      </c>
      <c r="C685" s="17" t="s">
        <v>1586</v>
      </c>
      <c r="D685" s="17">
        <v>336.74</v>
      </c>
      <c r="E685" s="17">
        <v>114</v>
      </c>
      <c r="F685" s="7" t="str">
        <f>IF(A685=IFERROR(VLOOKUP(A685,CATALOGO!$B$2:$B$600,1,FALSE),"Falta"),"", "Falta")</f>
        <v/>
      </c>
    </row>
    <row r="686" spans="1:6" x14ac:dyDescent="0.25">
      <c r="A686" s="11">
        <f t="shared" si="10"/>
        <v>7709156</v>
      </c>
      <c r="B686" s="17">
        <v>7709156</v>
      </c>
      <c r="C686" s="17" t="s">
        <v>553</v>
      </c>
      <c r="D686" s="17">
        <v>350.58</v>
      </c>
      <c r="E686" s="17">
        <v>36</v>
      </c>
      <c r="F686" s="7" t="str">
        <f>IF(A686=IFERROR(VLOOKUP(A686,CATALOGO!$B$2:$B$600,1,FALSE),"Falta"),"", "Falta")</f>
        <v/>
      </c>
    </row>
    <row r="687" spans="1:6" x14ac:dyDescent="0.25">
      <c r="A687" s="11">
        <f t="shared" si="10"/>
        <v>7709158</v>
      </c>
      <c r="B687" s="17">
        <v>7709158</v>
      </c>
      <c r="C687" s="17" t="s">
        <v>1588</v>
      </c>
      <c r="D687" s="17">
        <v>435.73</v>
      </c>
      <c r="E687" s="17">
        <v>44</v>
      </c>
      <c r="F687" s="7" t="str">
        <f>IF(A687=IFERROR(VLOOKUP(A687,CATALOGO!$B$2:$B$600,1,FALSE),"Falta"),"", "Falta")</f>
        <v/>
      </c>
    </row>
    <row r="688" spans="1:6" x14ac:dyDescent="0.25">
      <c r="A688" s="11">
        <f t="shared" si="10"/>
        <v>7709160</v>
      </c>
      <c r="B688" s="17">
        <v>7709160</v>
      </c>
      <c r="C688" s="17" t="s">
        <v>571</v>
      </c>
      <c r="D688" s="17">
        <v>319.44</v>
      </c>
      <c r="E688" s="17">
        <v>528</v>
      </c>
      <c r="F688" s="7" t="str">
        <f>IF(A688=IFERROR(VLOOKUP(A688,CATALOGO!$B$2:$B$600,1,FALSE),"Falta"),"", "Falta")</f>
        <v>Falta</v>
      </c>
    </row>
    <row r="689" spans="1:6" x14ac:dyDescent="0.25">
      <c r="A689" s="11">
        <f t="shared" si="10"/>
        <v>7709204</v>
      </c>
      <c r="B689" s="17">
        <v>7709204</v>
      </c>
      <c r="C689" s="17" t="s">
        <v>500</v>
      </c>
      <c r="D689" s="17">
        <v>275.48</v>
      </c>
      <c r="E689" s="17">
        <v>2</v>
      </c>
      <c r="F689" s="7" t="str">
        <f>IF(A689=IFERROR(VLOOKUP(A689,CATALOGO!$B$2:$B$600,1,FALSE),"Falta"),"", "Falta")</f>
        <v/>
      </c>
    </row>
    <row r="690" spans="1:6" x14ac:dyDescent="0.25">
      <c r="A690" s="11">
        <f t="shared" si="10"/>
        <v>7709228</v>
      </c>
      <c r="B690" s="17">
        <v>7709228</v>
      </c>
      <c r="C690" s="17" t="s">
        <v>1589</v>
      </c>
      <c r="D690" s="17">
        <v>275.19</v>
      </c>
      <c r="E690" s="17">
        <v>24</v>
      </c>
      <c r="F690" s="7" t="str">
        <f>IF(A690=IFERROR(VLOOKUP(A690,CATALOGO!$B$2:$B$600,1,FALSE),"Falta"),"", "Falta")</f>
        <v>Falta</v>
      </c>
    </row>
    <row r="691" spans="1:6" x14ac:dyDescent="0.25">
      <c r="A691" s="11">
        <f t="shared" si="10"/>
        <v>7709229</v>
      </c>
      <c r="B691" s="17">
        <v>7709229</v>
      </c>
      <c r="C691" s="17" t="s">
        <v>567</v>
      </c>
      <c r="D691" s="17">
        <v>275.51</v>
      </c>
      <c r="E691" s="17">
        <v>78</v>
      </c>
      <c r="F691" s="7" t="str">
        <f>IF(A691=IFERROR(VLOOKUP(A691,CATALOGO!$B$2:$B$600,1,FALSE),"Falta"),"", "Falta")</f>
        <v>Falta</v>
      </c>
    </row>
    <row r="692" spans="1:6" x14ac:dyDescent="0.25">
      <c r="A692" s="11">
        <f t="shared" si="10"/>
        <v>7709233</v>
      </c>
      <c r="B692" s="17">
        <v>7709233</v>
      </c>
      <c r="C692" s="17" t="s">
        <v>510</v>
      </c>
      <c r="D692" s="17">
        <v>169.72</v>
      </c>
      <c r="E692" s="17">
        <v>24</v>
      </c>
      <c r="F692" s="7" t="str">
        <f>IF(A692=IFERROR(VLOOKUP(A692,CATALOGO!$B$2:$B$600,1,FALSE),"Falta"),"", "Falta")</f>
        <v/>
      </c>
    </row>
    <row r="693" spans="1:6" x14ac:dyDescent="0.25">
      <c r="A693" s="11">
        <f t="shared" si="10"/>
        <v>7709245</v>
      </c>
      <c r="B693" s="17">
        <v>7709245</v>
      </c>
      <c r="C693" s="17" t="s">
        <v>527</v>
      </c>
      <c r="D693" s="17">
        <v>381.14</v>
      </c>
      <c r="E693" s="17">
        <v>44</v>
      </c>
      <c r="F693" s="7" t="str">
        <f>IF(A693=IFERROR(VLOOKUP(A693,CATALOGO!$B$2:$B$600,1,FALSE),"Falta"),"", "Falta")</f>
        <v/>
      </c>
    </row>
    <row r="694" spans="1:6" x14ac:dyDescent="0.25">
      <c r="A694" s="11">
        <f t="shared" si="10"/>
        <v>7709300</v>
      </c>
      <c r="B694" s="17">
        <v>7709300</v>
      </c>
      <c r="C694" s="17" t="s">
        <v>572</v>
      </c>
      <c r="D694" s="17">
        <v>229.6</v>
      </c>
      <c r="E694" s="17">
        <v>13</v>
      </c>
      <c r="F694" s="7" t="str">
        <f>IF(A694=IFERROR(VLOOKUP(A694,CATALOGO!$B$2:$B$600,1,FALSE),"Falta"),"", "Falta")</f>
        <v>Falta</v>
      </c>
    </row>
    <row r="695" spans="1:6" x14ac:dyDescent="0.25">
      <c r="A695" s="11">
        <f t="shared" si="10"/>
        <v>7709304</v>
      </c>
      <c r="B695" s="17">
        <v>7709304</v>
      </c>
      <c r="C695" s="17" t="s">
        <v>568</v>
      </c>
      <c r="D695" s="17">
        <v>325.56</v>
      </c>
      <c r="E695" s="17">
        <v>1</v>
      </c>
      <c r="F695" s="7" t="str">
        <f>IF(A695=IFERROR(VLOOKUP(A695,CATALOGO!$B$2:$B$600,1,FALSE),"Falta"),"", "Falta")</f>
        <v>Falta</v>
      </c>
    </row>
    <row r="696" spans="1:6" x14ac:dyDescent="0.25">
      <c r="A696" s="11">
        <f t="shared" si="10"/>
        <v>7709306</v>
      </c>
      <c r="B696" s="17">
        <v>7709306</v>
      </c>
      <c r="C696" s="17" t="s">
        <v>569</v>
      </c>
      <c r="D696" s="17">
        <v>325.56</v>
      </c>
      <c r="E696" s="17">
        <v>9</v>
      </c>
      <c r="F696" s="7" t="str">
        <f>IF(A696=IFERROR(VLOOKUP(A696,CATALOGO!$B$2:$B$600,1,FALSE),"Falta"),"", "Falta")</f>
        <v>Falta</v>
      </c>
    </row>
    <row r="697" spans="1:6" x14ac:dyDescent="0.25">
      <c r="A697" s="11">
        <f t="shared" si="10"/>
        <v>7709333</v>
      </c>
      <c r="B697" s="17">
        <v>7709333</v>
      </c>
      <c r="C697" s="17" t="s">
        <v>537</v>
      </c>
      <c r="D697" s="17">
        <v>333.91</v>
      </c>
      <c r="E697" s="17">
        <v>30</v>
      </c>
      <c r="F697" s="7" t="str">
        <f>IF(A697=IFERROR(VLOOKUP(A697,CATALOGO!$B$2:$B$600,1,FALSE),"Falta"),"", "Falta")</f>
        <v/>
      </c>
    </row>
    <row r="698" spans="1:6" x14ac:dyDescent="0.25">
      <c r="A698" s="11">
        <f t="shared" si="10"/>
        <v>7709341</v>
      </c>
      <c r="B698" s="17">
        <v>7709341</v>
      </c>
      <c r="C698" s="17" t="s">
        <v>1591</v>
      </c>
      <c r="D698" s="17">
        <v>230</v>
      </c>
      <c r="E698" s="17">
        <v>6</v>
      </c>
      <c r="F698" s="7" t="str">
        <f>IF(A698=IFERROR(VLOOKUP(A698,CATALOGO!$B$2:$B$600,1,FALSE),"Falta"),"", "Falta")</f>
        <v>Falta</v>
      </c>
    </row>
    <row r="699" spans="1:6" x14ac:dyDescent="0.25">
      <c r="A699" s="11">
        <f t="shared" si="10"/>
        <v>7709350</v>
      </c>
      <c r="B699" s="17">
        <v>7709350</v>
      </c>
      <c r="C699" s="17" t="s">
        <v>555</v>
      </c>
      <c r="D699" s="17">
        <v>335.6</v>
      </c>
      <c r="E699" s="17">
        <v>1</v>
      </c>
      <c r="F699" s="7" t="str">
        <f>IF(A699=IFERROR(VLOOKUP(A699,CATALOGO!$B$2:$B$600,1,FALSE),"Falta"),"", "Falta")</f>
        <v>Falta</v>
      </c>
    </row>
    <row r="700" spans="1:6" x14ac:dyDescent="0.25">
      <c r="A700" s="11">
        <f t="shared" si="10"/>
        <v>7709365</v>
      </c>
      <c r="B700" s="17">
        <v>7709365</v>
      </c>
      <c r="C700" s="17" t="s">
        <v>505</v>
      </c>
      <c r="D700" s="17">
        <v>223.72</v>
      </c>
      <c r="E700" s="17">
        <v>22</v>
      </c>
      <c r="F700" s="7" t="str">
        <f>IF(A700=IFERROR(VLOOKUP(A700,CATALOGO!$B$2:$B$600,1,FALSE),"Falta"),"", "Falta")</f>
        <v/>
      </c>
    </row>
    <row r="701" spans="1:6" x14ac:dyDescent="0.25">
      <c r="A701" s="11">
        <f t="shared" si="10"/>
        <v>7709380</v>
      </c>
      <c r="B701" s="17">
        <v>7709380</v>
      </c>
      <c r="C701" s="17" t="s">
        <v>542</v>
      </c>
      <c r="D701" s="17">
        <v>325.52</v>
      </c>
      <c r="E701" s="17">
        <v>18</v>
      </c>
      <c r="F701" s="7" t="str">
        <f>IF(A701=IFERROR(VLOOKUP(A701,CATALOGO!$B$2:$B$600,1,FALSE),"Falta"),"", "Falta")</f>
        <v/>
      </c>
    </row>
    <row r="702" spans="1:6" x14ac:dyDescent="0.25">
      <c r="A702" s="11">
        <f t="shared" si="10"/>
        <v>7709381</v>
      </c>
      <c r="B702" s="17">
        <v>7709381</v>
      </c>
      <c r="C702" s="17" t="s">
        <v>2321</v>
      </c>
      <c r="D702" s="17">
        <v>0</v>
      </c>
      <c r="E702" s="17">
        <v>39</v>
      </c>
      <c r="F702" s="7" t="str">
        <f>IF(A702=IFERROR(VLOOKUP(A702,CATALOGO!$B$2:$B$600,1,FALSE),"Falta"),"", "Falta")</f>
        <v>Falta</v>
      </c>
    </row>
    <row r="703" spans="1:6" x14ac:dyDescent="0.25">
      <c r="A703" s="11">
        <f t="shared" si="10"/>
        <v>7709396</v>
      </c>
      <c r="B703" s="17">
        <v>7709396</v>
      </c>
      <c r="C703" s="17" t="s">
        <v>1592</v>
      </c>
      <c r="D703" s="17">
        <v>471.43</v>
      </c>
      <c r="E703" s="17">
        <v>18</v>
      </c>
      <c r="F703" s="7" t="str">
        <f>IF(A703=IFERROR(VLOOKUP(A703,CATALOGO!$B$2:$B$600,1,FALSE),"Falta"),"", "Falta")</f>
        <v/>
      </c>
    </row>
    <row r="704" spans="1:6" x14ac:dyDescent="0.25">
      <c r="A704" s="11">
        <f t="shared" si="10"/>
        <v>7709401</v>
      </c>
      <c r="B704" s="17">
        <v>7709401</v>
      </c>
      <c r="C704" s="17" t="s">
        <v>509</v>
      </c>
      <c r="D704" s="17">
        <v>191.33</v>
      </c>
      <c r="E704" s="17">
        <v>3</v>
      </c>
      <c r="F704" s="7" t="str">
        <f>IF(A704=IFERROR(VLOOKUP(A704,CATALOGO!$B$2:$B$600,1,FALSE),"Falta"),"", "Falta")</f>
        <v/>
      </c>
    </row>
    <row r="705" spans="1:6" x14ac:dyDescent="0.25">
      <c r="A705" s="11">
        <f t="shared" si="10"/>
        <v>7709410</v>
      </c>
      <c r="B705" s="17">
        <v>7709410</v>
      </c>
      <c r="C705" s="17" t="s">
        <v>573</v>
      </c>
      <c r="D705" s="17">
        <v>447.47</v>
      </c>
      <c r="E705" s="17">
        <v>76</v>
      </c>
      <c r="F705" s="7" t="str">
        <f>IF(A705=IFERROR(VLOOKUP(A705,CATALOGO!$B$2:$B$600,1,FALSE),"Falta"),"", "Falta")</f>
        <v>Falta</v>
      </c>
    </row>
    <row r="706" spans="1:6" x14ac:dyDescent="0.25">
      <c r="A706" s="11">
        <f t="shared" si="10"/>
        <v>7709420</v>
      </c>
      <c r="B706" s="17">
        <v>7709420</v>
      </c>
      <c r="C706" s="17" t="s">
        <v>549</v>
      </c>
      <c r="D706" s="17">
        <v>275.48</v>
      </c>
      <c r="E706" s="17">
        <v>25</v>
      </c>
      <c r="F706" s="7" t="str">
        <f>IF(A706=IFERROR(VLOOKUP(A706,CATALOGO!$B$2:$B$600,1,FALSE),"Falta"),"", "Falta")</f>
        <v/>
      </c>
    </row>
    <row r="707" spans="1:6" x14ac:dyDescent="0.25">
      <c r="A707" s="11">
        <f t="shared" si="10"/>
        <v>7709425</v>
      </c>
      <c r="B707" s="17">
        <v>7709425</v>
      </c>
      <c r="C707" s="17" t="s">
        <v>582</v>
      </c>
      <c r="D707" s="17">
        <v>120.99</v>
      </c>
      <c r="E707" s="17">
        <v>9</v>
      </c>
      <c r="F707" s="7" t="str">
        <f>IF(A707=IFERROR(VLOOKUP(A707,CATALOGO!$B$2:$B$600,1,FALSE),"Falta"),"", "Falta")</f>
        <v>Falta</v>
      </c>
    </row>
    <row r="708" spans="1:6" x14ac:dyDescent="0.25">
      <c r="A708" s="11">
        <f t="shared" si="10"/>
        <v>7709439</v>
      </c>
      <c r="B708" s="17">
        <v>7709439</v>
      </c>
      <c r="C708" s="17" t="s">
        <v>502</v>
      </c>
      <c r="D708" s="17">
        <v>120.99</v>
      </c>
      <c r="E708" s="17">
        <v>111</v>
      </c>
      <c r="F708" s="7" t="str">
        <f>IF(A708=IFERROR(VLOOKUP(A708,CATALOGO!$B$2:$B$600,1,FALSE),"Falta"),"", "Falta")</f>
        <v>Falta</v>
      </c>
    </row>
    <row r="709" spans="1:6" x14ac:dyDescent="0.25">
      <c r="A709" s="11">
        <f t="shared" si="10"/>
        <v>7709440</v>
      </c>
      <c r="B709" s="17">
        <v>7709440</v>
      </c>
      <c r="C709" s="17" t="s">
        <v>1593</v>
      </c>
      <c r="D709" s="17">
        <v>402.73</v>
      </c>
      <c r="E709" s="17">
        <v>17</v>
      </c>
      <c r="F709" s="7" t="str">
        <f>IF(A709=IFERROR(VLOOKUP(A709,CATALOGO!$B$2:$B$600,1,FALSE),"Falta"),"", "Falta")</f>
        <v>Falta</v>
      </c>
    </row>
    <row r="710" spans="1:6" x14ac:dyDescent="0.25">
      <c r="A710" s="11">
        <f t="shared" ref="A710:A773" si="11">IFERROR(B710*1,"")</f>
        <v>7709442</v>
      </c>
      <c r="B710" s="17">
        <v>7709442</v>
      </c>
      <c r="C710" s="17" t="s">
        <v>1594</v>
      </c>
      <c r="D710" s="17">
        <v>335.63</v>
      </c>
      <c r="E710" s="17">
        <v>9</v>
      </c>
      <c r="F710" s="7" t="str">
        <f>IF(A710=IFERROR(VLOOKUP(A710,CATALOGO!$B$2:$B$600,1,FALSE),"Falta"),"", "Falta")</f>
        <v>Falta</v>
      </c>
    </row>
    <row r="711" spans="1:6" x14ac:dyDescent="0.25">
      <c r="A711" s="11">
        <f t="shared" si="11"/>
        <v>7709443</v>
      </c>
      <c r="B711" s="17">
        <v>7709443</v>
      </c>
      <c r="C711" s="17" t="s">
        <v>2330</v>
      </c>
      <c r="D711" s="17">
        <v>0</v>
      </c>
      <c r="E711" s="17">
        <v>13</v>
      </c>
      <c r="F711" s="7" t="str">
        <f>IF(A711=IFERROR(VLOOKUP(A711,CATALOGO!$B$2:$B$600,1,FALSE),"Falta"),"", "Falta")</f>
        <v>Falta</v>
      </c>
    </row>
    <row r="712" spans="1:6" x14ac:dyDescent="0.25">
      <c r="A712" s="11">
        <f t="shared" si="11"/>
        <v>7709451</v>
      </c>
      <c r="B712" s="17">
        <v>7709451</v>
      </c>
      <c r="C712" s="17" t="s">
        <v>597</v>
      </c>
      <c r="D712" s="17">
        <v>290.64</v>
      </c>
      <c r="E712" s="17">
        <v>6</v>
      </c>
      <c r="F712" s="7" t="str">
        <f>IF(A712=IFERROR(VLOOKUP(A712,CATALOGO!$B$2:$B$600,1,FALSE),"Falta"),"", "Falta")</f>
        <v>Falta</v>
      </c>
    </row>
    <row r="713" spans="1:6" x14ac:dyDescent="0.25">
      <c r="A713" s="11">
        <f t="shared" si="11"/>
        <v>7709456</v>
      </c>
      <c r="B713" s="17">
        <v>7709456</v>
      </c>
      <c r="C713" s="17" t="s">
        <v>1595</v>
      </c>
      <c r="D713" s="17">
        <v>381.14</v>
      </c>
      <c r="E713" s="17">
        <v>28</v>
      </c>
      <c r="F713" s="7" t="str">
        <f>IF(A713=IFERROR(VLOOKUP(A713,CATALOGO!$B$2:$B$600,1,FALSE),"Falta"),"", "Falta")</f>
        <v/>
      </c>
    </row>
    <row r="714" spans="1:6" x14ac:dyDescent="0.25">
      <c r="A714" s="11">
        <f t="shared" si="11"/>
        <v>7709458</v>
      </c>
      <c r="B714" s="17">
        <v>7709458</v>
      </c>
      <c r="C714" s="17" t="s">
        <v>1596</v>
      </c>
      <c r="D714" s="17">
        <v>367.35</v>
      </c>
      <c r="E714" s="17">
        <v>14</v>
      </c>
      <c r="F714" s="7" t="str">
        <f>IF(A714=IFERROR(VLOOKUP(A714,CATALOGO!$B$2:$B$600,1,FALSE),"Falta"),"", "Falta")</f>
        <v>Falta</v>
      </c>
    </row>
    <row r="715" spans="1:6" x14ac:dyDescent="0.25">
      <c r="A715" s="11">
        <f t="shared" si="11"/>
        <v>7709460</v>
      </c>
      <c r="B715" s="17">
        <v>7709460</v>
      </c>
      <c r="C715" s="17" t="s">
        <v>584</v>
      </c>
      <c r="D715" s="17">
        <v>75.11</v>
      </c>
      <c r="E715" s="17">
        <v>24</v>
      </c>
      <c r="F715" s="7" t="str">
        <f>IF(A715=IFERROR(VLOOKUP(A715,CATALOGO!$B$2:$B$600,1,FALSE),"Falta"),"", "Falta")</f>
        <v>Falta</v>
      </c>
    </row>
    <row r="716" spans="1:6" x14ac:dyDescent="0.25">
      <c r="A716" s="11">
        <f t="shared" si="11"/>
        <v>7709461</v>
      </c>
      <c r="B716" s="17">
        <v>7709461</v>
      </c>
      <c r="C716" s="17" t="s">
        <v>587</v>
      </c>
      <c r="D716" s="17">
        <v>160.52000000000001</v>
      </c>
      <c r="E716" s="17">
        <v>24</v>
      </c>
      <c r="F716" s="7" t="str">
        <f>IF(A716=IFERROR(VLOOKUP(A716,CATALOGO!$B$2:$B$600,1,FALSE),"Falta"),"", "Falta")</f>
        <v>Falta</v>
      </c>
    </row>
    <row r="717" spans="1:6" x14ac:dyDescent="0.25">
      <c r="A717" s="11">
        <f t="shared" si="11"/>
        <v>7709502</v>
      </c>
      <c r="B717" s="17">
        <v>7709502</v>
      </c>
      <c r="C717" s="17" t="s">
        <v>589</v>
      </c>
      <c r="D717" s="17">
        <v>325.56</v>
      </c>
      <c r="E717" s="17">
        <v>58</v>
      </c>
      <c r="F717" s="7" t="str">
        <f>IF(A717=IFERROR(VLOOKUP(A717,CATALOGO!$B$2:$B$600,1,FALSE),"Falta"),"", "Falta")</f>
        <v>Falta</v>
      </c>
    </row>
    <row r="718" spans="1:6" x14ac:dyDescent="0.25">
      <c r="A718" s="11">
        <f t="shared" si="11"/>
        <v>7709504</v>
      </c>
      <c r="B718" s="17">
        <v>7709504</v>
      </c>
      <c r="C718" s="17" t="s">
        <v>1600</v>
      </c>
      <c r="D718" s="17">
        <v>290.81</v>
      </c>
      <c r="E718" s="17">
        <v>24</v>
      </c>
      <c r="F718" s="7" t="str">
        <f>IF(A718=IFERROR(VLOOKUP(A718,CATALOGO!$B$2:$B$600,1,FALSE),"Falta"),"", "Falta")</f>
        <v>Falta</v>
      </c>
    </row>
    <row r="719" spans="1:6" x14ac:dyDescent="0.25">
      <c r="A719" s="11">
        <f t="shared" si="11"/>
        <v>7709517</v>
      </c>
      <c r="B719" s="17">
        <v>7709517</v>
      </c>
      <c r="C719" s="17" t="s">
        <v>594</v>
      </c>
      <c r="D719" s="17">
        <v>2299.9899999999998</v>
      </c>
      <c r="E719" s="17">
        <v>5</v>
      </c>
      <c r="F719" s="7" t="str">
        <f>IF(A719=IFERROR(VLOOKUP(A719,CATALOGO!$B$2:$B$600,1,FALSE),"Falta"),"", "Falta")</f>
        <v/>
      </c>
    </row>
    <row r="720" spans="1:6" x14ac:dyDescent="0.25">
      <c r="A720" s="11">
        <f t="shared" si="11"/>
        <v>7709547</v>
      </c>
      <c r="B720" s="17">
        <v>7709547</v>
      </c>
      <c r="C720" s="17" t="s">
        <v>1602</v>
      </c>
      <c r="D720" s="17">
        <v>262.33</v>
      </c>
      <c r="E720" s="17">
        <v>26</v>
      </c>
      <c r="F720" s="7" t="str">
        <f>IF(A720=IFERROR(VLOOKUP(A720,CATALOGO!$B$2:$B$600,1,FALSE),"Falta"),"", "Falta")</f>
        <v/>
      </c>
    </row>
    <row r="721" spans="1:6" x14ac:dyDescent="0.25">
      <c r="A721" s="11">
        <f t="shared" si="11"/>
        <v>7709549</v>
      </c>
      <c r="B721" s="17">
        <v>7709549</v>
      </c>
      <c r="C721" s="17" t="s">
        <v>1603</v>
      </c>
      <c r="D721" s="17">
        <v>333.91</v>
      </c>
      <c r="E721" s="17">
        <v>29</v>
      </c>
      <c r="F721" s="7" t="str">
        <f>IF(A721=IFERROR(VLOOKUP(A721,CATALOGO!$B$2:$B$600,1,FALSE),"Falta"),"", "Falta")</f>
        <v>Falta</v>
      </c>
    </row>
    <row r="722" spans="1:6" x14ac:dyDescent="0.25">
      <c r="A722" s="11">
        <f t="shared" si="11"/>
        <v>7709572</v>
      </c>
      <c r="B722" s="17">
        <v>7709572</v>
      </c>
      <c r="C722" s="17" t="s">
        <v>514</v>
      </c>
      <c r="D722" s="17">
        <v>275.48</v>
      </c>
      <c r="E722" s="17">
        <v>10</v>
      </c>
      <c r="F722" s="7" t="str">
        <f>IF(A722=IFERROR(VLOOKUP(A722,CATALOGO!$B$2:$B$600,1,FALSE),"Falta"),"", "Falta")</f>
        <v/>
      </c>
    </row>
    <row r="723" spans="1:6" x14ac:dyDescent="0.25">
      <c r="A723" s="11">
        <f t="shared" si="11"/>
        <v>7709600</v>
      </c>
      <c r="B723" s="17">
        <v>7709600</v>
      </c>
      <c r="C723" s="17" t="s">
        <v>530</v>
      </c>
      <c r="D723" s="17">
        <v>319.61</v>
      </c>
      <c r="E723" s="17">
        <v>10</v>
      </c>
      <c r="F723" s="7" t="str">
        <f>IF(A723=IFERROR(VLOOKUP(A723,CATALOGO!$B$2:$B$600,1,FALSE),"Falta"),"", "Falta")</f>
        <v/>
      </c>
    </row>
    <row r="724" spans="1:6" x14ac:dyDescent="0.25">
      <c r="A724" s="11">
        <f t="shared" si="11"/>
        <v>7709625</v>
      </c>
      <c r="B724" s="17">
        <v>7709625</v>
      </c>
      <c r="C724" s="17" t="s">
        <v>520</v>
      </c>
      <c r="D724" s="17">
        <v>389.84</v>
      </c>
      <c r="E724" s="17">
        <v>76</v>
      </c>
      <c r="F724" s="7" t="str">
        <f>IF(A724=IFERROR(VLOOKUP(A724,CATALOGO!$B$2:$B$600,1,FALSE),"Falta"),"", "Falta")</f>
        <v/>
      </c>
    </row>
    <row r="725" spans="1:6" x14ac:dyDescent="0.25">
      <c r="A725" s="11">
        <f t="shared" si="11"/>
        <v>7709650</v>
      </c>
      <c r="B725" s="17">
        <v>7709650</v>
      </c>
      <c r="C725" s="17" t="s">
        <v>538</v>
      </c>
      <c r="D725" s="17">
        <v>306.12</v>
      </c>
      <c r="E725" s="17">
        <v>15</v>
      </c>
      <c r="F725" s="7" t="str">
        <f>IF(A725=IFERROR(VLOOKUP(A725,CATALOGO!$B$2:$B$600,1,FALSE),"Falta"),"", "Falta")</f>
        <v/>
      </c>
    </row>
    <row r="726" spans="1:6" x14ac:dyDescent="0.25">
      <c r="A726" s="11">
        <f t="shared" si="11"/>
        <v>7709654</v>
      </c>
      <c r="B726" s="17">
        <v>7709654</v>
      </c>
      <c r="C726" s="17" t="s">
        <v>503</v>
      </c>
      <c r="D726" s="17">
        <v>286.2</v>
      </c>
      <c r="E726" s="17">
        <v>7</v>
      </c>
      <c r="F726" s="7" t="str">
        <f>IF(A726=IFERROR(VLOOKUP(A726,CATALOGO!$B$2:$B$600,1,FALSE),"Falta"),"", "Falta")</f>
        <v/>
      </c>
    </row>
    <row r="727" spans="1:6" x14ac:dyDescent="0.25">
      <c r="A727" s="11">
        <f t="shared" si="11"/>
        <v>7709663</v>
      </c>
      <c r="B727" s="17">
        <v>7709663</v>
      </c>
      <c r="C727" s="17" t="s">
        <v>547</v>
      </c>
      <c r="D727" s="17">
        <v>320.55</v>
      </c>
      <c r="E727" s="17">
        <v>2</v>
      </c>
      <c r="F727" s="7" t="str">
        <f>IF(A727=IFERROR(VLOOKUP(A727,CATALOGO!$B$2:$B$600,1,FALSE),"Falta"),"", "Falta")</f>
        <v>Falta</v>
      </c>
    </row>
    <row r="728" spans="1:6" x14ac:dyDescent="0.25">
      <c r="A728" s="11">
        <f t="shared" si="11"/>
        <v>7709665</v>
      </c>
      <c r="B728" s="17">
        <v>7709665</v>
      </c>
      <c r="C728" s="17" t="s">
        <v>1609</v>
      </c>
      <c r="D728" s="17">
        <v>321.42</v>
      </c>
      <c r="E728" s="17">
        <v>90</v>
      </c>
      <c r="F728" s="7" t="str">
        <f>IF(A728=IFERROR(VLOOKUP(A728,CATALOGO!$B$2:$B$600,1,FALSE),"Falta"),"", "Falta")</f>
        <v/>
      </c>
    </row>
    <row r="729" spans="1:6" x14ac:dyDescent="0.25">
      <c r="A729" s="11">
        <f t="shared" si="11"/>
        <v>7709667</v>
      </c>
      <c r="B729" s="17">
        <v>7709667</v>
      </c>
      <c r="C729" s="17" t="s">
        <v>2349</v>
      </c>
      <c r="D729" s="17">
        <v>300</v>
      </c>
      <c r="E729" s="17">
        <v>1</v>
      </c>
      <c r="F729" s="7" t="str">
        <f>IF(A729=IFERROR(VLOOKUP(A729,CATALOGO!$B$2:$B$600,1,FALSE),"Falta"),"", "Falta")</f>
        <v>Falta</v>
      </c>
    </row>
    <row r="730" spans="1:6" x14ac:dyDescent="0.25">
      <c r="A730" s="11">
        <f t="shared" si="11"/>
        <v>7709669</v>
      </c>
      <c r="B730" s="17">
        <v>7709669</v>
      </c>
      <c r="C730" s="17" t="s">
        <v>546</v>
      </c>
      <c r="D730" s="17">
        <v>321.44</v>
      </c>
      <c r="E730" s="17">
        <v>7</v>
      </c>
      <c r="F730" s="7" t="str">
        <f>IF(A730=IFERROR(VLOOKUP(A730,CATALOGO!$B$2:$B$600,1,FALSE),"Falta"),"", "Falta")</f>
        <v>Falta</v>
      </c>
    </row>
    <row r="731" spans="1:6" x14ac:dyDescent="0.25">
      <c r="A731" s="11">
        <f t="shared" si="11"/>
        <v>7709700</v>
      </c>
      <c r="B731" s="17">
        <v>7709700</v>
      </c>
      <c r="C731" s="17" t="s">
        <v>570</v>
      </c>
      <c r="D731" s="17">
        <v>250.42</v>
      </c>
      <c r="E731" s="17">
        <v>2</v>
      </c>
      <c r="F731" s="7" t="str">
        <f>IF(A731=IFERROR(VLOOKUP(A731,CATALOGO!$B$2:$B$600,1,FALSE),"Falta"),"", "Falta")</f>
        <v>Falta</v>
      </c>
    </row>
    <row r="732" spans="1:6" x14ac:dyDescent="0.25">
      <c r="A732" s="11">
        <f t="shared" si="11"/>
        <v>7709753</v>
      </c>
      <c r="B732" s="17">
        <v>7709753</v>
      </c>
      <c r="C732" s="17" t="s">
        <v>516</v>
      </c>
      <c r="D732" s="17">
        <v>325.56</v>
      </c>
      <c r="E732" s="17">
        <v>8</v>
      </c>
      <c r="F732" s="7" t="str">
        <f>IF(A732=IFERROR(VLOOKUP(A732,CATALOGO!$B$2:$B$600,1,FALSE),"Falta"),"", "Falta")</f>
        <v/>
      </c>
    </row>
    <row r="733" spans="1:6" x14ac:dyDescent="0.25">
      <c r="A733" s="11">
        <f t="shared" si="11"/>
        <v>7709754</v>
      </c>
      <c r="B733" s="17">
        <v>7709754</v>
      </c>
      <c r="C733" s="17" t="s">
        <v>525</v>
      </c>
      <c r="D733" s="17">
        <v>382.65</v>
      </c>
      <c r="E733" s="17">
        <v>74</v>
      </c>
      <c r="F733" s="7" t="str">
        <f>IF(A733=IFERROR(VLOOKUP(A733,CATALOGO!$B$2:$B$600,1,FALSE),"Falta"),"", "Falta")</f>
        <v/>
      </c>
    </row>
    <row r="734" spans="1:6" x14ac:dyDescent="0.25">
      <c r="A734" s="11">
        <f t="shared" si="11"/>
        <v>7709755</v>
      </c>
      <c r="B734" s="17">
        <v>7709755</v>
      </c>
      <c r="C734" s="17" t="s">
        <v>550</v>
      </c>
      <c r="D734" s="17">
        <v>290.81</v>
      </c>
      <c r="E734" s="17">
        <v>8</v>
      </c>
      <c r="F734" s="7" t="str">
        <f>IF(A734=IFERROR(VLOOKUP(A734,CATALOGO!$B$2:$B$600,1,FALSE),"Falta"),"", "Falta")</f>
        <v/>
      </c>
    </row>
    <row r="735" spans="1:6" x14ac:dyDescent="0.25">
      <c r="A735" s="11">
        <f t="shared" si="11"/>
        <v>7709756</v>
      </c>
      <c r="B735" s="17">
        <v>7709756</v>
      </c>
      <c r="C735" s="17" t="s">
        <v>536</v>
      </c>
      <c r="D735" s="17">
        <v>375.1</v>
      </c>
      <c r="E735" s="17">
        <v>36</v>
      </c>
      <c r="F735" s="7" t="str">
        <f>IF(A735=IFERROR(VLOOKUP(A735,CATALOGO!$B$2:$B$600,1,FALSE),"Falta"),"", "Falta")</f>
        <v/>
      </c>
    </row>
    <row r="736" spans="1:6" x14ac:dyDescent="0.25">
      <c r="A736" s="11">
        <f t="shared" si="11"/>
        <v>7709789</v>
      </c>
      <c r="B736" s="17">
        <v>7709789</v>
      </c>
      <c r="C736" s="17" t="s">
        <v>559</v>
      </c>
      <c r="D736" s="17">
        <v>242</v>
      </c>
      <c r="E736" s="17">
        <v>40</v>
      </c>
      <c r="F736" s="7" t="str">
        <f>IF(A736=IFERROR(VLOOKUP(A736,CATALOGO!$B$2:$B$600,1,FALSE),"Falta"),"", "Falta")</f>
        <v>Falta</v>
      </c>
    </row>
    <row r="737" spans="1:6" x14ac:dyDescent="0.25">
      <c r="A737" s="11">
        <f t="shared" si="11"/>
        <v>7709800</v>
      </c>
      <c r="B737" s="17">
        <v>7709800</v>
      </c>
      <c r="C737" s="17" t="s">
        <v>580</v>
      </c>
      <c r="D737" s="17">
        <v>275.48</v>
      </c>
      <c r="E737" s="17">
        <v>86</v>
      </c>
      <c r="F737" s="7" t="str">
        <f>IF(A737=IFERROR(VLOOKUP(A737,CATALOGO!$B$2:$B$600,1,FALSE),"Falta"),"", "Falta")</f>
        <v>Falta</v>
      </c>
    </row>
    <row r="738" spans="1:6" x14ac:dyDescent="0.25">
      <c r="A738" s="11">
        <f t="shared" si="11"/>
        <v>7709801</v>
      </c>
      <c r="B738" s="17">
        <v>7709801</v>
      </c>
      <c r="C738" s="17" t="s">
        <v>581</v>
      </c>
      <c r="D738" s="17">
        <v>175.3</v>
      </c>
      <c r="E738" s="17">
        <v>28</v>
      </c>
      <c r="F738" s="7" t="str">
        <f>IF(A738=IFERROR(VLOOKUP(A738,CATALOGO!$B$2:$B$600,1,FALSE),"Falta"),"", "Falta")</f>
        <v>Falta</v>
      </c>
    </row>
    <row r="739" spans="1:6" x14ac:dyDescent="0.25">
      <c r="A739" s="11">
        <f t="shared" si="11"/>
        <v>7709853</v>
      </c>
      <c r="B739" s="17">
        <v>7709853</v>
      </c>
      <c r="C739" s="17" t="s">
        <v>13</v>
      </c>
      <c r="D739" s="17">
        <v>273.99</v>
      </c>
      <c r="E739" s="17">
        <v>10</v>
      </c>
      <c r="F739" s="7" t="str">
        <f>IF(A739=IFERROR(VLOOKUP(A739,CATALOGO!$B$2:$B$600,1,FALSE),"Falta"),"", "Falta")</f>
        <v>Falta</v>
      </c>
    </row>
    <row r="740" spans="1:6" x14ac:dyDescent="0.25">
      <c r="A740" s="11">
        <f t="shared" si="11"/>
        <v>7709854</v>
      </c>
      <c r="B740" s="17">
        <v>7709854</v>
      </c>
      <c r="C740" s="17" t="s">
        <v>1611</v>
      </c>
      <c r="D740" s="17">
        <v>325.56</v>
      </c>
      <c r="E740" s="17">
        <v>11</v>
      </c>
      <c r="F740" s="7" t="str">
        <f>IF(A740=IFERROR(VLOOKUP(A740,CATALOGO!$B$2:$B$600,1,FALSE),"Falta"),"", "Falta")</f>
        <v/>
      </c>
    </row>
    <row r="741" spans="1:6" x14ac:dyDescent="0.25">
      <c r="A741" s="11">
        <f t="shared" si="11"/>
        <v>7709855</v>
      </c>
      <c r="B741" s="17">
        <v>7709855</v>
      </c>
      <c r="C741" s="17" t="s">
        <v>504</v>
      </c>
      <c r="D741" s="17">
        <v>325.52</v>
      </c>
      <c r="E741" s="17">
        <v>13</v>
      </c>
      <c r="F741" s="7" t="str">
        <f>IF(A741=IFERROR(VLOOKUP(A741,CATALOGO!$B$2:$B$600,1,FALSE),"Falta"),"", "Falta")</f>
        <v/>
      </c>
    </row>
    <row r="742" spans="1:6" x14ac:dyDescent="0.25">
      <c r="A742" s="11">
        <f t="shared" si="11"/>
        <v>7709857</v>
      </c>
      <c r="B742" s="17">
        <v>7709857</v>
      </c>
      <c r="C742" s="17" t="s">
        <v>519</v>
      </c>
      <c r="D742" s="17">
        <v>336.74</v>
      </c>
      <c r="E742" s="17">
        <v>7</v>
      </c>
      <c r="F742" s="7" t="str">
        <f>IF(A742=IFERROR(VLOOKUP(A742,CATALOGO!$B$2:$B$600,1,FALSE),"Falta"),"", "Falta")</f>
        <v>Falta</v>
      </c>
    </row>
    <row r="743" spans="1:6" x14ac:dyDescent="0.25">
      <c r="A743" s="11">
        <f t="shared" si="11"/>
        <v>7709859</v>
      </c>
      <c r="B743" s="17">
        <v>7709859</v>
      </c>
      <c r="C743" s="17" t="s">
        <v>2383</v>
      </c>
      <c r="D743" s="17">
        <v>0</v>
      </c>
      <c r="E743" s="17">
        <v>215</v>
      </c>
      <c r="F743" s="7" t="str">
        <f>IF(A743=IFERROR(VLOOKUP(A743,CATALOGO!$B$2:$B$600,1,FALSE),"Falta"),"", "Falta")</f>
        <v>Falta</v>
      </c>
    </row>
    <row r="744" spans="1:6" x14ac:dyDescent="0.25">
      <c r="A744" s="11">
        <f t="shared" si="11"/>
        <v>7709861</v>
      </c>
      <c r="B744" s="17">
        <v>7709861</v>
      </c>
      <c r="C744" s="17" t="s">
        <v>544</v>
      </c>
      <c r="D744" s="17">
        <v>304.60000000000002</v>
      </c>
      <c r="E744" s="17">
        <v>4</v>
      </c>
      <c r="F744" s="7" t="str">
        <f>IF(A744=IFERROR(VLOOKUP(A744,CATALOGO!$B$2:$B$600,1,FALSE),"Falta"),"", "Falta")</f>
        <v>Falta</v>
      </c>
    </row>
    <row r="745" spans="1:6" x14ac:dyDescent="0.25">
      <c r="A745" s="11">
        <f t="shared" si="11"/>
        <v>7709865</v>
      </c>
      <c r="B745" s="17">
        <v>7709865</v>
      </c>
      <c r="C745" s="17" t="s">
        <v>543</v>
      </c>
      <c r="D745" s="17">
        <v>304.60000000000002</v>
      </c>
      <c r="E745" s="17">
        <v>7</v>
      </c>
      <c r="F745" s="7" t="str">
        <f>IF(A745=IFERROR(VLOOKUP(A745,CATALOGO!$B$2:$B$600,1,FALSE),"Falta"),"", "Falta")</f>
        <v>Falta</v>
      </c>
    </row>
    <row r="746" spans="1:6" x14ac:dyDescent="0.25">
      <c r="A746" s="11">
        <f t="shared" si="11"/>
        <v>7709867</v>
      </c>
      <c r="B746" s="17">
        <v>7709867</v>
      </c>
      <c r="C746" s="17" t="s">
        <v>528</v>
      </c>
      <c r="D746" s="17">
        <v>250.44</v>
      </c>
      <c r="E746" s="17">
        <v>13</v>
      </c>
      <c r="F746" s="7" t="str">
        <f>IF(A746=IFERROR(VLOOKUP(A746,CATALOGO!$B$2:$B$600,1,FALSE),"Falta"),"", "Falta")</f>
        <v/>
      </c>
    </row>
    <row r="747" spans="1:6" x14ac:dyDescent="0.25">
      <c r="A747" s="11">
        <f t="shared" si="11"/>
        <v>7709943</v>
      </c>
      <c r="B747" s="17">
        <v>7709943</v>
      </c>
      <c r="C747" s="17" t="s">
        <v>1613</v>
      </c>
      <c r="D747" s="17">
        <v>339.43</v>
      </c>
      <c r="E747" s="17">
        <v>3</v>
      </c>
      <c r="F747" s="7" t="str">
        <f>IF(A747=IFERROR(VLOOKUP(A747,CATALOGO!$B$2:$B$600,1,FALSE),"Falta"),"", "Falta")</f>
        <v/>
      </c>
    </row>
    <row r="748" spans="1:6" x14ac:dyDescent="0.25">
      <c r="A748" s="11">
        <f t="shared" si="11"/>
        <v>7710001</v>
      </c>
      <c r="B748" s="17">
        <v>7710001</v>
      </c>
      <c r="C748" s="17" t="s">
        <v>592</v>
      </c>
      <c r="D748" s="17">
        <v>465.84</v>
      </c>
      <c r="E748" s="17">
        <v>217</v>
      </c>
      <c r="F748" s="7" t="str">
        <f>IF(A748=IFERROR(VLOOKUP(A748,CATALOGO!$B$2:$B$600,1,FALSE),"Falta"),"", "Falta")</f>
        <v/>
      </c>
    </row>
    <row r="749" spans="1:6" x14ac:dyDescent="0.25">
      <c r="A749" s="11">
        <f t="shared" si="11"/>
        <v>7710020</v>
      </c>
      <c r="B749" s="17">
        <v>7710020</v>
      </c>
      <c r="C749" s="17" t="s">
        <v>593</v>
      </c>
      <c r="D749" s="17">
        <v>381.14</v>
      </c>
      <c r="E749" s="17">
        <v>101</v>
      </c>
      <c r="F749" s="7" t="str">
        <f>IF(A749=IFERROR(VLOOKUP(A749,CATALOGO!$B$2:$B$600,1,FALSE),"Falta"),"", "Falta")</f>
        <v>Falta</v>
      </c>
    </row>
    <row r="750" spans="1:6" x14ac:dyDescent="0.25">
      <c r="A750" s="11">
        <f t="shared" si="11"/>
        <v>7710022</v>
      </c>
      <c r="B750" s="17">
        <v>7710022</v>
      </c>
      <c r="C750" s="17" t="s">
        <v>1615</v>
      </c>
      <c r="D750" s="17">
        <v>50.49</v>
      </c>
      <c r="E750" s="17">
        <v>40</v>
      </c>
      <c r="F750" s="7" t="str">
        <f>IF(A750=IFERROR(VLOOKUP(A750,CATALOGO!$B$2:$B$600,1,FALSE),"Falta"),"", "Falta")</f>
        <v>Falta</v>
      </c>
    </row>
    <row r="751" spans="1:6" x14ac:dyDescent="0.25">
      <c r="A751" s="11">
        <f t="shared" si="11"/>
        <v>7710030</v>
      </c>
      <c r="B751" s="17">
        <v>7710030</v>
      </c>
      <c r="C751" s="17" t="s">
        <v>1616</v>
      </c>
      <c r="D751" s="17">
        <v>289.3</v>
      </c>
      <c r="E751" s="17">
        <v>37</v>
      </c>
      <c r="F751" s="7" t="str">
        <f>IF(A751=IFERROR(VLOOKUP(A751,CATALOGO!$B$2:$B$600,1,FALSE),"Falta"),"", "Falta")</f>
        <v>Falta</v>
      </c>
    </row>
    <row r="752" spans="1:6" x14ac:dyDescent="0.25">
      <c r="A752" s="11">
        <f t="shared" si="11"/>
        <v>7710031</v>
      </c>
      <c r="B752" s="17">
        <v>7710031</v>
      </c>
      <c r="C752" s="17" t="s">
        <v>1617</v>
      </c>
      <c r="D752" s="17">
        <v>289.3</v>
      </c>
      <c r="E752" s="17">
        <v>42</v>
      </c>
      <c r="F752" s="7" t="str">
        <f>IF(A752=IFERROR(VLOOKUP(A752,CATALOGO!$B$2:$B$600,1,FALSE),"Falta"),"", "Falta")</f>
        <v>Falta</v>
      </c>
    </row>
    <row r="753" spans="1:6" x14ac:dyDescent="0.25">
      <c r="A753" s="11">
        <f t="shared" si="11"/>
        <v>7710032</v>
      </c>
      <c r="B753" s="17">
        <v>7710032</v>
      </c>
      <c r="C753" s="17" t="s">
        <v>1618</v>
      </c>
      <c r="D753" s="17">
        <v>289.3</v>
      </c>
      <c r="E753" s="17">
        <v>3</v>
      </c>
      <c r="F753" s="7" t="str">
        <f>IF(A753=IFERROR(VLOOKUP(A753,CATALOGO!$B$2:$B$600,1,FALSE),"Falta"),"", "Falta")</f>
        <v/>
      </c>
    </row>
    <row r="754" spans="1:6" x14ac:dyDescent="0.25">
      <c r="A754" s="11">
        <f t="shared" si="11"/>
        <v>7711003</v>
      </c>
      <c r="B754" s="17">
        <v>7711003</v>
      </c>
      <c r="C754" s="17" t="s">
        <v>2394</v>
      </c>
      <c r="D754" s="17">
        <v>0</v>
      </c>
      <c r="E754" s="17">
        <v>2</v>
      </c>
      <c r="F754" s="7" t="str">
        <f>IF(A754=IFERROR(VLOOKUP(A754,CATALOGO!$B$2:$B$600,1,FALSE),"Falta"),"", "Falta")</f>
        <v>Falta</v>
      </c>
    </row>
    <row r="755" spans="1:6" x14ac:dyDescent="0.25">
      <c r="A755" s="11">
        <f t="shared" si="11"/>
        <v>7711091</v>
      </c>
      <c r="B755" s="17">
        <v>7711091</v>
      </c>
      <c r="C755" s="17" t="s">
        <v>583</v>
      </c>
      <c r="D755" s="17">
        <v>120.99</v>
      </c>
      <c r="E755" s="17">
        <v>81</v>
      </c>
      <c r="F755" s="7" t="str">
        <f>IF(A755=IFERROR(VLOOKUP(A755,CATALOGO!$B$2:$B$600,1,FALSE),"Falta"),"", "Falta")</f>
        <v>Falta</v>
      </c>
    </row>
    <row r="756" spans="1:6" x14ac:dyDescent="0.25">
      <c r="A756" s="11">
        <f t="shared" si="11"/>
        <v>7711213</v>
      </c>
      <c r="B756" s="17">
        <v>7711213</v>
      </c>
      <c r="C756" s="17" t="s">
        <v>16</v>
      </c>
      <c r="D756" s="17">
        <v>197.46</v>
      </c>
      <c r="E756" s="17">
        <v>20</v>
      </c>
      <c r="F756" s="7" t="str">
        <f>IF(A756=IFERROR(VLOOKUP(A756,CATALOGO!$B$2:$B$600,1,FALSE),"Falta"),"", "Falta")</f>
        <v>Falta</v>
      </c>
    </row>
    <row r="757" spans="1:6" x14ac:dyDescent="0.25">
      <c r="A757" s="11">
        <f t="shared" si="11"/>
        <v>7800000</v>
      </c>
      <c r="B757" s="17">
        <v>7800000</v>
      </c>
      <c r="C757" s="17" t="s">
        <v>1840</v>
      </c>
      <c r="D757" s="17">
        <v>150</v>
      </c>
      <c r="E757" s="17">
        <v>1498</v>
      </c>
      <c r="F757" s="7" t="str">
        <f>IF(A757=IFERROR(VLOOKUP(A757,CATALOGO!$B$2:$B$600,1,FALSE),"Falta"),"", "Falta")</f>
        <v>Falta</v>
      </c>
    </row>
    <row r="758" spans="1:6" x14ac:dyDescent="0.25">
      <c r="A758" s="11">
        <f t="shared" si="11"/>
        <v>8203265</v>
      </c>
      <c r="B758" s="17">
        <v>8203265</v>
      </c>
      <c r="C758" s="17" t="s">
        <v>1621</v>
      </c>
      <c r="D758" s="17">
        <v>5444.99</v>
      </c>
      <c r="E758" s="17">
        <v>7</v>
      </c>
      <c r="F758" s="7" t="str">
        <f>IF(A758=IFERROR(VLOOKUP(A758,CATALOGO!$B$2:$B$600,1,FALSE),"Falta"),"", "Falta")</f>
        <v/>
      </c>
    </row>
    <row r="759" spans="1:6" x14ac:dyDescent="0.25">
      <c r="A759" s="11">
        <f t="shared" si="11"/>
        <v>8203830</v>
      </c>
      <c r="B759" s="17">
        <v>8203830</v>
      </c>
      <c r="C759" s="17" t="s">
        <v>1413</v>
      </c>
      <c r="D759" s="17">
        <v>4499.99</v>
      </c>
      <c r="E759" s="17">
        <v>189</v>
      </c>
      <c r="F759" s="7" t="str">
        <f>IF(A759=IFERROR(VLOOKUP(A759,CATALOGO!$B$2:$B$600,1,FALSE),"Falta"),"", "Falta")</f>
        <v/>
      </c>
    </row>
    <row r="760" spans="1:6" x14ac:dyDescent="0.25">
      <c r="A760" s="11">
        <f t="shared" si="11"/>
        <v>8205016</v>
      </c>
      <c r="B760" s="17">
        <v>8205016</v>
      </c>
      <c r="C760" s="17" t="s">
        <v>1434</v>
      </c>
      <c r="D760" s="17">
        <v>2099.9899999999998</v>
      </c>
      <c r="E760" s="17">
        <v>3</v>
      </c>
      <c r="F760" s="7" t="str">
        <f>IF(A760=IFERROR(VLOOKUP(A760,CATALOGO!$B$2:$B$600,1,FALSE),"Falta"),"", "Falta")</f>
        <v/>
      </c>
    </row>
    <row r="761" spans="1:6" x14ac:dyDescent="0.25">
      <c r="A761" s="11">
        <f t="shared" si="11"/>
        <v>8205018</v>
      </c>
      <c r="B761" s="17">
        <v>8205018</v>
      </c>
      <c r="C761" s="17" t="s">
        <v>174</v>
      </c>
      <c r="D761" s="17">
        <v>1935.99</v>
      </c>
      <c r="E761" s="17">
        <v>46</v>
      </c>
      <c r="F761" s="7" t="str">
        <f>IF(A761=IFERROR(VLOOKUP(A761,CATALOGO!$B$2:$B$600,1,FALSE),"Falta"),"", "Falta")</f>
        <v>Falta</v>
      </c>
    </row>
    <row r="762" spans="1:6" x14ac:dyDescent="0.25">
      <c r="A762" s="11">
        <f t="shared" si="11"/>
        <v>8205020</v>
      </c>
      <c r="B762" s="17">
        <v>8205020</v>
      </c>
      <c r="C762" s="17" t="s">
        <v>176</v>
      </c>
      <c r="D762" s="17">
        <v>3388</v>
      </c>
      <c r="E762" s="17">
        <v>1</v>
      </c>
      <c r="F762" s="7" t="str">
        <f>IF(A762=IFERROR(VLOOKUP(A762,CATALOGO!$B$2:$B$600,1,FALSE),"Falta"),"", "Falta")</f>
        <v>Falta</v>
      </c>
    </row>
    <row r="763" spans="1:6" x14ac:dyDescent="0.25">
      <c r="A763" s="11">
        <f t="shared" si="11"/>
        <v>8205041</v>
      </c>
      <c r="B763" s="17">
        <v>8205041</v>
      </c>
      <c r="C763" s="17" t="s">
        <v>171</v>
      </c>
      <c r="D763" s="17">
        <v>6388.79</v>
      </c>
      <c r="E763" s="17">
        <v>64</v>
      </c>
      <c r="F763" s="7" t="str">
        <f>IF(A763=IFERROR(VLOOKUP(A763,CATALOGO!$B$2:$B$600,1,FALSE),"Falta"),"", "Falta")</f>
        <v>Falta</v>
      </c>
    </row>
    <row r="764" spans="1:6" x14ac:dyDescent="0.25">
      <c r="A764" s="11">
        <f t="shared" si="11"/>
        <v>8205050</v>
      </c>
      <c r="B764" s="17">
        <v>8205050</v>
      </c>
      <c r="C764" s="17" t="s">
        <v>168</v>
      </c>
      <c r="D764" s="17">
        <v>6886.4</v>
      </c>
      <c r="E764" s="17">
        <v>4</v>
      </c>
      <c r="F764" s="7" t="str">
        <f>IF(A764=IFERROR(VLOOKUP(A764,CATALOGO!$B$2:$B$600,1,FALSE),"Falta"),"", "Falta")</f>
        <v>Falta</v>
      </c>
    </row>
    <row r="765" spans="1:6" x14ac:dyDescent="0.25">
      <c r="A765" s="11">
        <f t="shared" si="11"/>
        <v>8205051</v>
      </c>
      <c r="B765" s="17">
        <v>8205051</v>
      </c>
      <c r="C765" s="17" t="s">
        <v>167</v>
      </c>
      <c r="D765" s="17">
        <v>6121.07</v>
      </c>
      <c r="E765" s="17">
        <v>140</v>
      </c>
      <c r="F765" s="7" t="str">
        <f>IF(A765=IFERROR(VLOOKUP(A765,CATALOGO!$B$2:$B$600,1,FALSE),"Falta"),"", "Falta")</f>
        <v>Falta</v>
      </c>
    </row>
    <row r="766" spans="1:6" x14ac:dyDescent="0.25">
      <c r="A766" s="11">
        <f t="shared" si="11"/>
        <v>8205080</v>
      </c>
      <c r="B766" s="17">
        <v>8205080</v>
      </c>
      <c r="C766" s="17" t="s">
        <v>1432</v>
      </c>
      <c r="D766" s="17">
        <v>7500</v>
      </c>
      <c r="E766" s="17">
        <v>16</v>
      </c>
      <c r="F766" s="7" t="str">
        <f>IF(A766=IFERROR(VLOOKUP(A766,CATALOGO!$B$2:$B$600,1,FALSE),"Falta"),"", "Falta")</f>
        <v>Falta</v>
      </c>
    </row>
    <row r="767" spans="1:6" x14ac:dyDescent="0.25">
      <c r="A767" s="11">
        <f t="shared" si="11"/>
        <v>8205115</v>
      </c>
      <c r="B767" s="17">
        <v>8205115</v>
      </c>
      <c r="C767" s="17" t="s">
        <v>169</v>
      </c>
      <c r="D767" s="17">
        <v>6049.99</v>
      </c>
      <c r="E767" s="17">
        <v>260</v>
      </c>
      <c r="F767" s="7" t="str">
        <f>IF(A767=IFERROR(VLOOKUP(A767,CATALOGO!$B$2:$B$600,1,FALSE),"Falta"),"", "Falta")</f>
        <v>Falta</v>
      </c>
    </row>
    <row r="768" spans="1:6" x14ac:dyDescent="0.25">
      <c r="A768" s="11">
        <f t="shared" si="11"/>
        <v>8205116</v>
      </c>
      <c r="B768" s="17">
        <v>8205116</v>
      </c>
      <c r="C768" s="17" t="s">
        <v>170</v>
      </c>
      <c r="D768" s="17">
        <v>6388.79</v>
      </c>
      <c r="E768" s="17">
        <v>6</v>
      </c>
      <c r="F768" s="7" t="str">
        <f>IF(A768=IFERROR(VLOOKUP(A768,CATALOGO!$B$2:$B$600,1,FALSE),"Falta"),"", "Falta")</f>
        <v>Falta</v>
      </c>
    </row>
    <row r="769" spans="1:6" x14ac:dyDescent="0.25">
      <c r="A769" s="11">
        <f t="shared" si="11"/>
        <v>8205117</v>
      </c>
      <c r="B769" s="17">
        <v>8205117</v>
      </c>
      <c r="C769" s="17" t="s">
        <v>1433</v>
      </c>
      <c r="D769" s="17">
        <v>2199.9899999999998</v>
      </c>
      <c r="E769" s="17">
        <v>36</v>
      </c>
      <c r="F769" s="7" t="str">
        <f>IF(A769=IFERROR(VLOOKUP(A769,CATALOGO!$B$2:$B$600,1,FALSE),"Falta"),"", "Falta")</f>
        <v/>
      </c>
    </row>
    <row r="770" spans="1:6" x14ac:dyDescent="0.25">
      <c r="A770" s="11">
        <f t="shared" si="11"/>
        <v>8205118</v>
      </c>
      <c r="B770" s="17">
        <v>8205118</v>
      </c>
      <c r="C770" s="17" t="s">
        <v>166</v>
      </c>
      <c r="D770" s="17">
        <v>7500</v>
      </c>
      <c r="E770" s="17">
        <v>28</v>
      </c>
      <c r="F770" s="7" t="str">
        <f>IF(A770=IFERROR(VLOOKUP(A770,CATALOGO!$B$2:$B$600,1,FALSE),"Falta"),"", "Falta")</f>
        <v>Falta</v>
      </c>
    </row>
    <row r="771" spans="1:6" x14ac:dyDescent="0.25">
      <c r="A771" s="11">
        <f t="shared" si="11"/>
        <v>8205119</v>
      </c>
      <c r="B771" s="17">
        <v>8205119</v>
      </c>
      <c r="C771" s="17" t="s">
        <v>1622</v>
      </c>
      <c r="D771" s="17">
        <v>7500</v>
      </c>
      <c r="E771" s="17">
        <v>30</v>
      </c>
      <c r="F771" s="7" t="str">
        <f>IF(A771=IFERROR(VLOOKUP(A771,CATALOGO!$B$2:$B$600,1,FALSE),"Falta"),"", "Falta")</f>
        <v>Falta</v>
      </c>
    </row>
    <row r="772" spans="1:6" x14ac:dyDescent="0.25">
      <c r="A772" s="11">
        <f t="shared" si="11"/>
        <v>8205800</v>
      </c>
      <c r="B772" s="17">
        <v>8205800</v>
      </c>
      <c r="C772" s="17" t="s">
        <v>1624</v>
      </c>
      <c r="D772" s="17">
        <v>7651.72</v>
      </c>
      <c r="E772" s="17">
        <v>1</v>
      </c>
      <c r="F772" s="7" t="str">
        <f>IF(A772=IFERROR(VLOOKUP(A772,CATALOGO!$B$2:$B$600,1,FALSE),"Falta"),"", "Falta")</f>
        <v>Falta</v>
      </c>
    </row>
    <row r="773" spans="1:6" x14ac:dyDescent="0.25">
      <c r="A773" s="11">
        <f t="shared" si="11"/>
        <v>8205881</v>
      </c>
      <c r="B773" s="17">
        <v>8205881</v>
      </c>
      <c r="C773" s="17" t="s">
        <v>1626</v>
      </c>
      <c r="D773" s="17">
        <v>7500</v>
      </c>
      <c r="E773" s="17">
        <v>30</v>
      </c>
      <c r="F773" s="7" t="str">
        <f>IF(A773=IFERROR(VLOOKUP(A773,CATALOGO!$B$2:$B$600,1,FALSE),"Falta"),"", "Falta")</f>
        <v>Falta</v>
      </c>
    </row>
    <row r="774" spans="1:6" x14ac:dyDescent="0.25">
      <c r="A774" s="11">
        <f t="shared" ref="A774:A837" si="12">IFERROR(B774*1,"")</f>
        <v>8301000</v>
      </c>
      <c r="B774" s="17">
        <v>8301000</v>
      </c>
      <c r="C774" s="17" t="s">
        <v>35</v>
      </c>
      <c r="D774" s="17">
        <v>990</v>
      </c>
      <c r="E774" s="17">
        <v>44</v>
      </c>
      <c r="F774" s="7" t="str">
        <f>IF(A774=IFERROR(VLOOKUP(A774,CATALOGO!$B$2:$B$600,1,FALSE),"Falta"),"", "Falta")</f>
        <v>Falta</v>
      </c>
    </row>
    <row r="775" spans="1:6" x14ac:dyDescent="0.25">
      <c r="A775" s="11">
        <f t="shared" si="12"/>
        <v>8301008</v>
      </c>
      <c r="B775" s="17">
        <v>8301008</v>
      </c>
      <c r="C775" s="17" t="s">
        <v>1627</v>
      </c>
      <c r="D775" s="17">
        <v>990</v>
      </c>
      <c r="E775" s="17">
        <v>15</v>
      </c>
      <c r="F775" s="7" t="str">
        <f>IF(A775=IFERROR(VLOOKUP(A775,CATALOGO!$B$2:$B$600,1,FALSE),"Falta"),"", "Falta")</f>
        <v>Falta</v>
      </c>
    </row>
    <row r="776" spans="1:6" x14ac:dyDescent="0.25">
      <c r="A776" s="11">
        <f t="shared" si="12"/>
        <v>8301495</v>
      </c>
      <c r="B776" s="17">
        <v>8301495</v>
      </c>
      <c r="C776" s="17" t="s">
        <v>1430</v>
      </c>
      <c r="D776" s="17">
        <v>900</v>
      </c>
      <c r="E776" s="17">
        <v>2</v>
      </c>
      <c r="F776" s="7" t="str">
        <f>IF(A776=IFERROR(VLOOKUP(A776,CATALOGO!$B$2:$B$600,1,FALSE),"Falta"),"", "Falta")</f>
        <v>Falta</v>
      </c>
    </row>
    <row r="777" spans="1:6" x14ac:dyDescent="0.25">
      <c r="A777" s="11">
        <f t="shared" si="12"/>
        <v>8301558</v>
      </c>
      <c r="B777" s="17">
        <v>8301558</v>
      </c>
      <c r="C777" s="17" t="s">
        <v>33</v>
      </c>
      <c r="D777" s="17">
        <v>600</v>
      </c>
      <c r="E777" s="17">
        <v>956</v>
      </c>
      <c r="F777" s="7" t="str">
        <f>IF(A777=IFERROR(VLOOKUP(A777,CATALOGO!$B$2:$B$600,1,FALSE),"Falta"),"", "Falta")</f>
        <v/>
      </c>
    </row>
    <row r="778" spans="1:6" x14ac:dyDescent="0.25">
      <c r="A778" s="11">
        <f t="shared" si="12"/>
        <v>8301700</v>
      </c>
      <c r="B778" s="17">
        <v>8301700</v>
      </c>
      <c r="C778" s="17" t="s">
        <v>1431</v>
      </c>
      <c r="D778" s="17">
        <v>900</v>
      </c>
      <c r="E778" s="17">
        <v>1</v>
      </c>
      <c r="F778" s="7" t="str">
        <f>IF(A778=IFERROR(VLOOKUP(A778,CATALOGO!$B$2:$B$600,1,FALSE),"Falta"),"", "Falta")</f>
        <v>Falta</v>
      </c>
    </row>
    <row r="779" spans="1:6" x14ac:dyDescent="0.25">
      <c r="A779" s="11">
        <f t="shared" si="12"/>
        <v>8301805</v>
      </c>
      <c r="B779" s="17">
        <v>8301805</v>
      </c>
      <c r="C779" s="17" t="s">
        <v>1630</v>
      </c>
      <c r="D779" s="17">
        <v>990</v>
      </c>
      <c r="E779" s="17">
        <v>4</v>
      </c>
      <c r="F779" s="7" t="str">
        <f>IF(A779=IFERROR(VLOOKUP(A779,CATALOGO!$B$2:$B$600,1,FALSE),"Falta"),"", "Falta")</f>
        <v>Falta</v>
      </c>
    </row>
    <row r="780" spans="1:6" x14ac:dyDescent="0.25">
      <c r="A780" s="11">
        <f t="shared" si="12"/>
        <v>8301900</v>
      </c>
      <c r="B780" s="17">
        <v>8301900</v>
      </c>
      <c r="C780" s="17" t="s">
        <v>34</v>
      </c>
      <c r="D780" s="17">
        <v>1197.9000000000001</v>
      </c>
      <c r="E780" s="17">
        <v>4</v>
      </c>
      <c r="F780" s="7" t="str">
        <f>IF(A780=IFERROR(VLOOKUP(A780,CATALOGO!$B$2:$B$600,1,FALSE),"Falta"),"", "Falta")</f>
        <v>Falta</v>
      </c>
    </row>
    <row r="781" spans="1:6" x14ac:dyDescent="0.25">
      <c r="A781" s="11">
        <f t="shared" si="12"/>
        <v>830190003</v>
      </c>
      <c r="B781" s="17">
        <v>830190003</v>
      </c>
      <c r="C781" s="17" t="s">
        <v>2437</v>
      </c>
      <c r="D781" s="17">
        <v>649</v>
      </c>
      <c r="E781" s="17">
        <v>7</v>
      </c>
      <c r="F781" s="7" t="str">
        <f>IF(A781=IFERROR(VLOOKUP(A781,CATALOGO!$B$2:$B$600,1,FALSE),"Falta"),"", "Falta")</f>
        <v>Falta</v>
      </c>
    </row>
    <row r="782" spans="1:6" x14ac:dyDescent="0.25">
      <c r="A782" s="11">
        <f t="shared" si="12"/>
        <v>8303003</v>
      </c>
      <c r="B782" s="17">
        <v>8303003</v>
      </c>
      <c r="C782" s="17" t="s">
        <v>386</v>
      </c>
      <c r="D782" s="17">
        <v>724.79</v>
      </c>
      <c r="E782" s="17">
        <v>9</v>
      </c>
      <c r="F782" s="7" t="str">
        <f>IF(A782=IFERROR(VLOOKUP(A782,CATALOGO!$B$2:$B$600,1,FALSE),"Falta"),"", "Falta")</f>
        <v>Falta</v>
      </c>
    </row>
    <row r="783" spans="1:6" x14ac:dyDescent="0.25">
      <c r="A783" s="11">
        <f t="shared" si="12"/>
        <v>8303004</v>
      </c>
      <c r="B783" s="17">
        <v>8303004</v>
      </c>
      <c r="C783" s="17" t="s">
        <v>387</v>
      </c>
      <c r="D783" s="17">
        <v>799.99</v>
      </c>
      <c r="E783" s="17">
        <v>14</v>
      </c>
      <c r="F783" s="7" t="str">
        <f>IF(A783=IFERROR(VLOOKUP(A783,CATALOGO!$B$2:$B$600,1,FALSE),"Falta"),"", "Falta")</f>
        <v>Falta</v>
      </c>
    </row>
    <row r="784" spans="1:6" x14ac:dyDescent="0.25">
      <c r="A784" s="11">
        <f t="shared" si="12"/>
        <v>8303005</v>
      </c>
      <c r="B784" s="17">
        <v>8303005</v>
      </c>
      <c r="C784" s="17" t="s">
        <v>1848</v>
      </c>
      <c r="D784" s="17">
        <v>603.79</v>
      </c>
      <c r="E784" s="17">
        <v>6</v>
      </c>
      <c r="F784" s="7" t="str">
        <f>IF(A784=IFERROR(VLOOKUP(A784,CATALOGO!$B$2:$B$600,1,FALSE),"Falta"),"", "Falta")</f>
        <v>Falta</v>
      </c>
    </row>
    <row r="785" spans="1:6" x14ac:dyDescent="0.25">
      <c r="A785" s="11">
        <f t="shared" si="12"/>
        <v>8303006</v>
      </c>
      <c r="B785" s="17">
        <v>8303006</v>
      </c>
      <c r="C785" s="17" t="s">
        <v>1631</v>
      </c>
      <c r="D785" s="17">
        <v>603.79</v>
      </c>
      <c r="E785" s="17">
        <v>16</v>
      </c>
      <c r="F785" s="7" t="str">
        <f>IF(A785=IFERROR(VLOOKUP(A785,CATALOGO!$B$2:$B$600,1,FALSE),"Falta"),"", "Falta")</f>
        <v>Falta</v>
      </c>
    </row>
    <row r="786" spans="1:6" x14ac:dyDescent="0.25">
      <c r="A786" s="11">
        <f t="shared" si="12"/>
        <v>8303007</v>
      </c>
      <c r="B786" s="17">
        <v>8303007</v>
      </c>
      <c r="C786" s="17" t="s">
        <v>395</v>
      </c>
      <c r="D786" s="17">
        <v>610.73</v>
      </c>
      <c r="E786" s="17">
        <v>6</v>
      </c>
      <c r="F786" s="7" t="str">
        <f>IF(A786=IFERROR(VLOOKUP(A786,CATALOGO!$B$2:$B$600,1,FALSE),"Falta"),"", "Falta")</f>
        <v>Falta</v>
      </c>
    </row>
    <row r="787" spans="1:6" x14ac:dyDescent="0.25">
      <c r="A787" s="11">
        <f t="shared" si="12"/>
        <v>8303011</v>
      </c>
      <c r="B787" s="17">
        <v>8303011</v>
      </c>
      <c r="C787" s="17" t="s">
        <v>380</v>
      </c>
      <c r="D787" s="17">
        <v>603.79</v>
      </c>
      <c r="E787" s="17">
        <v>1</v>
      </c>
      <c r="F787" s="7" t="str">
        <f>IF(A787=IFERROR(VLOOKUP(A787,CATALOGO!$B$2:$B$600,1,FALSE),"Falta"),"", "Falta")</f>
        <v>Falta</v>
      </c>
    </row>
    <row r="788" spans="1:6" x14ac:dyDescent="0.25">
      <c r="A788" s="11">
        <f t="shared" si="12"/>
        <v>8303111</v>
      </c>
      <c r="B788" s="17">
        <v>8303111</v>
      </c>
      <c r="C788" s="17" t="s">
        <v>382</v>
      </c>
      <c r="D788" s="17">
        <v>748</v>
      </c>
      <c r="E788" s="17">
        <v>24</v>
      </c>
      <c r="F788" s="7" t="str">
        <f>IF(A788=IFERROR(VLOOKUP(A788,CATALOGO!$B$2:$B$600,1,FALSE),"Falta"),"", "Falta")</f>
        <v>Falta</v>
      </c>
    </row>
    <row r="789" spans="1:6" x14ac:dyDescent="0.25">
      <c r="A789" s="11">
        <f t="shared" si="12"/>
        <v>8303120</v>
      </c>
      <c r="B789" s="17">
        <v>8303120</v>
      </c>
      <c r="C789" s="17" t="s">
        <v>383</v>
      </c>
      <c r="D789" s="17">
        <v>724.79</v>
      </c>
      <c r="E789" s="17">
        <v>55</v>
      </c>
      <c r="F789" s="7" t="str">
        <f>IF(A789=IFERROR(VLOOKUP(A789,CATALOGO!$B$2:$B$600,1,FALSE),"Falta"),"", "Falta")</f>
        <v>Falta</v>
      </c>
    </row>
    <row r="790" spans="1:6" x14ac:dyDescent="0.25">
      <c r="A790" s="11">
        <f t="shared" si="12"/>
        <v>8303123</v>
      </c>
      <c r="B790" s="17">
        <v>8303123</v>
      </c>
      <c r="C790" s="17" t="s">
        <v>377</v>
      </c>
      <c r="D790" s="17">
        <v>845.79</v>
      </c>
      <c r="E790" s="17">
        <v>464</v>
      </c>
      <c r="F790" s="7" t="str">
        <f>IF(A790=IFERROR(VLOOKUP(A790,CATALOGO!$B$2:$B$600,1,FALSE),"Falta"),"", "Falta")</f>
        <v>Falta</v>
      </c>
    </row>
    <row r="791" spans="1:6" x14ac:dyDescent="0.25">
      <c r="A791" s="11">
        <f t="shared" si="12"/>
        <v>8303129</v>
      </c>
      <c r="B791" s="17">
        <v>8303129</v>
      </c>
      <c r="C791" s="17" t="s">
        <v>392</v>
      </c>
      <c r="D791" s="17">
        <v>350</v>
      </c>
      <c r="E791" s="17">
        <v>520</v>
      </c>
      <c r="F791" s="7" t="str">
        <f>IF(A791=IFERROR(VLOOKUP(A791,CATALOGO!$B$2:$B$600,1,FALSE),"Falta"),"", "Falta")</f>
        <v>Falta</v>
      </c>
    </row>
    <row r="792" spans="1:6" x14ac:dyDescent="0.25">
      <c r="A792" s="11">
        <f t="shared" si="12"/>
        <v>8303130</v>
      </c>
      <c r="B792" s="17">
        <v>8303130</v>
      </c>
      <c r="C792" s="17" t="s">
        <v>385</v>
      </c>
      <c r="D792" s="17">
        <v>400</v>
      </c>
      <c r="E792" s="17">
        <v>5</v>
      </c>
      <c r="F792" s="7" t="str">
        <f>IF(A792=IFERROR(VLOOKUP(A792,CATALOGO!$B$2:$B$600,1,FALSE),"Falta"),"", "Falta")</f>
        <v>Falta</v>
      </c>
    </row>
    <row r="793" spans="1:6" x14ac:dyDescent="0.25">
      <c r="A793" s="11">
        <f t="shared" si="12"/>
        <v>8303222</v>
      </c>
      <c r="B793" s="17">
        <v>8303222</v>
      </c>
      <c r="C793" s="17" t="s">
        <v>379</v>
      </c>
      <c r="D793" s="17">
        <v>724.79</v>
      </c>
      <c r="E793" s="17">
        <v>60</v>
      </c>
      <c r="F793" s="7" t="str">
        <f>IF(A793=IFERROR(VLOOKUP(A793,CATALOGO!$B$2:$B$600,1,FALSE),"Falta"),"", "Falta")</f>
        <v>Falta</v>
      </c>
    </row>
    <row r="794" spans="1:6" x14ac:dyDescent="0.25">
      <c r="A794" s="11">
        <f t="shared" si="12"/>
        <v>8303297</v>
      </c>
      <c r="B794" s="17">
        <v>8303297</v>
      </c>
      <c r="C794" s="17" t="s">
        <v>1349</v>
      </c>
      <c r="D794" s="17">
        <v>750</v>
      </c>
      <c r="E794" s="17">
        <v>125</v>
      </c>
      <c r="F794" s="7" t="str">
        <f>IF(A794=IFERROR(VLOOKUP(A794,CATALOGO!$B$2:$B$600,1,FALSE),"Falta"),"", "Falta")</f>
        <v/>
      </c>
    </row>
    <row r="795" spans="1:6" x14ac:dyDescent="0.25">
      <c r="A795" s="11">
        <f t="shared" si="12"/>
        <v>8303298</v>
      </c>
      <c r="B795" s="17">
        <v>8303298</v>
      </c>
      <c r="C795" s="17" t="s">
        <v>1350</v>
      </c>
      <c r="D795" s="17">
        <v>2200</v>
      </c>
      <c r="E795" s="17">
        <v>66</v>
      </c>
      <c r="F795" s="7" t="str">
        <f>IF(A795=IFERROR(VLOOKUP(A795,CATALOGO!$B$2:$B$600,1,FALSE),"Falta"),"", "Falta")</f>
        <v/>
      </c>
    </row>
    <row r="796" spans="1:6" x14ac:dyDescent="0.25">
      <c r="A796" s="11">
        <f t="shared" si="12"/>
        <v>8303299</v>
      </c>
      <c r="B796" s="17">
        <v>8303299</v>
      </c>
      <c r="C796" s="17" t="s">
        <v>1348</v>
      </c>
      <c r="D796" s="17">
        <v>2200</v>
      </c>
      <c r="E796" s="17">
        <v>246</v>
      </c>
      <c r="F796" s="7" t="str">
        <f>IF(A796=IFERROR(VLOOKUP(A796,CATALOGO!$B$2:$B$600,1,FALSE),"Falta"),"", "Falta")</f>
        <v/>
      </c>
    </row>
    <row r="797" spans="1:6" x14ac:dyDescent="0.25">
      <c r="A797" s="11">
        <f t="shared" si="12"/>
        <v>8303300</v>
      </c>
      <c r="B797" s="17">
        <v>8303300</v>
      </c>
      <c r="C797" s="17" t="s">
        <v>1351</v>
      </c>
      <c r="D797" s="17">
        <v>2200</v>
      </c>
      <c r="E797" s="17">
        <v>242</v>
      </c>
      <c r="F797" s="7" t="str">
        <f>IF(A797=IFERROR(VLOOKUP(A797,CATALOGO!$B$2:$B$600,1,FALSE),"Falta"),"", "Falta")</f>
        <v/>
      </c>
    </row>
    <row r="798" spans="1:6" x14ac:dyDescent="0.25">
      <c r="A798" s="11">
        <f t="shared" si="12"/>
        <v>8303357</v>
      </c>
      <c r="B798" s="17">
        <v>8303357</v>
      </c>
      <c r="C798" s="17" t="s">
        <v>394</v>
      </c>
      <c r="D798" s="17">
        <v>790</v>
      </c>
      <c r="E798" s="17">
        <v>7</v>
      </c>
      <c r="F798" s="7" t="str">
        <f>IF(A798=IFERROR(VLOOKUP(A798,CATALOGO!$B$2:$B$600,1,FALSE),"Falta"),"", "Falta")</f>
        <v>Falta</v>
      </c>
    </row>
    <row r="799" spans="1:6" x14ac:dyDescent="0.25">
      <c r="A799" s="11">
        <f t="shared" si="12"/>
        <v>8303495</v>
      </c>
      <c r="B799" s="17">
        <v>8303495</v>
      </c>
      <c r="C799" s="17" t="s">
        <v>1635</v>
      </c>
      <c r="D799" s="17">
        <v>603.79</v>
      </c>
      <c r="E799" s="17">
        <v>42</v>
      </c>
      <c r="F799" s="7" t="str">
        <f>IF(A799=IFERROR(VLOOKUP(A799,CATALOGO!$B$2:$B$600,1,FALSE),"Falta"),"", "Falta")</f>
        <v>Falta</v>
      </c>
    </row>
    <row r="800" spans="1:6" x14ac:dyDescent="0.25">
      <c r="A800" s="11">
        <f t="shared" si="12"/>
        <v>8303496</v>
      </c>
      <c r="B800" s="17">
        <v>8303496</v>
      </c>
      <c r="C800" s="17" t="s">
        <v>1636</v>
      </c>
      <c r="D800" s="17">
        <v>603.79</v>
      </c>
      <c r="E800" s="17">
        <v>1</v>
      </c>
      <c r="F800" s="7" t="str">
        <f>IF(A800=IFERROR(VLOOKUP(A800,CATALOGO!$B$2:$B$600,1,FALSE),"Falta"),"", "Falta")</f>
        <v>Falta</v>
      </c>
    </row>
    <row r="801" spans="1:6" x14ac:dyDescent="0.25">
      <c r="A801" s="11">
        <f t="shared" si="12"/>
        <v>8303544</v>
      </c>
      <c r="B801" s="17">
        <v>8303544</v>
      </c>
      <c r="C801" s="17" t="s">
        <v>390</v>
      </c>
      <c r="D801" s="17">
        <v>603.79</v>
      </c>
      <c r="E801" s="17">
        <v>8</v>
      </c>
      <c r="F801" s="7" t="str">
        <f>IF(A801=IFERROR(VLOOKUP(A801,CATALOGO!$B$2:$B$600,1,FALSE),"Falta"),"", "Falta")</f>
        <v>Falta</v>
      </c>
    </row>
    <row r="802" spans="1:6" x14ac:dyDescent="0.25">
      <c r="A802" s="11">
        <f t="shared" si="12"/>
        <v>8303665</v>
      </c>
      <c r="B802" s="17">
        <v>8303665</v>
      </c>
      <c r="C802" s="17" t="s">
        <v>378</v>
      </c>
      <c r="D802" s="17">
        <v>724.79</v>
      </c>
      <c r="E802" s="17">
        <v>5</v>
      </c>
      <c r="F802" s="7" t="str">
        <f>IF(A802=IFERROR(VLOOKUP(A802,CATALOGO!$B$2:$B$600,1,FALSE),"Falta"),"", "Falta")</f>
        <v>Falta</v>
      </c>
    </row>
    <row r="803" spans="1:6" x14ac:dyDescent="0.25">
      <c r="A803" s="11">
        <f t="shared" si="12"/>
        <v>8303674</v>
      </c>
      <c r="B803" s="17">
        <v>8303674</v>
      </c>
      <c r="C803" s="17" t="s">
        <v>1637</v>
      </c>
      <c r="D803" s="17">
        <v>450</v>
      </c>
      <c r="E803" s="17">
        <v>57</v>
      </c>
      <c r="F803" s="7" t="str">
        <f>IF(A803=IFERROR(VLOOKUP(A803,CATALOGO!$B$2:$B$600,1,FALSE),"Falta"),"", "Falta")</f>
        <v>Falta</v>
      </c>
    </row>
    <row r="804" spans="1:6" x14ac:dyDescent="0.25">
      <c r="A804" s="11">
        <f t="shared" si="12"/>
        <v>8303677</v>
      </c>
      <c r="B804" s="17">
        <v>8303677</v>
      </c>
      <c r="C804" s="17" t="s">
        <v>1638</v>
      </c>
      <c r="D804" s="17">
        <v>450</v>
      </c>
      <c r="E804" s="17">
        <v>571</v>
      </c>
      <c r="F804" s="7" t="str">
        <f>IF(A804=IFERROR(VLOOKUP(A804,CATALOGO!$B$2:$B$600,1,FALSE),"Falta"),"", "Falta")</f>
        <v>Falta</v>
      </c>
    </row>
    <row r="805" spans="1:6" x14ac:dyDescent="0.25">
      <c r="A805" s="11">
        <f t="shared" si="12"/>
        <v>8303701</v>
      </c>
      <c r="B805" s="17">
        <v>8303701</v>
      </c>
      <c r="C805" s="17" t="s">
        <v>393</v>
      </c>
      <c r="D805" s="17">
        <v>880</v>
      </c>
      <c r="E805" s="17">
        <v>53</v>
      </c>
      <c r="F805" s="7" t="str">
        <f>IF(A805=IFERROR(VLOOKUP(A805,CATALOGO!$B$2:$B$600,1,FALSE),"Falta"),"", "Falta")</f>
        <v>Falta</v>
      </c>
    </row>
    <row r="806" spans="1:6" x14ac:dyDescent="0.25">
      <c r="A806" s="11">
        <f t="shared" si="12"/>
        <v>8303800</v>
      </c>
      <c r="B806" s="17">
        <v>8303800</v>
      </c>
      <c r="C806" s="17" t="s">
        <v>1440</v>
      </c>
      <c r="D806" s="17">
        <v>748</v>
      </c>
      <c r="E806" s="17">
        <v>5</v>
      </c>
      <c r="F806" s="7" t="str">
        <f>IF(A806=IFERROR(VLOOKUP(A806,CATALOGO!$B$2:$B$600,1,FALSE),"Falta"),"", "Falta")</f>
        <v>Falta</v>
      </c>
    </row>
    <row r="807" spans="1:6" x14ac:dyDescent="0.25">
      <c r="A807" s="11">
        <f t="shared" si="12"/>
        <v>8303900</v>
      </c>
      <c r="B807" s="17">
        <v>8303900</v>
      </c>
      <c r="C807" s="17" t="s">
        <v>391</v>
      </c>
      <c r="D807" s="17">
        <v>603.79</v>
      </c>
      <c r="E807" s="17">
        <v>48</v>
      </c>
      <c r="F807" s="7" t="str">
        <f>IF(A807=IFERROR(VLOOKUP(A807,CATALOGO!$B$2:$B$600,1,FALSE),"Falta"),"", "Falta")</f>
        <v>Falta</v>
      </c>
    </row>
    <row r="808" spans="1:6" x14ac:dyDescent="0.25">
      <c r="A808" s="11">
        <f t="shared" si="12"/>
        <v>8305000</v>
      </c>
      <c r="B808" s="17">
        <v>8305000</v>
      </c>
      <c r="C808" s="17" t="s">
        <v>666</v>
      </c>
      <c r="D808" s="17">
        <v>3298.9</v>
      </c>
      <c r="E808" s="17">
        <v>65</v>
      </c>
      <c r="F808" s="7" t="str">
        <f>IF(A808=IFERROR(VLOOKUP(A808,CATALOGO!$B$2:$B$600,1,FALSE),"Falta"),"", "Falta")</f>
        <v/>
      </c>
    </row>
    <row r="809" spans="1:6" x14ac:dyDescent="0.25">
      <c r="A809" s="11">
        <f t="shared" si="12"/>
        <v>8305002</v>
      </c>
      <c r="B809" s="17">
        <v>8305002</v>
      </c>
      <c r="C809" s="17" t="s">
        <v>669</v>
      </c>
      <c r="D809" s="17">
        <v>3298.9</v>
      </c>
      <c r="E809" s="17">
        <v>18</v>
      </c>
      <c r="F809" s="7" t="str">
        <f>IF(A809=IFERROR(VLOOKUP(A809,CATALOGO!$B$2:$B$600,1,FALSE),"Falta"),"", "Falta")</f>
        <v/>
      </c>
    </row>
    <row r="810" spans="1:6" x14ac:dyDescent="0.25">
      <c r="A810" s="11">
        <f t="shared" si="12"/>
        <v>8305006</v>
      </c>
      <c r="B810" s="17">
        <v>8305006</v>
      </c>
      <c r="C810" s="17" t="s">
        <v>2466</v>
      </c>
      <c r="D810" s="17">
        <v>0</v>
      </c>
      <c r="E810" s="17">
        <v>2</v>
      </c>
      <c r="F810" s="7" t="str">
        <f>IF(A810=IFERROR(VLOOKUP(A810,CATALOGO!$B$2:$B$600,1,FALSE),"Falta"),"", "Falta")</f>
        <v/>
      </c>
    </row>
    <row r="811" spans="1:6" x14ac:dyDescent="0.25">
      <c r="A811" s="11">
        <f t="shared" si="12"/>
        <v>8305007</v>
      </c>
      <c r="B811" s="17">
        <v>8305007</v>
      </c>
      <c r="C811" s="17" t="s">
        <v>2467</v>
      </c>
      <c r="D811" s="17">
        <v>0</v>
      </c>
      <c r="E811" s="17">
        <v>3</v>
      </c>
      <c r="F811" s="7" t="str">
        <f>IF(A811=IFERROR(VLOOKUP(A811,CATALOGO!$B$2:$B$600,1,FALSE),"Falta"),"", "Falta")</f>
        <v>Falta</v>
      </c>
    </row>
    <row r="812" spans="1:6" x14ac:dyDescent="0.25">
      <c r="A812" s="11">
        <f t="shared" si="12"/>
        <v>8305008</v>
      </c>
      <c r="B812" s="17">
        <v>8305008</v>
      </c>
      <c r="C812" s="17" t="s">
        <v>2468</v>
      </c>
      <c r="D812" s="17">
        <v>0</v>
      </c>
      <c r="E812" s="17">
        <v>2</v>
      </c>
      <c r="F812" s="7" t="str">
        <f>IF(A812=IFERROR(VLOOKUP(A812,CATALOGO!$B$2:$B$600,1,FALSE),"Falta"),"", "Falta")</f>
        <v>Falta</v>
      </c>
    </row>
    <row r="813" spans="1:6" x14ac:dyDescent="0.25">
      <c r="A813" s="11">
        <f t="shared" si="12"/>
        <v>8305009</v>
      </c>
      <c r="B813" s="17">
        <v>8305009</v>
      </c>
      <c r="C813" s="17" t="s">
        <v>665</v>
      </c>
      <c r="D813" s="17">
        <v>4719</v>
      </c>
      <c r="E813" s="17">
        <v>6</v>
      </c>
      <c r="F813" s="7" t="str">
        <f>IF(A813=IFERROR(VLOOKUP(A813,CATALOGO!$B$2:$B$600,1,FALSE),"Falta"),"", "Falta")</f>
        <v>Falta</v>
      </c>
    </row>
    <row r="814" spans="1:6" x14ac:dyDescent="0.25">
      <c r="A814" s="11">
        <f t="shared" si="12"/>
        <v>8306100</v>
      </c>
      <c r="B814" s="17">
        <v>8306100</v>
      </c>
      <c r="C814" s="17" t="s">
        <v>694</v>
      </c>
      <c r="D814" s="17">
        <v>800</v>
      </c>
      <c r="E814" s="17">
        <v>21</v>
      </c>
      <c r="F814" s="7" t="str">
        <f>IF(A814=IFERROR(VLOOKUP(A814,CATALOGO!$B$2:$B$600,1,FALSE),"Falta"),"", "Falta")</f>
        <v/>
      </c>
    </row>
    <row r="815" spans="1:6" x14ac:dyDescent="0.25">
      <c r="A815" s="11">
        <f t="shared" si="12"/>
        <v>8306101</v>
      </c>
      <c r="B815" s="17">
        <v>8306101</v>
      </c>
      <c r="C815" s="17" t="s">
        <v>696</v>
      </c>
      <c r="D815" s="17">
        <v>999.99</v>
      </c>
      <c r="E815" s="17">
        <v>75</v>
      </c>
      <c r="F815" s="7" t="str">
        <f>IF(A815=IFERROR(VLOOKUP(A815,CATALOGO!$B$2:$B$600,1,FALSE),"Falta"),"", "Falta")</f>
        <v/>
      </c>
    </row>
    <row r="816" spans="1:6" x14ac:dyDescent="0.25">
      <c r="A816" s="11">
        <f t="shared" si="12"/>
        <v>8306200</v>
      </c>
      <c r="B816" s="17">
        <v>8306200</v>
      </c>
      <c r="C816" s="17" t="s">
        <v>697</v>
      </c>
      <c r="D816" s="17">
        <v>550</v>
      </c>
      <c r="E816" s="17">
        <v>86</v>
      </c>
      <c r="F816" s="7" t="str">
        <f>IF(A816=IFERROR(VLOOKUP(A816,CATALOGO!$B$2:$B$600,1,FALSE),"Falta"),"", "Falta")</f>
        <v/>
      </c>
    </row>
    <row r="817" spans="1:6" x14ac:dyDescent="0.25">
      <c r="A817" s="11">
        <f t="shared" si="12"/>
        <v>8307017</v>
      </c>
      <c r="B817" s="17">
        <v>8307017</v>
      </c>
      <c r="C817" s="17" t="s">
        <v>1640</v>
      </c>
      <c r="D817" s="17">
        <v>2700</v>
      </c>
      <c r="E817" s="17">
        <v>10</v>
      </c>
      <c r="F817" s="7" t="str">
        <f>IF(A817=IFERROR(VLOOKUP(A817,CATALOGO!$B$2:$B$600,1,FALSE),"Falta"),"", "Falta")</f>
        <v>Falta</v>
      </c>
    </row>
    <row r="818" spans="1:6" x14ac:dyDescent="0.25">
      <c r="A818" s="11">
        <f t="shared" si="12"/>
        <v>8307018</v>
      </c>
      <c r="B818" s="17">
        <v>8307018</v>
      </c>
      <c r="C818" s="17" t="s">
        <v>2470</v>
      </c>
      <c r="D818" s="17">
        <v>0</v>
      </c>
      <c r="E818" s="17">
        <v>9</v>
      </c>
      <c r="F818" s="7" t="str">
        <f>IF(A818=IFERROR(VLOOKUP(A818,CATALOGO!$B$2:$B$600,1,FALSE),"Falta"),"", "Falta")</f>
        <v>Falta</v>
      </c>
    </row>
    <row r="819" spans="1:6" x14ac:dyDescent="0.25">
      <c r="A819" s="11">
        <f t="shared" si="12"/>
        <v>8307810</v>
      </c>
      <c r="B819" s="17">
        <v>8307810</v>
      </c>
      <c r="C819" s="17" t="s">
        <v>1641</v>
      </c>
      <c r="D819" s="17">
        <v>9899.99</v>
      </c>
      <c r="E819" s="17">
        <v>2</v>
      </c>
      <c r="F819" s="7" t="str">
        <f>IF(A819=IFERROR(VLOOKUP(A819,CATALOGO!$B$2:$B$600,1,FALSE),"Falta"),"", "Falta")</f>
        <v>Falta</v>
      </c>
    </row>
    <row r="820" spans="1:6" x14ac:dyDescent="0.25">
      <c r="A820" s="11">
        <f t="shared" si="12"/>
        <v>8400010</v>
      </c>
      <c r="B820" s="17">
        <v>8400010</v>
      </c>
      <c r="C820" s="17" t="s">
        <v>671</v>
      </c>
      <c r="D820" s="17">
        <v>301.29000000000002</v>
      </c>
      <c r="E820" s="17">
        <v>12</v>
      </c>
      <c r="F820" s="7" t="str">
        <f>IF(A820=IFERROR(VLOOKUP(A820,CATALOGO!$B$2:$B$600,1,FALSE),"Falta"),"", "Falta")</f>
        <v/>
      </c>
    </row>
    <row r="821" spans="1:6" x14ac:dyDescent="0.25">
      <c r="A821" s="11">
        <f t="shared" si="12"/>
        <v>8400024</v>
      </c>
      <c r="B821" s="17">
        <v>8400024</v>
      </c>
      <c r="C821" s="17" t="s">
        <v>678</v>
      </c>
      <c r="D821" s="17">
        <v>535.71</v>
      </c>
      <c r="E821" s="17">
        <v>33</v>
      </c>
      <c r="F821" s="7" t="str">
        <f>IF(A821=IFERROR(VLOOKUP(A821,CATALOGO!$B$2:$B$600,1,FALSE),"Falta"),"", "Falta")</f>
        <v/>
      </c>
    </row>
    <row r="822" spans="1:6" x14ac:dyDescent="0.25">
      <c r="A822" s="11">
        <f t="shared" si="12"/>
        <v>8400027</v>
      </c>
      <c r="B822" s="17">
        <v>8400027</v>
      </c>
      <c r="C822" s="17" t="s">
        <v>679</v>
      </c>
      <c r="D822" s="17">
        <v>535.71</v>
      </c>
      <c r="E822" s="17">
        <v>6</v>
      </c>
      <c r="F822" s="7" t="str">
        <f>IF(A822=IFERROR(VLOOKUP(A822,CATALOGO!$B$2:$B$600,1,FALSE),"Falta"),"", "Falta")</f>
        <v>Falta</v>
      </c>
    </row>
    <row r="823" spans="1:6" x14ac:dyDescent="0.25">
      <c r="A823" s="11">
        <f t="shared" si="12"/>
        <v>8400070</v>
      </c>
      <c r="B823" s="17">
        <v>8400070</v>
      </c>
      <c r="C823" s="17" t="s">
        <v>1063</v>
      </c>
      <c r="D823" s="17">
        <v>180.29</v>
      </c>
      <c r="E823" s="17">
        <v>86</v>
      </c>
      <c r="F823" s="7" t="str">
        <f>IF(A823=IFERROR(VLOOKUP(A823,CATALOGO!$B$2:$B$600,1,FALSE),"Falta"),"", "Falta")</f>
        <v>Falta</v>
      </c>
    </row>
    <row r="824" spans="1:6" x14ac:dyDescent="0.25">
      <c r="A824" s="11">
        <f t="shared" si="12"/>
        <v>8400080</v>
      </c>
      <c r="B824" s="17">
        <v>8400080</v>
      </c>
      <c r="C824" s="17" t="s">
        <v>1062</v>
      </c>
      <c r="D824" s="17">
        <v>151.54</v>
      </c>
      <c r="E824" s="17">
        <v>10</v>
      </c>
      <c r="F824" s="7" t="str">
        <f>IF(A824=IFERROR(VLOOKUP(A824,CATALOGO!$B$2:$B$600,1,FALSE),"Falta"),"", "Falta")</f>
        <v>Falta</v>
      </c>
    </row>
    <row r="825" spans="1:6" x14ac:dyDescent="0.25">
      <c r="A825" s="11">
        <f t="shared" si="12"/>
        <v>8400112</v>
      </c>
      <c r="B825" s="17">
        <v>8400112</v>
      </c>
      <c r="C825" s="17" t="s">
        <v>688</v>
      </c>
      <c r="D825" s="17">
        <v>535.71</v>
      </c>
      <c r="E825" s="17">
        <v>10</v>
      </c>
      <c r="F825" s="7" t="str">
        <f>IF(A825=IFERROR(VLOOKUP(A825,CATALOGO!$B$2:$B$600,1,FALSE),"Falta"),"", "Falta")</f>
        <v>Falta</v>
      </c>
    </row>
    <row r="826" spans="1:6" x14ac:dyDescent="0.25">
      <c r="A826" s="11">
        <f t="shared" si="12"/>
        <v>8400128</v>
      </c>
      <c r="B826" s="17">
        <v>8400128</v>
      </c>
      <c r="C826" s="17" t="s">
        <v>676</v>
      </c>
      <c r="D826" s="17">
        <v>301.29000000000002</v>
      </c>
      <c r="E826" s="17">
        <v>319</v>
      </c>
      <c r="F826" s="7" t="str">
        <f>IF(A826=IFERROR(VLOOKUP(A826,CATALOGO!$B$2:$B$600,1,FALSE),"Falta"),"", "Falta")</f>
        <v/>
      </c>
    </row>
    <row r="827" spans="1:6" x14ac:dyDescent="0.25">
      <c r="A827" s="11">
        <f t="shared" si="12"/>
        <v>8400129</v>
      </c>
      <c r="B827" s="17">
        <v>8400129</v>
      </c>
      <c r="C827" s="17" t="s">
        <v>677</v>
      </c>
      <c r="D827" s="17">
        <v>301.29000000000002</v>
      </c>
      <c r="E827" s="17">
        <v>420</v>
      </c>
      <c r="F827" s="7" t="str">
        <f>IF(A827=IFERROR(VLOOKUP(A827,CATALOGO!$B$2:$B$600,1,FALSE),"Falta"),"", "Falta")</f>
        <v/>
      </c>
    </row>
    <row r="828" spans="1:6" x14ac:dyDescent="0.25">
      <c r="A828" s="11">
        <f t="shared" si="12"/>
        <v>8400240</v>
      </c>
      <c r="B828" s="17">
        <v>8400240</v>
      </c>
      <c r="C828" s="17" t="s">
        <v>695</v>
      </c>
      <c r="D828" s="17">
        <v>304.60000000000002</v>
      </c>
      <c r="E828" s="17">
        <v>149</v>
      </c>
      <c r="F828" s="7" t="str">
        <f>IF(A828=IFERROR(VLOOKUP(A828,CATALOGO!$B$2:$B$600,1,FALSE),"Falta"),"", "Falta")</f>
        <v/>
      </c>
    </row>
    <row r="829" spans="1:6" x14ac:dyDescent="0.25">
      <c r="A829" s="11">
        <f t="shared" si="12"/>
        <v>8400252</v>
      </c>
      <c r="B829" s="17">
        <v>8400252</v>
      </c>
      <c r="C829" s="17" t="s">
        <v>689</v>
      </c>
      <c r="D829" s="17">
        <v>535.71</v>
      </c>
      <c r="E829" s="17">
        <v>22</v>
      </c>
      <c r="F829" s="7" t="str">
        <f>IF(A829=IFERROR(VLOOKUP(A829,CATALOGO!$B$2:$B$600,1,FALSE),"Falta"),"", "Falta")</f>
        <v>Falta</v>
      </c>
    </row>
    <row r="830" spans="1:6" x14ac:dyDescent="0.25">
      <c r="A830" s="11">
        <f t="shared" si="12"/>
        <v>8400286</v>
      </c>
      <c r="B830" s="17">
        <v>8400286</v>
      </c>
      <c r="C830" s="17" t="s">
        <v>1648</v>
      </c>
      <c r="D830" s="17">
        <v>483.99</v>
      </c>
      <c r="E830" s="17">
        <v>19</v>
      </c>
      <c r="F830" s="7" t="str">
        <f>IF(A830=IFERROR(VLOOKUP(A830,CATALOGO!$B$2:$B$600,1,FALSE),"Falta"),"", "Falta")</f>
        <v>Falta</v>
      </c>
    </row>
    <row r="831" spans="1:6" x14ac:dyDescent="0.25">
      <c r="A831" s="11">
        <f t="shared" si="12"/>
        <v>8400292</v>
      </c>
      <c r="B831" s="17">
        <v>8400292</v>
      </c>
      <c r="C831" s="17" t="s">
        <v>1649</v>
      </c>
      <c r="D831" s="17">
        <v>535.71</v>
      </c>
      <c r="E831" s="17">
        <v>7</v>
      </c>
      <c r="F831" s="7" t="str">
        <f>IF(A831=IFERROR(VLOOKUP(A831,CATALOGO!$B$2:$B$600,1,FALSE),"Falta"),"", "Falta")</f>
        <v>Falta</v>
      </c>
    </row>
    <row r="832" spans="1:6" x14ac:dyDescent="0.25">
      <c r="A832" s="11">
        <f t="shared" si="12"/>
        <v>8400300</v>
      </c>
      <c r="B832" s="17">
        <v>8400300</v>
      </c>
      <c r="C832" s="17" t="s">
        <v>687</v>
      </c>
      <c r="D832" s="17">
        <v>535.71</v>
      </c>
      <c r="E832" s="17">
        <v>6</v>
      </c>
      <c r="F832" s="7" t="str">
        <f>IF(A832=IFERROR(VLOOKUP(A832,CATALOGO!$B$2:$B$600,1,FALSE),"Falta"),"", "Falta")</f>
        <v>Falta</v>
      </c>
    </row>
    <row r="833" spans="1:6" x14ac:dyDescent="0.25">
      <c r="A833" s="11">
        <f t="shared" si="12"/>
        <v>8400333</v>
      </c>
      <c r="B833" s="17">
        <v>8400333</v>
      </c>
      <c r="C833" s="17" t="s">
        <v>1650</v>
      </c>
      <c r="D833" s="17">
        <v>535.71</v>
      </c>
      <c r="E833" s="17">
        <v>17</v>
      </c>
      <c r="F833" s="7" t="str">
        <f>IF(A833=IFERROR(VLOOKUP(A833,CATALOGO!$B$2:$B$600,1,FALSE),"Falta"),"", "Falta")</f>
        <v>Falta</v>
      </c>
    </row>
    <row r="834" spans="1:6" x14ac:dyDescent="0.25">
      <c r="A834" s="11">
        <f t="shared" si="12"/>
        <v>8400356</v>
      </c>
      <c r="B834" s="17">
        <v>8400356</v>
      </c>
      <c r="C834" s="17" t="s">
        <v>1651</v>
      </c>
      <c r="D834" s="17">
        <v>535.71</v>
      </c>
      <c r="E834" s="17">
        <v>7</v>
      </c>
      <c r="F834" s="7" t="str">
        <f>IF(A834=IFERROR(VLOOKUP(A834,CATALOGO!$B$2:$B$600,1,FALSE),"Falta"),"", "Falta")</f>
        <v>Falta</v>
      </c>
    </row>
    <row r="835" spans="1:6" x14ac:dyDescent="0.25">
      <c r="A835" s="11">
        <f t="shared" si="12"/>
        <v>8400357</v>
      </c>
      <c r="B835" s="17">
        <v>8400357</v>
      </c>
      <c r="C835" s="17" t="s">
        <v>1652</v>
      </c>
      <c r="D835" s="17">
        <v>535.71</v>
      </c>
      <c r="E835" s="17">
        <v>7</v>
      </c>
      <c r="F835" s="7" t="str">
        <f>IF(A835=IFERROR(VLOOKUP(A835,CATALOGO!$B$2:$B$600,1,FALSE),"Falta"),"", "Falta")</f>
        <v>Falta</v>
      </c>
    </row>
    <row r="836" spans="1:6" x14ac:dyDescent="0.25">
      <c r="A836" s="11">
        <f t="shared" si="12"/>
        <v>8400390</v>
      </c>
      <c r="B836" s="17">
        <v>8400390</v>
      </c>
      <c r="C836" s="17" t="s">
        <v>682</v>
      </c>
      <c r="D836" s="17">
        <v>535.71</v>
      </c>
      <c r="E836" s="17">
        <v>12</v>
      </c>
      <c r="F836" s="7" t="str">
        <f>IF(A836=IFERROR(VLOOKUP(A836,CATALOGO!$B$2:$B$600,1,FALSE),"Falta"),"", "Falta")</f>
        <v>Falta</v>
      </c>
    </row>
    <row r="837" spans="1:6" x14ac:dyDescent="0.25">
      <c r="A837" s="11">
        <f t="shared" si="12"/>
        <v>8400650</v>
      </c>
      <c r="B837" s="17">
        <v>8400650</v>
      </c>
      <c r="C837" s="17" t="s">
        <v>1654</v>
      </c>
      <c r="D837" s="17">
        <v>535.71</v>
      </c>
      <c r="E837" s="17">
        <v>16</v>
      </c>
      <c r="F837" s="7" t="str">
        <f>IF(A837=IFERROR(VLOOKUP(A837,CATALOGO!$B$2:$B$600,1,FALSE),"Falta"),"", "Falta")</f>
        <v>Falta</v>
      </c>
    </row>
    <row r="838" spans="1:6" x14ac:dyDescent="0.25">
      <c r="A838" s="11">
        <f t="shared" ref="A838:A901" si="13">IFERROR(B838*1,"")</f>
        <v>8400661</v>
      </c>
      <c r="B838" s="17">
        <v>8400661</v>
      </c>
      <c r="C838" s="17" t="s">
        <v>1655</v>
      </c>
      <c r="D838" s="17">
        <v>368.91</v>
      </c>
      <c r="E838" s="17">
        <v>1</v>
      </c>
      <c r="F838" s="7" t="str">
        <f>IF(A838=IFERROR(VLOOKUP(A838,CATALOGO!$B$2:$B$600,1,FALSE),"Falta"),"", "Falta")</f>
        <v>Falta</v>
      </c>
    </row>
    <row r="839" spans="1:6" x14ac:dyDescent="0.25">
      <c r="A839" s="11">
        <f t="shared" si="13"/>
        <v>8400689</v>
      </c>
      <c r="B839" s="17">
        <v>8400689</v>
      </c>
      <c r="C839" s="17" t="s">
        <v>1853</v>
      </c>
      <c r="D839" s="17">
        <v>400</v>
      </c>
      <c r="E839" s="17">
        <v>603</v>
      </c>
      <c r="F839" s="7" t="str">
        <f>IF(A839=IFERROR(VLOOKUP(A839,CATALOGO!$B$2:$B$600,1,FALSE),"Falta"),"", "Falta")</f>
        <v/>
      </c>
    </row>
    <row r="840" spans="1:6" x14ac:dyDescent="0.25">
      <c r="A840" s="11">
        <f t="shared" si="13"/>
        <v>8400691</v>
      </c>
      <c r="B840" s="17">
        <v>8400691</v>
      </c>
      <c r="C840" s="17" t="s">
        <v>1656</v>
      </c>
      <c r="D840" s="17">
        <v>400</v>
      </c>
      <c r="E840" s="17">
        <v>595</v>
      </c>
      <c r="F840" s="7" t="str">
        <f>IF(A840=IFERROR(VLOOKUP(A840,CATALOGO!$B$2:$B$600,1,FALSE),"Falta"),"", "Falta")</f>
        <v/>
      </c>
    </row>
    <row r="841" spans="1:6" x14ac:dyDescent="0.25">
      <c r="A841" s="11">
        <f t="shared" si="13"/>
        <v>8400908</v>
      </c>
      <c r="B841" s="17">
        <v>8400908</v>
      </c>
      <c r="C841" s="17" t="s">
        <v>1657</v>
      </c>
      <c r="D841" s="17">
        <v>700</v>
      </c>
      <c r="E841" s="17">
        <v>17</v>
      </c>
      <c r="F841" s="7" t="str">
        <f>IF(A841=IFERROR(VLOOKUP(A841,CATALOGO!$B$2:$B$600,1,FALSE),"Falta"),"", "Falta")</f>
        <v/>
      </c>
    </row>
    <row r="842" spans="1:6" x14ac:dyDescent="0.25">
      <c r="A842" s="11">
        <f t="shared" si="13"/>
        <v>8401001</v>
      </c>
      <c r="B842" s="17">
        <v>8401001</v>
      </c>
      <c r="C842" s="17" t="s">
        <v>1394</v>
      </c>
      <c r="D842" s="17">
        <v>950</v>
      </c>
      <c r="E842" s="17">
        <v>46</v>
      </c>
      <c r="F842" s="7" t="str">
        <f>IF(A842=IFERROR(VLOOKUP(A842,CATALOGO!$B$2:$B$600,1,FALSE),"Falta"),"", "Falta")</f>
        <v/>
      </c>
    </row>
    <row r="843" spans="1:6" x14ac:dyDescent="0.25">
      <c r="A843" s="11">
        <f t="shared" si="13"/>
        <v>8401003</v>
      </c>
      <c r="B843" s="17">
        <v>8401003</v>
      </c>
      <c r="C843" s="17" t="s">
        <v>1395</v>
      </c>
      <c r="D843" s="17">
        <v>950</v>
      </c>
      <c r="E843" s="17">
        <v>3</v>
      </c>
      <c r="F843" s="7" t="str">
        <f>IF(A843=IFERROR(VLOOKUP(A843,CATALOGO!$B$2:$B$600,1,FALSE),"Falta"),"", "Falta")</f>
        <v/>
      </c>
    </row>
    <row r="844" spans="1:6" x14ac:dyDescent="0.25">
      <c r="A844" s="11">
        <f t="shared" si="13"/>
        <v>8401004</v>
      </c>
      <c r="B844" s="17">
        <v>8401004</v>
      </c>
      <c r="C844" s="17" t="s">
        <v>1429</v>
      </c>
      <c r="D844" s="17">
        <v>950</v>
      </c>
      <c r="E844" s="17">
        <v>1</v>
      </c>
      <c r="F844" s="7" t="str">
        <f>IF(A844=IFERROR(VLOOKUP(A844,CATALOGO!$B$2:$B$600,1,FALSE),"Falta"),"", "Falta")</f>
        <v/>
      </c>
    </row>
    <row r="845" spans="1:6" x14ac:dyDescent="0.25">
      <c r="A845" s="11">
        <f t="shared" si="13"/>
        <v>8401005</v>
      </c>
      <c r="B845" s="17">
        <v>8401005</v>
      </c>
      <c r="C845" s="17" t="s">
        <v>1658</v>
      </c>
      <c r="D845" s="17">
        <v>950</v>
      </c>
      <c r="E845" s="17">
        <v>11</v>
      </c>
      <c r="F845" s="7" t="str">
        <f>IF(A845=IFERROR(VLOOKUP(A845,CATALOGO!$B$2:$B$600,1,FALSE),"Falta"),"", "Falta")</f>
        <v/>
      </c>
    </row>
    <row r="846" spans="1:6" x14ac:dyDescent="0.25">
      <c r="A846" s="11">
        <f t="shared" si="13"/>
        <v>8401009</v>
      </c>
      <c r="B846" s="17">
        <v>8401009</v>
      </c>
      <c r="C846" s="17" t="s">
        <v>1659</v>
      </c>
      <c r="D846" s="17">
        <v>450</v>
      </c>
      <c r="E846" s="17">
        <v>33</v>
      </c>
      <c r="F846" s="7" t="str">
        <f>IF(A846=IFERROR(VLOOKUP(A846,CATALOGO!$B$2:$B$600,1,FALSE),"Falta"),"", "Falta")</f>
        <v/>
      </c>
    </row>
    <row r="847" spans="1:6" x14ac:dyDescent="0.25">
      <c r="A847" s="11">
        <f t="shared" si="13"/>
        <v>8401010</v>
      </c>
      <c r="B847" s="17">
        <v>8401010</v>
      </c>
      <c r="C847" s="17" t="s">
        <v>1660</v>
      </c>
      <c r="D847" s="17">
        <v>380</v>
      </c>
      <c r="E847" s="17">
        <v>38</v>
      </c>
      <c r="F847" s="7" t="str">
        <f>IF(A847=IFERROR(VLOOKUP(A847,CATALOGO!$B$2:$B$600,1,FALSE),"Falta"),"", "Falta")</f>
        <v/>
      </c>
    </row>
    <row r="848" spans="1:6" x14ac:dyDescent="0.25">
      <c r="A848" s="11">
        <f t="shared" si="13"/>
        <v>8500500</v>
      </c>
      <c r="B848" s="17">
        <v>8500500</v>
      </c>
      <c r="C848" s="17" t="s">
        <v>1331</v>
      </c>
      <c r="D848" s="17">
        <v>137.76</v>
      </c>
      <c r="E848" s="17">
        <v>110</v>
      </c>
      <c r="F848" s="7" t="str">
        <f>IF(A848=IFERROR(VLOOKUP(A848,CATALOGO!$B$2:$B$600,1,FALSE),"Falta"),"", "Falta")</f>
        <v>Falta</v>
      </c>
    </row>
    <row r="849" spans="1:6" x14ac:dyDescent="0.25">
      <c r="A849" s="11">
        <f t="shared" si="13"/>
        <v>8501025</v>
      </c>
      <c r="B849" s="17">
        <v>8501025</v>
      </c>
      <c r="C849" s="17" t="s">
        <v>1294</v>
      </c>
      <c r="D849" s="17">
        <v>1650</v>
      </c>
      <c r="E849" s="17">
        <v>5</v>
      </c>
      <c r="F849" s="7" t="str">
        <f>IF(A849=IFERROR(VLOOKUP(A849,CATALOGO!$B$2:$B$600,1,FALSE),"Falta"),"", "Falta")</f>
        <v/>
      </c>
    </row>
    <row r="850" spans="1:6" x14ac:dyDescent="0.25">
      <c r="A850" s="11">
        <f t="shared" si="13"/>
        <v>8501026</v>
      </c>
      <c r="B850" s="17">
        <v>8501026</v>
      </c>
      <c r="C850" s="17" t="s">
        <v>1296</v>
      </c>
      <c r="D850" s="17">
        <v>1410</v>
      </c>
      <c r="E850" s="17">
        <v>7</v>
      </c>
      <c r="F850" s="7" t="str">
        <f>IF(A850=IFERROR(VLOOKUP(A850,CATALOGO!$B$2:$B$600,1,FALSE),"Falta"),"", "Falta")</f>
        <v>Falta</v>
      </c>
    </row>
    <row r="851" spans="1:6" x14ac:dyDescent="0.25">
      <c r="A851" s="11">
        <f t="shared" si="13"/>
        <v>8501027</v>
      </c>
      <c r="B851" s="17">
        <v>8501027</v>
      </c>
      <c r="C851" s="17" t="s">
        <v>1295</v>
      </c>
      <c r="D851" s="17">
        <v>1080</v>
      </c>
      <c r="E851" s="17">
        <v>4</v>
      </c>
      <c r="F851" s="7" t="str">
        <f>IF(A851=IFERROR(VLOOKUP(A851,CATALOGO!$B$2:$B$600,1,FALSE),"Falta"),"", "Falta")</f>
        <v/>
      </c>
    </row>
    <row r="852" spans="1:6" x14ac:dyDescent="0.25">
      <c r="A852" s="11">
        <f t="shared" si="13"/>
        <v>8501662</v>
      </c>
      <c r="B852" s="17">
        <v>8501662</v>
      </c>
      <c r="C852" s="17" t="s">
        <v>1299</v>
      </c>
      <c r="D852" s="17">
        <v>1170</v>
      </c>
      <c r="E852" s="17">
        <v>361</v>
      </c>
      <c r="F852" s="7" t="str">
        <f>IF(A852=IFERROR(VLOOKUP(A852,CATALOGO!$B$2:$B$600,1,FALSE),"Falta"),"", "Falta")</f>
        <v>Falta</v>
      </c>
    </row>
    <row r="853" spans="1:6" x14ac:dyDescent="0.25">
      <c r="A853" s="11">
        <f t="shared" si="13"/>
        <v>8503012</v>
      </c>
      <c r="B853" s="17">
        <v>8503012</v>
      </c>
      <c r="C853" s="17" t="s">
        <v>1665</v>
      </c>
      <c r="D853" s="17">
        <v>3300</v>
      </c>
      <c r="E853" s="17">
        <v>244</v>
      </c>
      <c r="F853" s="7" t="str">
        <f>IF(A853=IFERROR(VLOOKUP(A853,CATALOGO!$B$2:$B$600,1,FALSE),"Falta"),"", "Falta")</f>
        <v/>
      </c>
    </row>
    <row r="854" spans="1:6" x14ac:dyDescent="0.25">
      <c r="A854" s="11">
        <f t="shared" si="13"/>
        <v>8503045</v>
      </c>
      <c r="B854" s="17">
        <v>8503045</v>
      </c>
      <c r="C854" s="17" t="s">
        <v>601</v>
      </c>
      <c r="D854" s="17">
        <v>3000</v>
      </c>
      <c r="E854" s="17">
        <v>225</v>
      </c>
      <c r="F854" s="7" t="str">
        <f>IF(A854=IFERROR(VLOOKUP(A854,CATALOGO!$B$2:$B$600,1,FALSE),"Falta"),"", "Falta")</f>
        <v/>
      </c>
    </row>
    <row r="855" spans="1:6" x14ac:dyDescent="0.25">
      <c r="A855" s="11">
        <f t="shared" si="13"/>
        <v>8503061</v>
      </c>
      <c r="B855" s="17">
        <v>8503061</v>
      </c>
      <c r="C855" s="17" t="s">
        <v>1666</v>
      </c>
      <c r="D855" s="17">
        <v>2418.79</v>
      </c>
      <c r="E855" s="17">
        <v>569</v>
      </c>
      <c r="F855" s="7" t="str">
        <f>IF(A855=IFERROR(VLOOKUP(A855,CATALOGO!$B$2:$B$600,1,FALSE),"Falta"),"", "Falta")</f>
        <v/>
      </c>
    </row>
    <row r="856" spans="1:6" x14ac:dyDescent="0.25">
      <c r="A856" s="11">
        <f t="shared" si="13"/>
        <v>8503063</v>
      </c>
      <c r="B856" s="17">
        <v>8503063</v>
      </c>
      <c r="C856" s="17" t="s">
        <v>2561</v>
      </c>
      <c r="D856" s="17">
        <v>0</v>
      </c>
      <c r="E856" s="17">
        <v>1</v>
      </c>
      <c r="F856" s="7" t="str">
        <f>IF(A856=IFERROR(VLOOKUP(A856,CATALOGO!$B$2:$B$600,1,FALSE),"Falta"),"", "Falta")</f>
        <v>Falta</v>
      </c>
    </row>
    <row r="857" spans="1:6" x14ac:dyDescent="0.25">
      <c r="A857" s="11">
        <f t="shared" si="13"/>
        <v>8503125</v>
      </c>
      <c r="B857" s="17">
        <v>8503125</v>
      </c>
      <c r="C857" s="17" t="s">
        <v>24</v>
      </c>
      <c r="D857" s="17">
        <v>1400</v>
      </c>
      <c r="E857" s="17">
        <v>91</v>
      </c>
      <c r="F857" s="7" t="str">
        <f>IF(A857=IFERROR(VLOOKUP(A857,CATALOGO!$B$2:$B$600,1,FALSE),"Falta"),"", "Falta")</f>
        <v/>
      </c>
    </row>
    <row r="858" spans="1:6" x14ac:dyDescent="0.25">
      <c r="A858" s="11">
        <f t="shared" si="13"/>
        <v>8503202</v>
      </c>
      <c r="B858" s="17">
        <v>8503202</v>
      </c>
      <c r="C858" s="17" t="s">
        <v>1398</v>
      </c>
      <c r="D858" s="17">
        <v>2299</v>
      </c>
      <c r="E858" s="17">
        <v>4</v>
      </c>
      <c r="F858" s="7" t="str">
        <f>IF(A858=IFERROR(VLOOKUP(A858,CATALOGO!$B$2:$B$600,1,FALSE),"Falta"),"", "Falta")</f>
        <v/>
      </c>
    </row>
    <row r="859" spans="1:6" x14ac:dyDescent="0.25">
      <c r="A859" s="11">
        <f t="shared" si="13"/>
        <v>8503234</v>
      </c>
      <c r="B859" s="17">
        <v>8503234</v>
      </c>
      <c r="C859" s="17" t="s">
        <v>1072</v>
      </c>
      <c r="D859" s="17">
        <v>2199.9899999999998</v>
      </c>
      <c r="E859" s="17">
        <v>3</v>
      </c>
      <c r="F859" s="7" t="str">
        <f>IF(A859=IFERROR(VLOOKUP(A859,CATALOGO!$B$2:$B$600,1,FALSE),"Falta"),"", "Falta")</f>
        <v>Falta</v>
      </c>
    </row>
    <row r="860" spans="1:6" x14ac:dyDescent="0.25">
      <c r="A860" s="11">
        <f t="shared" si="13"/>
        <v>8503258</v>
      </c>
      <c r="B860" s="17">
        <v>8503258</v>
      </c>
      <c r="C860" s="17" t="s">
        <v>1669</v>
      </c>
      <c r="D860" s="17">
        <v>35000</v>
      </c>
      <c r="E860" s="17">
        <v>4</v>
      </c>
      <c r="F860" s="7" t="str">
        <f>IF(A860=IFERROR(VLOOKUP(A860,CATALOGO!$B$2:$B$600,1,FALSE),"Falta"),"", "Falta")</f>
        <v/>
      </c>
    </row>
    <row r="861" spans="1:6" x14ac:dyDescent="0.25">
      <c r="A861" s="11">
        <f t="shared" si="13"/>
        <v>8503303</v>
      </c>
      <c r="B861" s="17">
        <v>8503303</v>
      </c>
      <c r="C861" s="17" t="s">
        <v>1347</v>
      </c>
      <c r="D861" s="17">
        <v>600</v>
      </c>
      <c r="E861" s="17">
        <v>84</v>
      </c>
      <c r="F861" s="7" t="str">
        <f>IF(A861=IFERROR(VLOOKUP(A861,CATALOGO!$B$2:$B$600,1,FALSE),"Falta"),"", "Falta")</f>
        <v/>
      </c>
    </row>
    <row r="862" spans="1:6" x14ac:dyDescent="0.25">
      <c r="A862" s="11">
        <f t="shared" si="13"/>
        <v>8503305</v>
      </c>
      <c r="B862" s="17">
        <v>8503305</v>
      </c>
      <c r="C862" s="17" t="s">
        <v>1670</v>
      </c>
      <c r="D862" s="17">
        <v>450</v>
      </c>
      <c r="E862" s="17">
        <v>549</v>
      </c>
      <c r="F862" s="7" t="str">
        <f>IF(A862=IFERROR(VLOOKUP(A862,CATALOGO!$B$2:$B$600,1,FALSE),"Falta"),"", "Falta")</f>
        <v/>
      </c>
    </row>
    <row r="863" spans="1:6" x14ac:dyDescent="0.25">
      <c r="A863" s="11">
        <f t="shared" si="13"/>
        <v>8503402</v>
      </c>
      <c r="B863" s="17">
        <v>8503402</v>
      </c>
      <c r="C863" s="17" t="s">
        <v>25</v>
      </c>
      <c r="D863" s="17">
        <v>650</v>
      </c>
      <c r="E863" s="17">
        <v>210</v>
      </c>
      <c r="F863" s="7" t="str">
        <f>IF(A863=IFERROR(VLOOKUP(A863,CATALOGO!$B$2:$B$600,1,FALSE),"Falta"),"", "Falta")</f>
        <v>Falta</v>
      </c>
    </row>
    <row r="864" spans="1:6" x14ac:dyDescent="0.25">
      <c r="A864" s="11">
        <f t="shared" si="13"/>
        <v>8503424</v>
      </c>
      <c r="B864" s="17">
        <v>8503424</v>
      </c>
      <c r="C864" s="17" t="s">
        <v>1671</v>
      </c>
      <c r="D864" s="17">
        <v>906.29</v>
      </c>
      <c r="E864" s="17">
        <v>1</v>
      </c>
      <c r="F864" s="7" t="str">
        <f>IF(A864=IFERROR(VLOOKUP(A864,CATALOGO!$B$2:$B$600,1,FALSE),"Falta"),"", "Falta")</f>
        <v>Falta</v>
      </c>
    </row>
    <row r="865" spans="1:6" x14ac:dyDescent="0.25">
      <c r="A865" s="11">
        <f t="shared" si="13"/>
        <v>8503457</v>
      </c>
      <c r="B865" s="17">
        <v>8503457</v>
      </c>
      <c r="C865" s="17" t="s">
        <v>2580</v>
      </c>
      <c r="D865" s="17">
        <v>0</v>
      </c>
      <c r="E865" s="17">
        <v>1</v>
      </c>
      <c r="F865" s="7" t="str">
        <f>IF(A865=IFERROR(VLOOKUP(A865,CATALOGO!$B$2:$B$600,1,FALSE),"Falta"),"", "Falta")</f>
        <v>Falta</v>
      </c>
    </row>
    <row r="866" spans="1:6" x14ac:dyDescent="0.25">
      <c r="A866" s="11">
        <f t="shared" si="13"/>
        <v>8503500</v>
      </c>
      <c r="B866" s="17">
        <v>8503500</v>
      </c>
      <c r="C866" s="17" t="s">
        <v>2582</v>
      </c>
      <c r="D866" s="17">
        <v>0</v>
      </c>
      <c r="E866" s="17">
        <v>1</v>
      </c>
      <c r="F866" s="7" t="str">
        <f>IF(A866=IFERROR(VLOOKUP(A866,CATALOGO!$B$2:$B$600,1,FALSE),"Falta"),"", "Falta")</f>
        <v>Falta</v>
      </c>
    </row>
    <row r="867" spans="1:6" x14ac:dyDescent="0.25">
      <c r="A867" s="11">
        <f t="shared" si="13"/>
        <v>8503600</v>
      </c>
      <c r="B867" s="17">
        <v>8503600</v>
      </c>
      <c r="C867" s="17" t="s">
        <v>829</v>
      </c>
      <c r="D867" s="17">
        <v>1300</v>
      </c>
      <c r="E867" s="17">
        <v>276</v>
      </c>
      <c r="F867" s="7" t="str">
        <f>IF(A867=IFERROR(VLOOKUP(A867,CATALOGO!$B$2:$B$600,1,FALSE),"Falta"),"", "Falta")</f>
        <v/>
      </c>
    </row>
    <row r="868" spans="1:6" x14ac:dyDescent="0.25">
      <c r="A868" s="11">
        <f t="shared" si="13"/>
        <v>8503639</v>
      </c>
      <c r="B868" s="17">
        <v>8503639</v>
      </c>
      <c r="C868" s="17" t="s">
        <v>1332</v>
      </c>
      <c r="D868" s="17">
        <v>2800</v>
      </c>
      <c r="E868" s="17">
        <v>2</v>
      </c>
      <c r="F868" s="7" t="str">
        <f>IF(A868=IFERROR(VLOOKUP(A868,CATALOGO!$B$2:$B$600,1,FALSE),"Falta"),"", "Falta")</f>
        <v/>
      </c>
    </row>
    <row r="869" spans="1:6" x14ac:dyDescent="0.25">
      <c r="A869" s="11">
        <f t="shared" si="13"/>
        <v>8503750</v>
      </c>
      <c r="B869" s="17">
        <v>8503750</v>
      </c>
      <c r="C869" s="17" t="s">
        <v>1337</v>
      </c>
      <c r="D869" s="17">
        <v>2176.79</v>
      </c>
      <c r="E869" s="17">
        <v>5</v>
      </c>
      <c r="F869" s="7" t="str">
        <f>IF(A869=IFERROR(VLOOKUP(A869,CATALOGO!$B$2:$B$600,1,FALSE),"Falta"),"", "Falta")</f>
        <v>Falta</v>
      </c>
    </row>
    <row r="870" spans="1:6" x14ac:dyDescent="0.25">
      <c r="A870" s="11">
        <f t="shared" si="13"/>
        <v>8503760</v>
      </c>
      <c r="B870" s="17">
        <v>8503760</v>
      </c>
      <c r="C870" s="17" t="s">
        <v>1336</v>
      </c>
      <c r="D870" s="17">
        <v>2176.79</v>
      </c>
      <c r="E870" s="17">
        <v>6</v>
      </c>
      <c r="F870" s="7" t="str">
        <f>IF(A870=IFERROR(VLOOKUP(A870,CATALOGO!$B$2:$B$600,1,FALSE),"Falta"),"", "Falta")</f>
        <v>Falta</v>
      </c>
    </row>
    <row r="871" spans="1:6" x14ac:dyDescent="0.25">
      <c r="A871" s="11">
        <f t="shared" si="13"/>
        <v>8503820</v>
      </c>
      <c r="B871" s="17">
        <v>8503820</v>
      </c>
      <c r="C871" s="17" t="s">
        <v>1338</v>
      </c>
      <c r="D871" s="17">
        <v>328.9</v>
      </c>
      <c r="E871" s="17">
        <v>3</v>
      </c>
      <c r="F871" s="7" t="str">
        <f>IF(A871=IFERROR(VLOOKUP(A871,CATALOGO!$B$2:$B$600,1,FALSE),"Falta"),"", "Falta")</f>
        <v/>
      </c>
    </row>
    <row r="872" spans="1:6" x14ac:dyDescent="0.25">
      <c r="A872" s="11">
        <f t="shared" si="13"/>
        <v>8503822</v>
      </c>
      <c r="B872" s="17">
        <v>8503822</v>
      </c>
      <c r="C872" s="17" t="s">
        <v>12</v>
      </c>
      <c r="D872" s="17">
        <v>2906.71</v>
      </c>
      <c r="E872" s="17">
        <v>1</v>
      </c>
      <c r="F872" s="7" t="str">
        <f>IF(A872=IFERROR(VLOOKUP(A872,CATALOGO!$B$2:$B$600,1,FALSE),"Falta"),"", "Falta")</f>
        <v>Falta</v>
      </c>
    </row>
    <row r="873" spans="1:6" x14ac:dyDescent="0.25">
      <c r="A873" s="11">
        <f t="shared" si="13"/>
        <v>8503823</v>
      </c>
      <c r="B873" s="17">
        <v>8503823</v>
      </c>
      <c r="C873" s="17" t="s">
        <v>10</v>
      </c>
      <c r="D873" s="17">
        <v>2906.71</v>
      </c>
      <c r="E873" s="17">
        <v>1</v>
      </c>
      <c r="F873" s="7" t="str">
        <f>IF(A873=IFERROR(VLOOKUP(A873,CATALOGO!$B$2:$B$600,1,FALSE),"Falta"),"", "Falta")</f>
        <v/>
      </c>
    </row>
    <row r="874" spans="1:6" x14ac:dyDescent="0.25">
      <c r="A874" s="11">
        <f t="shared" si="13"/>
        <v>8503824</v>
      </c>
      <c r="B874" s="17">
        <v>8503824</v>
      </c>
      <c r="C874" s="17" t="s">
        <v>11</v>
      </c>
      <c r="D874" s="17">
        <v>2889.87</v>
      </c>
      <c r="E874" s="17">
        <v>1</v>
      </c>
      <c r="F874" s="7" t="str">
        <f>IF(A874=IFERROR(VLOOKUP(A874,CATALOGO!$B$2:$B$600,1,FALSE),"Falta"),"", "Falta")</f>
        <v>Falta</v>
      </c>
    </row>
    <row r="875" spans="1:6" x14ac:dyDescent="0.25">
      <c r="A875" s="11">
        <f t="shared" si="13"/>
        <v>8503832</v>
      </c>
      <c r="B875" s="17">
        <v>8503832</v>
      </c>
      <c r="C875" s="17" t="s">
        <v>1675</v>
      </c>
      <c r="D875" s="17">
        <v>1988.32</v>
      </c>
      <c r="E875" s="17">
        <v>1</v>
      </c>
      <c r="F875" s="7" t="str">
        <f>IF(A875=IFERROR(VLOOKUP(A875,CATALOGO!$B$2:$B$600,1,FALSE),"Falta"),"", "Falta")</f>
        <v/>
      </c>
    </row>
    <row r="876" spans="1:6" x14ac:dyDescent="0.25">
      <c r="A876" s="11">
        <f t="shared" si="13"/>
        <v>8503901</v>
      </c>
      <c r="B876" s="17">
        <v>8503901</v>
      </c>
      <c r="C876" s="17" t="s">
        <v>1397</v>
      </c>
      <c r="D876" s="17">
        <v>2662</v>
      </c>
      <c r="E876" s="17">
        <v>2</v>
      </c>
      <c r="F876" s="7" t="str">
        <f>IF(A876=IFERROR(VLOOKUP(A876,CATALOGO!$B$2:$B$600,1,FALSE),"Falta"),"", "Falta")</f>
        <v>Falta</v>
      </c>
    </row>
    <row r="877" spans="1:6" x14ac:dyDescent="0.25">
      <c r="A877" s="11">
        <f t="shared" si="13"/>
        <v>8505003</v>
      </c>
      <c r="B877" s="17">
        <v>8505003</v>
      </c>
      <c r="C877" s="17" t="s">
        <v>22</v>
      </c>
      <c r="D877" s="17">
        <v>122.44</v>
      </c>
      <c r="E877" s="17">
        <v>10</v>
      </c>
      <c r="F877" s="7" t="str">
        <f>IF(A877=IFERROR(VLOOKUP(A877,CATALOGO!$B$2:$B$600,1,FALSE),"Falta"),"", "Falta")</f>
        <v>Falta</v>
      </c>
    </row>
    <row r="878" spans="1:6" x14ac:dyDescent="0.25">
      <c r="A878" s="11">
        <f t="shared" si="13"/>
        <v>8505014</v>
      </c>
      <c r="B878" s="17">
        <v>8505014</v>
      </c>
      <c r="C878" s="17" t="s">
        <v>1148</v>
      </c>
      <c r="D878" s="17">
        <v>110</v>
      </c>
      <c r="E878" s="17">
        <v>191</v>
      </c>
      <c r="F878" s="7" t="str">
        <f>IF(A878=IFERROR(VLOOKUP(A878,CATALOGO!$B$2:$B$600,1,FALSE),"Falta"),"", "Falta")</f>
        <v/>
      </c>
    </row>
    <row r="879" spans="1:6" x14ac:dyDescent="0.25">
      <c r="A879" s="11">
        <f t="shared" si="13"/>
        <v>8505016</v>
      </c>
      <c r="B879" s="17">
        <v>8505016</v>
      </c>
      <c r="C879" s="17" t="s">
        <v>701</v>
      </c>
      <c r="D879" s="17">
        <v>110</v>
      </c>
      <c r="E879" s="17">
        <v>28</v>
      </c>
      <c r="F879" s="7" t="str">
        <f>IF(A879=IFERROR(VLOOKUP(A879,CATALOGO!$B$2:$B$600,1,FALSE),"Falta"),"", "Falta")</f>
        <v>Falta</v>
      </c>
    </row>
    <row r="880" spans="1:6" x14ac:dyDescent="0.25">
      <c r="A880" s="11">
        <f t="shared" si="13"/>
        <v>8505021</v>
      </c>
      <c r="B880" s="17">
        <v>8505021</v>
      </c>
      <c r="C880" s="17" t="s">
        <v>1118</v>
      </c>
      <c r="D880" s="17">
        <v>157.29</v>
      </c>
      <c r="E880" s="17">
        <v>33</v>
      </c>
      <c r="F880" s="7" t="str">
        <f>IF(A880=IFERROR(VLOOKUP(A880,CATALOGO!$B$2:$B$600,1,FALSE),"Falta"),"", "Falta")</f>
        <v/>
      </c>
    </row>
    <row r="881" spans="1:6" x14ac:dyDescent="0.25">
      <c r="A881" s="11">
        <f t="shared" si="13"/>
        <v>8505022</v>
      </c>
      <c r="B881" s="17">
        <v>8505022</v>
      </c>
      <c r="C881" s="17" t="s">
        <v>1678</v>
      </c>
      <c r="D881" s="17">
        <v>119.87</v>
      </c>
      <c r="E881" s="17">
        <v>16</v>
      </c>
      <c r="F881" s="7" t="str">
        <f>IF(A881=IFERROR(VLOOKUP(A881,CATALOGO!$B$2:$B$600,1,FALSE),"Falta"),"", "Falta")</f>
        <v>Falta</v>
      </c>
    </row>
    <row r="882" spans="1:6" x14ac:dyDescent="0.25">
      <c r="A882" s="11">
        <f t="shared" si="13"/>
        <v>8505023</v>
      </c>
      <c r="B882" s="17">
        <v>8505023</v>
      </c>
      <c r="C882" s="17" t="s">
        <v>1117</v>
      </c>
      <c r="D882" s="17">
        <v>122.44</v>
      </c>
      <c r="E882" s="17">
        <v>5</v>
      </c>
      <c r="F882" s="7" t="str">
        <f>IF(A882=IFERROR(VLOOKUP(A882,CATALOGO!$B$2:$B$600,1,FALSE),"Falta"),"", "Falta")</f>
        <v/>
      </c>
    </row>
    <row r="883" spans="1:6" x14ac:dyDescent="0.25">
      <c r="A883" s="11">
        <f t="shared" si="13"/>
        <v>8505024</v>
      </c>
      <c r="B883" s="17">
        <v>8505024</v>
      </c>
      <c r="C883" s="17" t="s">
        <v>1679</v>
      </c>
      <c r="D883" s="17">
        <v>119.87</v>
      </c>
      <c r="E883" s="17">
        <v>21</v>
      </c>
      <c r="F883" s="7" t="str">
        <f>IF(A883=IFERROR(VLOOKUP(A883,CATALOGO!$B$2:$B$600,1,FALSE),"Falta"),"", "Falta")</f>
        <v/>
      </c>
    </row>
    <row r="884" spans="1:6" x14ac:dyDescent="0.25">
      <c r="A884" s="11">
        <f t="shared" si="13"/>
        <v>8505070</v>
      </c>
      <c r="B884" s="17">
        <v>8505070</v>
      </c>
      <c r="C884" s="17" t="s">
        <v>1681</v>
      </c>
      <c r="D884" s="17">
        <v>190</v>
      </c>
      <c r="E884" s="17">
        <v>24</v>
      </c>
      <c r="F884" s="7" t="str">
        <f>IF(A884=IFERROR(VLOOKUP(A884,CATALOGO!$B$2:$B$600,1,FALSE),"Falta"),"", "Falta")</f>
        <v>Falta</v>
      </c>
    </row>
    <row r="885" spans="1:6" x14ac:dyDescent="0.25">
      <c r="A885" s="11">
        <f t="shared" si="13"/>
        <v>8505075</v>
      </c>
      <c r="B885" s="17">
        <v>8505075</v>
      </c>
      <c r="C885" s="17" t="s">
        <v>1061</v>
      </c>
      <c r="D885" s="17">
        <v>75.11</v>
      </c>
      <c r="E885" s="17">
        <v>4</v>
      </c>
      <c r="F885" s="7" t="str">
        <f>IF(A885=IFERROR(VLOOKUP(A885,CATALOGO!$B$2:$B$600,1,FALSE),"Falta"),"", "Falta")</f>
        <v/>
      </c>
    </row>
    <row r="886" spans="1:6" x14ac:dyDescent="0.25">
      <c r="A886" s="11">
        <f t="shared" si="13"/>
        <v>8505100</v>
      </c>
      <c r="B886" s="17">
        <v>8505100</v>
      </c>
      <c r="C886" s="17" t="s">
        <v>2628</v>
      </c>
      <c r="D886" s="17">
        <v>10</v>
      </c>
      <c r="E886" s="17">
        <v>870</v>
      </c>
      <c r="F886" s="7" t="str">
        <f>IF(A886=IFERROR(VLOOKUP(A886,CATALOGO!$B$2:$B$600,1,FALSE),"Falta"),"", "Falta")</f>
        <v>Falta</v>
      </c>
    </row>
    <row r="887" spans="1:6" x14ac:dyDescent="0.25">
      <c r="A887" s="11">
        <f t="shared" si="13"/>
        <v>8505101</v>
      </c>
      <c r="B887" s="17">
        <v>8505101</v>
      </c>
      <c r="C887" s="17" t="s">
        <v>1113</v>
      </c>
      <c r="D887" s="17">
        <v>150.27000000000001</v>
      </c>
      <c r="E887" s="17">
        <v>108</v>
      </c>
      <c r="F887" s="7" t="str">
        <f>IF(A887=IFERROR(VLOOKUP(A887,CATALOGO!$B$2:$B$600,1,FALSE),"Falta"),"", "Falta")</f>
        <v/>
      </c>
    </row>
    <row r="888" spans="1:6" x14ac:dyDescent="0.25">
      <c r="A888" s="11">
        <f t="shared" si="13"/>
        <v>8505120</v>
      </c>
      <c r="B888" s="17">
        <v>8505120</v>
      </c>
      <c r="C888" s="17" t="s">
        <v>1127</v>
      </c>
      <c r="D888" s="17">
        <v>91.83</v>
      </c>
      <c r="E888" s="17">
        <v>24</v>
      </c>
      <c r="F888" s="7" t="str">
        <f>IF(A888=IFERROR(VLOOKUP(A888,CATALOGO!$B$2:$B$600,1,FALSE),"Falta"),"", "Falta")</f>
        <v/>
      </c>
    </row>
    <row r="889" spans="1:6" x14ac:dyDescent="0.25">
      <c r="A889" s="11">
        <f t="shared" si="13"/>
        <v>8505121</v>
      </c>
      <c r="B889" s="17">
        <v>8505121</v>
      </c>
      <c r="C889" s="17" t="s">
        <v>1682</v>
      </c>
      <c r="D889" s="17">
        <v>153.05000000000001</v>
      </c>
      <c r="E889" s="17">
        <v>70</v>
      </c>
      <c r="F889" s="7" t="str">
        <f>IF(A889=IFERROR(VLOOKUP(A889,CATALOGO!$B$2:$B$600,1,FALSE),"Falta"),"", "Falta")</f>
        <v>Falta</v>
      </c>
    </row>
    <row r="890" spans="1:6" x14ac:dyDescent="0.25">
      <c r="A890" s="11">
        <f t="shared" si="13"/>
        <v>8505122</v>
      </c>
      <c r="B890" s="17">
        <v>8505122</v>
      </c>
      <c r="C890" s="17" t="s">
        <v>1683</v>
      </c>
      <c r="D890" s="17">
        <v>153.05000000000001</v>
      </c>
      <c r="E890" s="17">
        <v>40</v>
      </c>
      <c r="F890" s="7" t="str">
        <f>IF(A890=IFERROR(VLOOKUP(A890,CATALOGO!$B$2:$B$600,1,FALSE),"Falta"),"", "Falta")</f>
        <v>Falta</v>
      </c>
    </row>
    <row r="891" spans="1:6" x14ac:dyDescent="0.25">
      <c r="A891" s="11">
        <f t="shared" si="13"/>
        <v>8505123</v>
      </c>
      <c r="B891" s="17">
        <v>8505123</v>
      </c>
      <c r="C891" s="17" t="s">
        <v>20</v>
      </c>
      <c r="D891" s="17">
        <v>153.05000000000001</v>
      </c>
      <c r="E891" s="17">
        <v>30</v>
      </c>
      <c r="F891" s="7" t="str">
        <f>IF(A891=IFERROR(VLOOKUP(A891,CATALOGO!$B$2:$B$600,1,FALSE),"Falta"),"", "Falta")</f>
        <v>Falta</v>
      </c>
    </row>
    <row r="892" spans="1:6" x14ac:dyDescent="0.25">
      <c r="A892" s="11">
        <f t="shared" si="13"/>
        <v>8505124</v>
      </c>
      <c r="B892" s="17">
        <v>8505124</v>
      </c>
      <c r="C892" s="17" t="s">
        <v>21</v>
      </c>
      <c r="D892" s="17">
        <v>153.05000000000001</v>
      </c>
      <c r="E892" s="17">
        <v>23</v>
      </c>
      <c r="F892" s="7" t="str">
        <f>IF(A892=IFERROR(VLOOKUP(A892,CATALOGO!$B$2:$B$600,1,FALSE),"Falta"),"", "Falta")</f>
        <v>Falta</v>
      </c>
    </row>
    <row r="893" spans="1:6" x14ac:dyDescent="0.25">
      <c r="A893" s="11">
        <f t="shared" si="13"/>
        <v>8505125</v>
      </c>
      <c r="B893" s="17">
        <v>8505125</v>
      </c>
      <c r="C893" s="17" t="s">
        <v>1684</v>
      </c>
      <c r="D893" s="17">
        <v>153.05000000000001</v>
      </c>
      <c r="E893" s="17">
        <v>17</v>
      </c>
      <c r="F893" s="7" t="str">
        <f>IF(A893=IFERROR(VLOOKUP(A893,CATALOGO!$B$2:$B$600,1,FALSE),"Falta"),"", "Falta")</f>
        <v>Falta</v>
      </c>
    </row>
    <row r="894" spans="1:6" x14ac:dyDescent="0.25">
      <c r="A894" s="11">
        <f t="shared" si="13"/>
        <v>8505126</v>
      </c>
      <c r="B894" s="17">
        <v>8505126</v>
      </c>
      <c r="C894" s="17" t="s">
        <v>1685</v>
      </c>
      <c r="D894" s="17">
        <v>153.05000000000001</v>
      </c>
      <c r="E894" s="17">
        <v>15</v>
      </c>
      <c r="F894" s="7" t="str">
        <f>IF(A894=IFERROR(VLOOKUP(A894,CATALOGO!$B$2:$B$600,1,FALSE),"Falta"),"", "Falta")</f>
        <v>Falta</v>
      </c>
    </row>
    <row r="895" spans="1:6" x14ac:dyDescent="0.25">
      <c r="A895" s="11">
        <f t="shared" si="13"/>
        <v>8505129</v>
      </c>
      <c r="B895" s="17">
        <v>8505129</v>
      </c>
      <c r="C895" s="17" t="s">
        <v>1146</v>
      </c>
      <c r="D895" s="17">
        <v>153.05000000000001</v>
      </c>
      <c r="E895" s="17">
        <v>4</v>
      </c>
      <c r="F895" s="7" t="str">
        <f>IF(A895=IFERROR(VLOOKUP(A895,CATALOGO!$B$2:$B$600,1,FALSE),"Falta"),"", "Falta")</f>
        <v>Falta</v>
      </c>
    </row>
    <row r="896" spans="1:6" x14ac:dyDescent="0.25">
      <c r="A896" s="11">
        <f t="shared" si="13"/>
        <v>8505130</v>
      </c>
      <c r="B896" s="17">
        <v>8505130</v>
      </c>
      <c r="C896" s="17" t="s">
        <v>1688</v>
      </c>
      <c r="D896" s="17">
        <v>153.05000000000001</v>
      </c>
      <c r="E896" s="17">
        <v>28</v>
      </c>
      <c r="F896" s="7" t="str">
        <f>IF(A896=IFERROR(VLOOKUP(A896,CATALOGO!$B$2:$B$600,1,FALSE),"Falta"),"", "Falta")</f>
        <v/>
      </c>
    </row>
    <row r="897" spans="1:6" x14ac:dyDescent="0.25">
      <c r="A897" s="11">
        <f t="shared" si="13"/>
        <v>8505131</v>
      </c>
      <c r="B897" s="17">
        <v>8505131</v>
      </c>
      <c r="C897" s="17" t="s">
        <v>1121</v>
      </c>
      <c r="D897" s="17">
        <v>153.05000000000001</v>
      </c>
      <c r="E897" s="17">
        <v>28</v>
      </c>
      <c r="F897" s="7" t="str">
        <f>IF(A897=IFERROR(VLOOKUP(A897,CATALOGO!$B$2:$B$600,1,FALSE),"Falta"),"", "Falta")</f>
        <v/>
      </c>
    </row>
    <row r="898" spans="1:6" x14ac:dyDescent="0.25">
      <c r="A898" s="11">
        <f t="shared" si="13"/>
        <v>8505133</v>
      </c>
      <c r="B898" s="17">
        <v>8505133</v>
      </c>
      <c r="C898" s="17" t="s">
        <v>1689</v>
      </c>
      <c r="D898" s="17">
        <v>153.05000000000001</v>
      </c>
      <c r="E898" s="17">
        <v>31</v>
      </c>
      <c r="F898" s="7" t="str">
        <f>IF(A898=IFERROR(VLOOKUP(A898,CATALOGO!$B$2:$B$600,1,FALSE),"Falta"),"", "Falta")</f>
        <v>Falta</v>
      </c>
    </row>
    <row r="899" spans="1:6" x14ac:dyDescent="0.25">
      <c r="A899" s="11">
        <f t="shared" si="13"/>
        <v>8505134</v>
      </c>
      <c r="B899" s="17">
        <v>8505134</v>
      </c>
      <c r="C899" s="17" t="s">
        <v>1128</v>
      </c>
      <c r="D899" s="17">
        <v>153.05000000000001</v>
      </c>
      <c r="E899" s="17">
        <v>24</v>
      </c>
      <c r="F899" s="7" t="str">
        <f>IF(A899=IFERROR(VLOOKUP(A899,CATALOGO!$B$2:$B$600,1,FALSE),"Falta"),"", "Falta")</f>
        <v/>
      </c>
    </row>
    <row r="900" spans="1:6" x14ac:dyDescent="0.25">
      <c r="A900" s="11">
        <f t="shared" si="13"/>
        <v>8505135</v>
      </c>
      <c r="B900" s="17">
        <v>8505135</v>
      </c>
      <c r="C900" s="17" t="s">
        <v>1129</v>
      </c>
      <c r="D900" s="17">
        <v>153.05000000000001</v>
      </c>
      <c r="E900" s="17">
        <v>24</v>
      </c>
      <c r="F900" s="7" t="str">
        <f>IF(A900=IFERROR(VLOOKUP(A900,CATALOGO!$B$2:$B$600,1,FALSE),"Falta"),"", "Falta")</f>
        <v/>
      </c>
    </row>
    <row r="901" spans="1:6" x14ac:dyDescent="0.25">
      <c r="A901" s="11">
        <f t="shared" si="13"/>
        <v>8505136</v>
      </c>
      <c r="B901" s="17">
        <v>8505136</v>
      </c>
      <c r="C901" s="17" t="s">
        <v>1130</v>
      </c>
      <c r="D901" s="17">
        <v>153.05000000000001</v>
      </c>
      <c r="E901" s="17">
        <v>24</v>
      </c>
      <c r="F901" s="7" t="str">
        <f>IF(A901=IFERROR(VLOOKUP(A901,CATALOGO!$B$2:$B$600,1,FALSE),"Falta"),"", "Falta")</f>
        <v/>
      </c>
    </row>
    <row r="902" spans="1:6" x14ac:dyDescent="0.25">
      <c r="A902" s="11">
        <f t="shared" ref="A902:A965" si="14">IFERROR(B902*1,"")</f>
        <v>8505137</v>
      </c>
      <c r="B902" s="17">
        <v>8505137</v>
      </c>
      <c r="C902" s="17" t="s">
        <v>1131</v>
      </c>
      <c r="D902" s="17">
        <v>153.05000000000001</v>
      </c>
      <c r="E902" s="17">
        <v>12</v>
      </c>
      <c r="F902" s="7" t="str">
        <f>IF(A902=IFERROR(VLOOKUP(A902,CATALOGO!$B$2:$B$600,1,FALSE),"Falta"),"", "Falta")</f>
        <v/>
      </c>
    </row>
    <row r="903" spans="1:6" x14ac:dyDescent="0.25">
      <c r="A903" s="11">
        <f t="shared" si="14"/>
        <v>8505138</v>
      </c>
      <c r="B903" s="17">
        <v>8505138</v>
      </c>
      <c r="C903" s="17" t="s">
        <v>1690</v>
      </c>
      <c r="D903" s="17">
        <v>153.05000000000001</v>
      </c>
      <c r="E903" s="17">
        <v>12</v>
      </c>
      <c r="F903" s="7" t="str">
        <f>IF(A903=IFERROR(VLOOKUP(A903,CATALOGO!$B$2:$B$600,1,FALSE),"Falta"),"", "Falta")</f>
        <v/>
      </c>
    </row>
    <row r="904" spans="1:6" x14ac:dyDescent="0.25">
      <c r="A904" s="11">
        <f t="shared" si="14"/>
        <v>8505139</v>
      </c>
      <c r="B904" s="17">
        <v>8505139</v>
      </c>
      <c r="C904" s="17" t="s">
        <v>1691</v>
      </c>
      <c r="D904" s="17">
        <v>153.05000000000001</v>
      </c>
      <c r="E904" s="17">
        <v>46</v>
      </c>
      <c r="F904" s="7" t="str">
        <f>IF(A904=IFERROR(VLOOKUP(A904,CATALOGO!$B$2:$B$600,1,FALSE),"Falta"),"", "Falta")</f>
        <v>Falta</v>
      </c>
    </row>
    <row r="905" spans="1:6" x14ac:dyDescent="0.25">
      <c r="A905" s="11">
        <f t="shared" si="14"/>
        <v>8505140</v>
      </c>
      <c r="B905" s="17">
        <v>8505140</v>
      </c>
      <c r="C905" s="17" t="s">
        <v>1144</v>
      </c>
      <c r="D905" s="17">
        <v>153.05000000000001</v>
      </c>
      <c r="E905" s="17">
        <v>34</v>
      </c>
      <c r="F905" s="7" t="str">
        <f>IF(A905=IFERROR(VLOOKUP(A905,CATALOGO!$B$2:$B$600,1,FALSE),"Falta"),"", "Falta")</f>
        <v/>
      </c>
    </row>
    <row r="906" spans="1:6" x14ac:dyDescent="0.25">
      <c r="A906" s="11">
        <f t="shared" si="14"/>
        <v>8505141</v>
      </c>
      <c r="B906" s="17">
        <v>8505141</v>
      </c>
      <c r="C906" s="17" t="s">
        <v>1143</v>
      </c>
      <c r="D906" s="17">
        <v>153.05000000000001</v>
      </c>
      <c r="E906" s="17">
        <v>43</v>
      </c>
      <c r="F906" s="7" t="str">
        <f>IF(A906=IFERROR(VLOOKUP(A906,CATALOGO!$B$2:$B$600,1,FALSE),"Falta"),"", "Falta")</f>
        <v/>
      </c>
    </row>
    <row r="907" spans="1:6" x14ac:dyDescent="0.25">
      <c r="A907" s="11">
        <f t="shared" si="14"/>
        <v>8505142</v>
      </c>
      <c r="B907" s="17">
        <v>8505142</v>
      </c>
      <c r="C907" s="17" t="s">
        <v>1142</v>
      </c>
      <c r="D907" s="17">
        <v>153.05000000000001</v>
      </c>
      <c r="E907" s="17">
        <v>17</v>
      </c>
      <c r="F907" s="7" t="str">
        <f>IF(A907=IFERROR(VLOOKUP(A907,CATALOGO!$B$2:$B$600,1,FALSE),"Falta"),"", "Falta")</f>
        <v>Falta</v>
      </c>
    </row>
    <row r="908" spans="1:6" x14ac:dyDescent="0.25">
      <c r="A908" s="11">
        <f t="shared" si="14"/>
        <v>8505149</v>
      </c>
      <c r="B908" s="17">
        <v>8505149</v>
      </c>
      <c r="C908" s="17" t="s">
        <v>1692</v>
      </c>
      <c r="D908" s="17">
        <v>153.05000000000001</v>
      </c>
      <c r="E908" s="17">
        <v>32</v>
      </c>
      <c r="F908" s="7" t="str">
        <f>IF(A908=IFERROR(VLOOKUP(A908,CATALOGO!$B$2:$B$600,1,FALSE),"Falta"),"", "Falta")</f>
        <v>Falta</v>
      </c>
    </row>
    <row r="909" spans="1:6" x14ac:dyDescent="0.25">
      <c r="A909" s="11">
        <f t="shared" si="14"/>
        <v>8505151</v>
      </c>
      <c r="B909" s="17">
        <v>8505151</v>
      </c>
      <c r="C909" s="17" t="s">
        <v>1693</v>
      </c>
      <c r="D909" s="17">
        <v>153.05000000000001</v>
      </c>
      <c r="E909" s="17">
        <v>91</v>
      </c>
      <c r="F909" s="7" t="str">
        <f>IF(A909=IFERROR(VLOOKUP(A909,CATALOGO!$B$2:$B$600,1,FALSE),"Falta"),"", "Falta")</f>
        <v>Falta</v>
      </c>
    </row>
    <row r="910" spans="1:6" x14ac:dyDescent="0.25">
      <c r="A910" s="11">
        <f t="shared" si="14"/>
        <v>8505153</v>
      </c>
      <c r="B910" s="17">
        <v>8505153</v>
      </c>
      <c r="C910" s="17" t="s">
        <v>1694</v>
      </c>
      <c r="D910" s="17">
        <v>153.05000000000001</v>
      </c>
      <c r="E910" s="17">
        <v>22</v>
      </c>
      <c r="F910" s="7" t="str">
        <f>IF(A910=IFERROR(VLOOKUP(A910,CATALOGO!$B$2:$B$600,1,FALSE),"Falta"),"", "Falta")</f>
        <v>Falta</v>
      </c>
    </row>
    <row r="911" spans="1:6" x14ac:dyDescent="0.25">
      <c r="A911" s="11">
        <f t="shared" si="14"/>
        <v>8505154</v>
      </c>
      <c r="B911" s="17">
        <v>8505154</v>
      </c>
      <c r="C911" s="17" t="s">
        <v>1695</v>
      </c>
      <c r="D911" s="17">
        <v>153.05000000000001</v>
      </c>
      <c r="E911" s="17">
        <v>18</v>
      </c>
      <c r="F911" s="7" t="str">
        <f>IF(A911=IFERROR(VLOOKUP(A911,CATALOGO!$B$2:$B$600,1,FALSE),"Falta"),"", "Falta")</f>
        <v>Falta</v>
      </c>
    </row>
    <row r="912" spans="1:6" x14ac:dyDescent="0.25">
      <c r="A912" s="11">
        <f t="shared" si="14"/>
        <v>8505155</v>
      </c>
      <c r="B912" s="17">
        <v>8505155</v>
      </c>
      <c r="C912" s="17" t="s">
        <v>1696</v>
      </c>
      <c r="D912" s="17">
        <v>153.05000000000001</v>
      </c>
      <c r="E912" s="17">
        <v>54</v>
      </c>
      <c r="F912" s="7" t="str">
        <f>IF(A912=IFERROR(VLOOKUP(A912,CATALOGO!$B$2:$B$600,1,FALSE),"Falta"),"", "Falta")</f>
        <v>Falta</v>
      </c>
    </row>
    <row r="913" spans="1:6" x14ac:dyDescent="0.25">
      <c r="A913" s="11">
        <f t="shared" si="14"/>
        <v>8505156</v>
      </c>
      <c r="B913" s="17">
        <v>8505156</v>
      </c>
      <c r="C913" s="17" t="s">
        <v>1138</v>
      </c>
      <c r="D913" s="17">
        <v>153.05000000000001</v>
      </c>
      <c r="E913" s="17">
        <v>202</v>
      </c>
      <c r="F913" s="7" t="str">
        <f>IF(A913=IFERROR(VLOOKUP(A913,CATALOGO!$B$2:$B$600,1,FALSE),"Falta"),"", "Falta")</f>
        <v/>
      </c>
    </row>
    <row r="914" spans="1:6" x14ac:dyDescent="0.25">
      <c r="A914" s="11">
        <f t="shared" si="14"/>
        <v>8505157</v>
      </c>
      <c r="B914" s="17">
        <v>8505157</v>
      </c>
      <c r="C914" s="17" t="s">
        <v>1140</v>
      </c>
      <c r="D914" s="17">
        <v>153.05000000000001</v>
      </c>
      <c r="E914" s="17">
        <v>66</v>
      </c>
      <c r="F914" s="7" t="str">
        <f>IF(A914=IFERROR(VLOOKUP(A914,CATALOGO!$B$2:$B$600,1,FALSE),"Falta"),"", "Falta")</f>
        <v/>
      </c>
    </row>
    <row r="915" spans="1:6" x14ac:dyDescent="0.25">
      <c r="A915" s="11">
        <f t="shared" si="14"/>
        <v>8505158</v>
      </c>
      <c r="B915" s="17">
        <v>8505158</v>
      </c>
      <c r="C915" s="17" t="s">
        <v>1139</v>
      </c>
      <c r="D915" s="17">
        <v>153.05000000000001</v>
      </c>
      <c r="E915" s="17">
        <v>134</v>
      </c>
      <c r="F915" s="7" t="str">
        <f>IF(A915=IFERROR(VLOOKUP(A915,CATALOGO!$B$2:$B$600,1,FALSE),"Falta"),"", "Falta")</f>
        <v>Falta</v>
      </c>
    </row>
    <row r="916" spans="1:6" x14ac:dyDescent="0.25">
      <c r="A916" s="11">
        <f t="shared" si="14"/>
        <v>8505160</v>
      </c>
      <c r="B916" s="17">
        <v>8505160</v>
      </c>
      <c r="C916" s="17" t="s">
        <v>1698</v>
      </c>
      <c r="D916" s="17">
        <v>153.05000000000001</v>
      </c>
      <c r="E916" s="17">
        <v>143</v>
      </c>
      <c r="F916" s="7" t="str">
        <f>IF(A916=IFERROR(VLOOKUP(A916,CATALOGO!$B$2:$B$600,1,FALSE),"Falta"),"", "Falta")</f>
        <v/>
      </c>
    </row>
    <row r="917" spans="1:6" x14ac:dyDescent="0.25">
      <c r="A917" s="11">
        <f t="shared" si="14"/>
        <v>8505161</v>
      </c>
      <c r="B917" s="17">
        <v>8505161</v>
      </c>
      <c r="C917" s="17" t="s">
        <v>1855</v>
      </c>
      <c r="D917" s="17">
        <v>153.05000000000001</v>
      </c>
      <c r="E917" s="17">
        <v>10</v>
      </c>
      <c r="F917" s="7" t="str">
        <f>IF(A917=IFERROR(VLOOKUP(A917,CATALOGO!$B$2:$B$600,1,FALSE),"Falta"),"", "Falta")</f>
        <v>Falta</v>
      </c>
    </row>
    <row r="918" spans="1:6" x14ac:dyDescent="0.25">
      <c r="A918" s="11">
        <f t="shared" si="14"/>
        <v>8505162</v>
      </c>
      <c r="B918" s="17">
        <v>8505162</v>
      </c>
      <c r="C918" s="17" t="s">
        <v>1699</v>
      </c>
      <c r="D918" s="17">
        <v>153.05000000000001</v>
      </c>
      <c r="E918" s="17">
        <v>10</v>
      </c>
      <c r="F918" s="7" t="str">
        <f>IF(A918=IFERROR(VLOOKUP(A918,CATALOGO!$B$2:$B$600,1,FALSE),"Falta"),"", "Falta")</f>
        <v>Falta</v>
      </c>
    </row>
    <row r="919" spans="1:6" x14ac:dyDescent="0.25">
      <c r="A919" s="11">
        <f t="shared" si="14"/>
        <v>8505171</v>
      </c>
      <c r="B919" s="17">
        <v>8505171</v>
      </c>
      <c r="C919" s="17" t="s">
        <v>1703</v>
      </c>
      <c r="D919" s="17">
        <v>153.05000000000001</v>
      </c>
      <c r="E919" s="17">
        <v>28</v>
      </c>
      <c r="F919" s="7" t="str">
        <f>IF(A919=IFERROR(VLOOKUP(A919,CATALOGO!$B$2:$B$600,1,FALSE),"Falta"),"", "Falta")</f>
        <v>Falta</v>
      </c>
    </row>
    <row r="920" spans="1:6" x14ac:dyDescent="0.25">
      <c r="A920" s="11">
        <f t="shared" si="14"/>
        <v>8505172</v>
      </c>
      <c r="B920" s="17">
        <v>8505172</v>
      </c>
      <c r="C920" s="17" t="s">
        <v>1704</v>
      </c>
      <c r="D920" s="17">
        <v>153.05000000000001</v>
      </c>
      <c r="E920" s="17">
        <v>9</v>
      </c>
      <c r="F920" s="7" t="str">
        <f>IF(A920=IFERROR(VLOOKUP(A920,CATALOGO!$B$2:$B$600,1,FALSE),"Falta"),"", "Falta")</f>
        <v>Falta</v>
      </c>
    </row>
    <row r="921" spans="1:6" x14ac:dyDescent="0.25">
      <c r="A921" s="11">
        <f t="shared" si="14"/>
        <v>8505173</v>
      </c>
      <c r="B921" s="17">
        <v>8505173</v>
      </c>
      <c r="C921" s="17" t="s">
        <v>1705</v>
      </c>
      <c r="D921" s="17">
        <v>153.05000000000001</v>
      </c>
      <c r="E921" s="17">
        <v>15</v>
      </c>
      <c r="F921" s="7" t="str">
        <f>IF(A921=IFERROR(VLOOKUP(A921,CATALOGO!$B$2:$B$600,1,FALSE),"Falta"),"", "Falta")</f>
        <v>Falta</v>
      </c>
    </row>
    <row r="922" spans="1:6" x14ac:dyDescent="0.25">
      <c r="A922" s="11">
        <f t="shared" si="14"/>
        <v>8505196</v>
      </c>
      <c r="B922" s="17">
        <v>8505196</v>
      </c>
      <c r="C922" s="17" t="s">
        <v>1099</v>
      </c>
      <c r="D922" s="17">
        <v>214.29</v>
      </c>
      <c r="E922" s="17">
        <v>71</v>
      </c>
      <c r="F922" s="7" t="str">
        <f>IF(A922=IFERROR(VLOOKUP(A922,CATALOGO!$B$2:$B$600,1,FALSE),"Falta"),"", "Falta")</f>
        <v/>
      </c>
    </row>
    <row r="923" spans="1:6" x14ac:dyDescent="0.25">
      <c r="A923" s="11">
        <f t="shared" si="14"/>
        <v>8505220</v>
      </c>
      <c r="B923" s="17">
        <v>8505220</v>
      </c>
      <c r="C923" s="17" t="s">
        <v>1708</v>
      </c>
      <c r="D923" s="17">
        <v>130</v>
      </c>
      <c r="E923" s="17">
        <v>171</v>
      </c>
      <c r="F923" s="7" t="str">
        <f>IF(A923=IFERROR(VLOOKUP(A923,CATALOGO!$B$2:$B$600,1,FALSE),"Falta"),"", "Falta")</f>
        <v/>
      </c>
    </row>
    <row r="924" spans="1:6" x14ac:dyDescent="0.25">
      <c r="A924" s="11">
        <f t="shared" si="14"/>
        <v>8505223</v>
      </c>
      <c r="B924" s="17">
        <v>8505223</v>
      </c>
      <c r="C924" s="17" t="s">
        <v>1096</v>
      </c>
      <c r="D924" s="17">
        <v>214.29</v>
      </c>
      <c r="E924" s="17">
        <v>65</v>
      </c>
      <c r="F924" s="7" t="str">
        <f>IF(A924=IFERROR(VLOOKUP(A924,CATALOGO!$B$2:$B$600,1,FALSE),"Falta"),"", "Falta")</f>
        <v>Falta</v>
      </c>
    </row>
    <row r="925" spans="1:6" x14ac:dyDescent="0.25">
      <c r="A925" s="11">
        <f t="shared" si="14"/>
        <v>8505224</v>
      </c>
      <c r="B925" s="17">
        <v>8505224</v>
      </c>
      <c r="C925" s="17" t="s">
        <v>1095</v>
      </c>
      <c r="D925" s="17">
        <v>214.29</v>
      </c>
      <c r="E925" s="17">
        <v>124</v>
      </c>
      <c r="F925" s="7" t="str">
        <f>IF(A925=IFERROR(VLOOKUP(A925,CATALOGO!$B$2:$B$600,1,FALSE),"Falta"),"", "Falta")</f>
        <v/>
      </c>
    </row>
    <row r="926" spans="1:6" x14ac:dyDescent="0.25">
      <c r="A926" s="11">
        <f t="shared" si="14"/>
        <v>8505233</v>
      </c>
      <c r="B926" s="17">
        <v>8505233</v>
      </c>
      <c r="C926" s="17" t="s">
        <v>1098</v>
      </c>
      <c r="D926" s="17">
        <v>214.29</v>
      </c>
      <c r="E926" s="17">
        <v>32</v>
      </c>
      <c r="F926" s="7" t="str">
        <f>IF(A926=IFERROR(VLOOKUP(A926,CATALOGO!$B$2:$B$600,1,FALSE),"Falta"),"", "Falta")</f>
        <v/>
      </c>
    </row>
    <row r="927" spans="1:6" x14ac:dyDescent="0.25">
      <c r="A927" s="11">
        <f t="shared" si="14"/>
        <v>8505243</v>
      </c>
      <c r="B927" s="17">
        <v>8505243</v>
      </c>
      <c r="C927" s="17" t="s">
        <v>1103</v>
      </c>
      <c r="D927" s="17">
        <v>229.6</v>
      </c>
      <c r="E927" s="17">
        <v>104</v>
      </c>
      <c r="F927" s="7" t="str">
        <f>IF(A927=IFERROR(VLOOKUP(A927,CATALOGO!$B$2:$B$600,1,FALSE),"Falta"),"", "Falta")</f>
        <v/>
      </c>
    </row>
    <row r="928" spans="1:6" x14ac:dyDescent="0.25">
      <c r="A928" s="11">
        <f t="shared" si="14"/>
        <v>8505262</v>
      </c>
      <c r="B928" s="17">
        <v>8505262</v>
      </c>
      <c r="C928" s="17" t="s">
        <v>1097</v>
      </c>
      <c r="D928" s="17">
        <v>214.29</v>
      </c>
      <c r="E928" s="17">
        <v>41</v>
      </c>
      <c r="F928" s="7" t="str">
        <f>IF(A928=IFERROR(VLOOKUP(A928,CATALOGO!$B$2:$B$600,1,FALSE),"Falta"),"", "Falta")</f>
        <v/>
      </c>
    </row>
    <row r="929" spans="1:6" x14ac:dyDescent="0.25">
      <c r="A929" s="11">
        <f t="shared" si="14"/>
        <v>8505324</v>
      </c>
      <c r="B929" s="17">
        <v>8505324</v>
      </c>
      <c r="C929" s="17" t="s">
        <v>1709</v>
      </c>
      <c r="D929" s="17">
        <v>199.76</v>
      </c>
      <c r="E929" s="17">
        <v>1</v>
      </c>
      <c r="F929" s="7" t="str">
        <f>IF(A929=IFERROR(VLOOKUP(A929,CATALOGO!$B$2:$B$600,1,FALSE),"Falta"),"", "Falta")</f>
        <v>Falta</v>
      </c>
    </row>
    <row r="930" spans="1:6" x14ac:dyDescent="0.25">
      <c r="A930" s="11">
        <f t="shared" si="14"/>
        <v>8505329</v>
      </c>
      <c r="B930" s="17">
        <v>8505329</v>
      </c>
      <c r="C930" s="17" t="s">
        <v>1101</v>
      </c>
      <c r="D930" s="17">
        <v>229.6</v>
      </c>
      <c r="E930" s="17">
        <v>150</v>
      </c>
      <c r="F930" s="7" t="str">
        <f>IF(A930=IFERROR(VLOOKUP(A930,CATALOGO!$B$2:$B$600,1,FALSE),"Falta"),"", "Falta")</f>
        <v/>
      </c>
    </row>
    <row r="931" spans="1:6" x14ac:dyDescent="0.25">
      <c r="A931" s="11">
        <f t="shared" si="14"/>
        <v>8505331</v>
      </c>
      <c r="B931" s="17">
        <v>8505331</v>
      </c>
      <c r="C931" s="17" t="s">
        <v>1100</v>
      </c>
      <c r="D931" s="17">
        <v>229.6</v>
      </c>
      <c r="E931" s="17">
        <v>35</v>
      </c>
      <c r="F931" s="7" t="str">
        <f>IF(A931=IFERROR(VLOOKUP(A931,CATALOGO!$B$2:$B$600,1,FALSE),"Falta"),"", "Falta")</f>
        <v>Falta</v>
      </c>
    </row>
    <row r="932" spans="1:6" x14ac:dyDescent="0.25">
      <c r="A932" s="11">
        <f t="shared" si="14"/>
        <v>8505688</v>
      </c>
      <c r="B932" s="17">
        <v>8505688</v>
      </c>
      <c r="C932" s="17" t="s">
        <v>1412</v>
      </c>
      <c r="D932" s="17">
        <v>3899.99</v>
      </c>
      <c r="E932" s="17">
        <v>2</v>
      </c>
      <c r="F932" s="7" t="str">
        <f>IF(A932=IFERROR(VLOOKUP(A932,CATALOGO!$B$2:$B$600,1,FALSE),"Falta"),"", "Falta")</f>
        <v/>
      </c>
    </row>
    <row r="933" spans="1:6" x14ac:dyDescent="0.25">
      <c r="A933" s="11">
        <f t="shared" si="14"/>
        <v>8505690</v>
      </c>
      <c r="B933" s="17">
        <v>8505690</v>
      </c>
      <c r="C933" s="17" t="s">
        <v>1410</v>
      </c>
      <c r="D933" s="17">
        <v>5999.99</v>
      </c>
      <c r="E933" s="17">
        <v>3</v>
      </c>
      <c r="F933" s="7" t="str">
        <f>IF(A933=IFERROR(VLOOKUP(A933,CATALOGO!$B$2:$B$600,1,FALSE),"Falta"),"", "Falta")</f>
        <v>Falta</v>
      </c>
    </row>
    <row r="934" spans="1:6" x14ac:dyDescent="0.25">
      <c r="A934" s="11">
        <f t="shared" si="14"/>
        <v>8505691</v>
      </c>
      <c r="B934" s="17">
        <v>8505691</v>
      </c>
      <c r="C934" s="17" t="s">
        <v>1711</v>
      </c>
      <c r="D934" s="17">
        <v>5399.99</v>
      </c>
      <c r="E934" s="17">
        <v>1</v>
      </c>
      <c r="F934" s="7" t="str">
        <f>IF(A934=IFERROR(VLOOKUP(A934,CATALOGO!$B$2:$B$600,1,FALSE),"Falta"),"", "Falta")</f>
        <v>Falta</v>
      </c>
    </row>
    <row r="935" spans="1:6" x14ac:dyDescent="0.25">
      <c r="A935" s="11">
        <f t="shared" si="14"/>
        <v>8505692</v>
      </c>
      <c r="B935" s="17">
        <v>8505692</v>
      </c>
      <c r="C935" s="17" t="s">
        <v>2662</v>
      </c>
      <c r="D935" s="17">
        <v>0</v>
      </c>
      <c r="E935" s="17">
        <v>3</v>
      </c>
      <c r="F935" s="7" t="str">
        <f>IF(A935=IFERROR(VLOOKUP(A935,CATALOGO!$B$2:$B$600,1,FALSE),"Falta"),"", "Falta")</f>
        <v>Falta</v>
      </c>
    </row>
    <row r="936" spans="1:6" x14ac:dyDescent="0.25">
      <c r="A936" s="11">
        <f t="shared" si="14"/>
        <v>8505701</v>
      </c>
      <c r="B936" s="17">
        <v>8505701</v>
      </c>
      <c r="C936" s="17" t="s">
        <v>802</v>
      </c>
      <c r="D936" s="17">
        <v>199.76</v>
      </c>
      <c r="E936" s="17">
        <v>1</v>
      </c>
      <c r="F936" s="7" t="str">
        <f>IF(A936=IFERROR(VLOOKUP(A936,CATALOGO!$B$2:$B$600,1,FALSE),"Falta"),"", "Falta")</f>
        <v>Falta</v>
      </c>
    </row>
    <row r="937" spans="1:6" x14ac:dyDescent="0.25">
      <c r="A937" s="11">
        <f t="shared" si="14"/>
        <v>8505705</v>
      </c>
      <c r="B937" s="17">
        <v>8505705</v>
      </c>
      <c r="C937" s="17" t="s">
        <v>805</v>
      </c>
      <c r="D937" s="17">
        <v>199.76</v>
      </c>
      <c r="E937" s="17">
        <v>8</v>
      </c>
      <c r="F937" s="7" t="str">
        <f>IF(A937=IFERROR(VLOOKUP(A937,CATALOGO!$B$2:$B$600,1,FALSE),"Falta"),"", "Falta")</f>
        <v>Falta</v>
      </c>
    </row>
    <row r="938" spans="1:6" x14ac:dyDescent="0.25">
      <c r="A938" s="11">
        <f t="shared" si="14"/>
        <v>8505706</v>
      </c>
      <c r="B938" s="17">
        <v>8505706</v>
      </c>
      <c r="C938" s="17" t="s">
        <v>811</v>
      </c>
      <c r="D938" s="17">
        <v>199.76</v>
      </c>
      <c r="E938" s="17">
        <v>6</v>
      </c>
      <c r="F938" s="7" t="str">
        <f>IF(A938=IFERROR(VLOOKUP(A938,CATALOGO!$B$2:$B$600,1,FALSE),"Falta"),"", "Falta")</f>
        <v>Falta</v>
      </c>
    </row>
    <row r="939" spans="1:6" x14ac:dyDescent="0.25">
      <c r="A939" s="11">
        <f t="shared" si="14"/>
        <v>8505708</v>
      </c>
      <c r="B939" s="17">
        <v>8505708</v>
      </c>
      <c r="C939" s="17" t="s">
        <v>2665</v>
      </c>
      <c r="D939" s="17">
        <v>0</v>
      </c>
      <c r="E939" s="17">
        <v>1</v>
      </c>
      <c r="F939" s="7" t="str">
        <f>IF(A939=IFERROR(VLOOKUP(A939,CATALOGO!$B$2:$B$600,1,FALSE),"Falta"),"", "Falta")</f>
        <v>Falta</v>
      </c>
    </row>
    <row r="940" spans="1:6" x14ac:dyDescent="0.25">
      <c r="A940" s="11">
        <f t="shared" si="14"/>
        <v>8505789</v>
      </c>
      <c r="B940" s="17">
        <v>8505789</v>
      </c>
      <c r="C940" s="17" t="s">
        <v>1141</v>
      </c>
      <c r="D940" s="17">
        <v>137.76</v>
      </c>
      <c r="E940" s="17">
        <v>40</v>
      </c>
      <c r="F940" s="7" t="str">
        <f>IF(A940=IFERROR(VLOOKUP(A940,CATALOGO!$B$2:$B$600,1,FALSE),"Falta"),"", "Falta")</f>
        <v/>
      </c>
    </row>
    <row r="941" spans="1:6" x14ac:dyDescent="0.25">
      <c r="A941" s="11">
        <f t="shared" si="14"/>
        <v>8505820</v>
      </c>
      <c r="B941" s="17">
        <v>8505820</v>
      </c>
      <c r="C941" s="17" t="s">
        <v>1713</v>
      </c>
      <c r="D941" s="17">
        <v>846.99</v>
      </c>
      <c r="E941" s="17">
        <v>34</v>
      </c>
      <c r="F941" s="7" t="str">
        <f>IF(A941=IFERROR(VLOOKUP(A941,CATALOGO!$B$2:$B$600,1,FALSE),"Falta"),"", "Falta")</f>
        <v/>
      </c>
    </row>
    <row r="942" spans="1:6" x14ac:dyDescent="0.25">
      <c r="A942" s="11">
        <f t="shared" si="14"/>
        <v>8505823</v>
      </c>
      <c r="B942" s="17">
        <v>8505823</v>
      </c>
      <c r="C942" s="17" t="s">
        <v>1716</v>
      </c>
      <c r="D942" s="17">
        <v>845.79</v>
      </c>
      <c r="E942" s="17">
        <v>33</v>
      </c>
      <c r="F942" s="7" t="str">
        <f>IF(A942=IFERROR(VLOOKUP(A942,CATALOGO!$B$2:$B$600,1,FALSE),"Falta"),"", "Falta")</f>
        <v/>
      </c>
    </row>
    <row r="943" spans="1:6" x14ac:dyDescent="0.25">
      <c r="A943" s="11">
        <f t="shared" si="14"/>
        <v>8505824</v>
      </c>
      <c r="B943" s="17">
        <v>8505824</v>
      </c>
      <c r="C943" s="17" t="s">
        <v>19</v>
      </c>
      <c r="D943" s="17">
        <v>763.8</v>
      </c>
      <c r="E943" s="17">
        <v>3</v>
      </c>
      <c r="F943" s="7" t="str">
        <f>IF(A943=IFERROR(VLOOKUP(A943,CATALOGO!$B$2:$B$600,1,FALSE),"Falta"),"", "Falta")</f>
        <v>Falta</v>
      </c>
    </row>
    <row r="944" spans="1:6" x14ac:dyDescent="0.25">
      <c r="A944" s="11">
        <f t="shared" si="14"/>
        <v>8505825</v>
      </c>
      <c r="B944" s="17">
        <v>8505825</v>
      </c>
      <c r="C944" s="17" t="s">
        <v>1717</v>
      </c>
      <c r="D944" s="17">
        <v>93.5</v>
      </c>
      <c r="E944" s="17">
        <v>362</v>
      </c>
      <c r="F944" s="7" t="str">
        <f>IF(A944=IFERROR(VLOOKUP(A944,CATALOGO!$B$2:$B$600,1,FALSE),"Falta"),"", "Falta")</f>
        <v>Falta</v>
      </c>
    </row>
    <row r="945" spans="1:6" x14ac:dyDescent="0.25">
      <c r="A945" s="11">
        <f t="shared" si="14"/>
        <v>8505827</v>
      </c>
      <c r="B945" s="17">
        <v>8505827</v>
      </c>
      <c r="C945" s="17" t="s">
        <v>1719</v>
      </c>
      <c r="D945" s="17">
        <v>93.5</v>
      </c>
      <c r="E945" s="17">
        <v>238</v>
      </c>
      <c r="F945" s="7" t="str">
        <f>IF(A945=IFERROR(VLOOKUP(A945,CATALOGO!$B$2:$B$600,1,FALSE),"Falta"),"", "Falta")</f>
        <v>Falta</v>
      </c>
    </row>
    <row r="946" spans="1:6" x14ac:dyDescent="0.25">
      <c r="A946" s="11">
        <f t="shared" si="14"/>
        <v>8507002</v>
      </c>
      <c r="B946" s="17">
        <v>8507002</v>
      </c>
      <c r="C946" s="17" t="s">
        <v>1720</v>
      </c>
      <c r="D946" s="17">
        <v>2640</v>
      </c>
      <c r="E946" s="17">
        <v>11</v>
      </c>
      <c r="F946" s="7" t="str">
        <f>IF(A946=IFERROR(VLOOKUP(A946,CATALOGO!$B$2:$B$600,1,FALSE),"Falta"),"", "Falta")</f>
        <v/>
      </c>
    </row>
    <row r="947" spans="1:6" x14ac:dyDescent="0.25">
      <c r="A947" s="11">
        <f t="shared" si="14"/>
        <v>8508132</v>
      </c>
      <c r="B947" s="17">
        <v>8508132</v>
      </c>
      <c r="C947" s="17" t="s">
        <v>1721</v>
      </c>
      <c r="D947" s="17">
        <v>335.06</v>
      </c>
      <c r="E947" s="17">
        <v>4</v>
      </c>
      <c r="F947" s="7" t="str">
        <f>IF(A947=IFERROR(VLOOKUP(A947,CATALOGO!$B$2:$B$600,1,FALSE),"Falta"),"", "Falta")</f>
        <v/>
      </c>
    </row>
    <row r="948" spans="1:6" x14ac:dyDescent="0.25">
      <c r="A948" s="11">
        <f t="shared" si="14"/>
        <v>850813260</v>
      </c>
      <c r="B948" s="17">
        <v>850813260</v>
      </c>
      <c r="C948" s="17" t="s">
        <v>855</v>
      </c>
      <c r="D948" s="17">
        <v>174.49</v>
      </c>
      <c r="E948" s="17">
        <v>2</v>
      </c>
      <c r="F948" s="7" t="str">
        <f>IF(A948=IFERROR(VLOOKUP(A948,CATALOGO!$B$2:$B$600,1,FALSE),"Falta"),"", "Falta")</f>
        <v>Falta</v>
      </c>
    </row>
    <row r="949" spans="1:6" x14ac:dyDescent="0.25">
      <c r="A949" s="11">
        <f t="shared" si="14"/>
        <v>8509729</v>
      </c>
      <c r="B949" s="17">
        <v>8509729</v>
      </c>
      <c r="C949" s="17" t="s">
        <v>499</v>
      </c>
      <c r="D949" s="17">
        <v>1814.99</v>
      </c>
      <c r="E949" s="17">
        <v>30</v>
      </c>
      <c r="F949" s="7" t="str">
        <f>IF(A949=IFERROR(VLOOKUP(A949,CATALOGO!$B$2:$B$600,1,FALSE),"Falta"),"", "Falta")</f>
        <v/>
      </c>
    </row>
    <row r="950" spans="1:6" x14ac:dyDescent="0.25">
      <c r="A950" s="11">
        <f t="shared" si="14"/>
        <v>8511115</v>
      </c>
      <c r="B950" s="17">
        <v>8511115</v>
      </c>
      <c r="C950" s="17" t="s">
        <v>1722</v>
      </c>
      <c r="D950" s="17">
        <v>278.29000000000002</v>
      </c>
      <c r="E950" s="17">
        <v>10</v>
      </c>
      <c r="F950" s="7" t="str">
        <f>IF(A950=IFERROR(VLOOKUP(A950,CATALOGO!$B$2:$B$600,1,FALSE),"Falta"),"", "Falta")</f>
        <v>Falta</v>
      </c>
    </row>
    <row r="951" spans="1:6" x14ac:dyDescent="0.25">
      <c r="A951" s="11">
        <f t="shared" si="14"/>
        <v>8511522</v>
      </c>
      <c r="B951" s="17">
        <v>8511522</v>
      </c>
      <c r="C951" s="17" t="s">
        <v>191</v>
      </c>
      <c r="D951" s="17">
        <v>687.27</v>
      </c>
      <c r="E951" s="17">
        <v>1</v>
      </c>
      <c r="F951" s="7" t="str">
        <f>IF(A951=IFERROR(VLOOKUP(A951,CATALOGO!$B$2:$B$600,1,FALSE),"Falta"),"", "Falta")</f>
        <v>Falta</v>
      </c>
    </row>
    <row r="952" spans="1:6" x14ac:dyDescent="0.25">
      <c r="A952" s="11">
        <f t="shared" si="14"/>
        <v>8513012</v>
      </c>
      <c r="B952" s="17">
        <v>8513012</v>
      </c>
      <c r="C952" s="17" t="s">
        <v>367</v>
      </c>
      <c r="D952" s="17">
        <v>1454.12</v>
      </c>
      <c r="E952" s="17">
        <v>1</v>
      </c>
      <c r="F952" s="7" t="str">
        <f>IF(A952=IFERROR(VLOOKUP(A952,CATALOGO!$B$2:$B$600,1,FALSE),"Falta"),"", "Falta")</f>
        <v>Falta</v>
      </c>
    </row>
    <row r="953" spans="1:6" x14ac:dyDescent="0.25">
      <c r="A953" s="11">
        <f t="shared" si="14"/>
        <v>8513160</v>
      </c>
      <c r="B953" s="17">
        <v>8513160</v>
      </c>
      <c r="C953" s="17" t="s">
        <v>854</v>
      </c>
      <c r="D953" s="17">
        <v>2523.9</v>
      </c>
      <c r="E953" s="17">
        <v>1</v>
      </c>
      <c r="F953" s="7" t="str">
        <f>IF(A953=IFERROR(VLOOKUP(A953,CATALOGO!$B$2:$B$600,1,FALSE),"Falta"),"", "Falta")</f>
        <v>Falta</v>
      </c>
    </row>
    <row r="954" spans="1:6" x14ac:dyDescent="0.25">
      <c r="A954" s="11">
        <f t="shared" si="14"/>
        <v>8513174</v>
      </c>
      <c r="B954" s="17">
        <v>8513174</v>
      </c>
      <c r="C954" s="17" t="s">
        <v>827</v>
      </c>
      <c r="D954" s="17">
        <v>2418.79</v>
      </c>
      <c r="E954" s="17">
        <v>172</v>
      </c>
      <c r="F954" s="7" t="str">
        <f>IF(A954=IFERROR(VLOOKUP(A954,CATALOGO!$B$2:$B$600,1,FALSE),"Falta"),"", "Falta")</f>
        <v>Falta</v>
      </c>
    </row>
    <row r="955" spans="1:6" x14ac:dyDescent="0.25">
      <c r="A955" s="11">
        <f t="shared" si="14"/>
        <v>8513175</v>
      </c>
      <c r="B955" s="17">
        <v>8513175</v>
      </c>
      <c r="C955" s="17" t="s">
        <v>18</v>
      </c>
      <c r="D955" s="17">
        <v>1376.06</v>
      </c>
      <c r="E955" s="17">
        <v>1</v>
      </c>
      <c r="F955" s="7" t="str">
        <f>IF(A955=IFERROR(VLOOKUP(A955,CATALOGO!$B$2:$B$600,1,FALSE),"Falta"),"", "Falta")</f>
        <v/>
      </c>
    </row>
    <row r="956" spans="1:6" x14ac:dyDescent="0.25">
      <c r="A956" s="11">
        <f t="shared" si="14"/>
        <v>8513244</v>
      </c>
      <c r="B956" s="17">
        <v>8513244</v>
      </c>
      <c r="C956" s="17" t="s">
        <v>366</v>
      </c>
      <c r="D956" s="17">
        <v>1454.12</v>
      </c>
      <c r="E956" s="17">
        <v>3</v>
      </c>
      <c r="F956" s="7" t="str">
        <f>IF(A956=IFERROR(VLOOKUP(A956,CATALOGO!$B$2:$B$600,1,FALSE),"Falta"),"", "Falta")</f>
        <v>Falta</v>
      </c>
    </row>
    <row r="957" spans="1:6" x14ac:dyDescent="0.25">
      <c r="A957" s="11">
        <f t="shared" si="14"/>
        <v>8515746</v>
      </c>
      <c r="B957" s="17">
        <v>8515746</v>
      </c>
      <c r="C957" s="17" t="s">
        <v>469</v>
      </c>
      <c r="D957" s="17">
        <v>849.99</v>
      </c>
      <c r="E957" s="17">
        <v>283</v>
      </c>
      <c r="F957" s="7" t="str">
        <f>IF(A957=IFERROR(VLOOKUP(A957,CATALOGO!$B$2:$B$600,1,FALSE),"Falta"),"", "Falta")</f>
        <v/>
      </c>
    </row>
    <row r="958" spans="1:6" x14ac:dyDescent="0.25">
      <c r="A958" s="11">
        <f t="shared" si="14"/>
        <v>8515748</v>
      </c>
      <c r="B958" s="17">
        <v>8515748</v>
      </c>
      <c r="C958" s="17" t="s">
        <v>1724</v>
      </c>
      <c r="D958" s="17">
        <v>849.99</v>
      </c>
      <c r="E958" s="17">
        <v>43</v>
      </c>
      <c r="F958" s="7" t="str">
        <f>IF(A958=IFERROR(VLOOKUP(A958,CATALOGO!$B$2:$B$600,1,FALSE),"Falta"),"", "Falta")</f>
        <v/>
      </c>
    </row>
    <row r="959" spans="1:6" x14ac:dyDescent="0.25">
      <c r="A959" s="11">
        <f t="shared" si="14"/>
        <v>8515760</v>
      </c>
      <c r="B959" s="17">
        <v>8515760</v>
      </c>
      <c r="C959" s="17" t="s">
        <v>470</v>
      </c>
      <c r="D959" s="17">
        <v>688.8</v>
      </c>
      <c r="E959" s="17">
        <v>30</v>
      </c>
      <c r="F959" s="7" t="str">
        <f>IF(A959=IFERROR(VLOOKUP(A959,CATALOGO!$B$2:$B$600,1,FALSE),"Falta"),"", "Falta")</f>
        <v>Falta</v>
      </c>
    </row>
    <row r="960" spans="1:6" x14ac:dyDescent="0.25">
      <c r="A960" s="11">
        <f t="shared" si="14"/>
        <v>8517000</v>
      </c>
      <c r="B960" s="17">
        <v>8517000</v>
      </c>
      <c r="C960" s="17" t="s">
        <v>707</v>
      </c>
      <c r="D960" s="17">
        <v>1100</v>
      </c>
      <c r="E960" s="17">
        <v>72</v>
      </c>
      <c r="F960" s="7" t="str">
        <f>IF(A960=IFERROR(VLOOKUP(A960,CATALOGO!$B$2:$B$600,1,FALSE),"Falta"),"", "Falta")</f>
        <v/>
      </c>
    </row>
    <row r="961" spans="1:6" x14ac:dyDescent="0.25">
      <c r="A961" s="11">
        <f t="shared" si="14"/>
        <v>851700007</v>
      </c>
      <c r="B961" s="17">
        <v>851700007</v>
      </c>
      <c r="C961" s="17" t="s">
        <v>2685</v>
      </c>
      <c r="D961" s="17">
        <v>0</v>
      </c>
      <c r="E961" s="17">
        <v>1</v>
      </c>
      <c r="F961" s="7" t="str">
        <f>IF(A961=IFERROR(VLOOKUP(A961,CATALOGO!$B$2:$B$600,1,FALSE),"Falta"),"", "Falta")</f>
        <v>Falta</v>
      </c>
    </row>
    <row r="962" spans="1:6" x14ac:dyDescent="0.25">
      <c r="A962" s="11">
        <f t="shared" si="14"/>
        <v>851700009</v>
      </c>
      <c r="B962" s="17">
        <v>851700009</v>
      </c>
      <c r="C962" s="17" t="s">
        <v>2687</v>
      </c>
      <c r="D962" s="17">
        <v>0</v>
      </c>
      <c r="E962" s="17">
        <v>2</v>
      </c>
      <c r="F962" s="7" t="str">
        <f>IF(A962=IFERROR(VLOOKUP(A962,CATALOGO!$B$2:$B$600,1,FALSE),"Falta"),"", "Falta")</f>
        <v>Falta</v>
      </c>
    </row>
    <row r="963" spans="1:6" x14ac:dyDescent="0.25">
      <c r="A963" s="11">
        <f t="shared" si="14"/>
        <v>851700010</v>
      </c>
      <c r="B963" s="17">
        <v>851700010</v>
      </c>
      <c r="C963" s="17" t="s">
        <v>2688</v>
      </c>
      <c r="D963" s="17">
        <v>0</v>
      </c>
      <c r="E963" s="17">
        <v>2</v>
      </c>
      <c r="F963" s="7" t="str">
        <f>IF(A963=IFERROR(VLOOKUP(A963,CATALOGO!$B$2:$B$600,1,FALSE),"Falta"),"", "Falta")</f>
        <v>Falta</v>
      </c>
    </row>
    <row r="964" spans="1:6" x14ac:dyDescent="0.25">
      <c r="A964" s="11">
        <f t="shared" si="14"/>
        <v>851700011</v>
      </c>
      <c r="B964" s="17">
        <v>851700011</v>
      </c>
      <c r="C964" s="17" t="s">
        <v>2689</v>
      </c>
      <c r="D964" s="17">
        <v>0</v>
      </c>
      <c r="E964" s="17">
        <v>4</v>
      </c>
      <c r="F964" s="7" t="str">
        <f>IF(A964=IFERROR(VLOOKUP(A964,CATALOGO!$B$2:$B$600,1,FALSE),"Falta"),"", "Falta")</f>
        <v>Falta</v>
      </c>
    </row>
    <row r="965" spans="1:6" x14ac:dyDescent="0.25">
      <c r="A965" s="11">
        <f t="shared" si="14"/>
        <v>851700012</v>
      </c>
      <c r="B965" s="17">
        <v>851700012</v>
      </c>
      <c r="C965" s="17" t="s">
        <v>2690</v>
      </c>
      <c r="D965" s="17">
        <v>0</v>
      </c>
      <c r="E965" s="17">
        <v>1</v>
      </c>
      <c r="F965" s="7" t="str">
        <f>IF(A965=IFERROR(VLOOKUP(A965,CATALOGO!$B$2:$B$600,1,FALSE),"Falta"),"", "Falta")</f>
        <v>Falta</v>
      </c>
    </row>
    <row r="966" spans="1:6" x14ac:dyDescent="0.25">
      <c r="A966" s="11">
        <f t="shared" ref="A966:A1029" si="15">IFERROR(B966*1,"")</f>
        <v>8517051</v>
      </c>
      <c r="B966" s="17">
        <v>8517051</v>
      </c>
      <c r="C966" s="17" t="s">
        <v>1726</v>
      </c>
      <c r="D966" s="17">
        <v>84.17</v>
      </c>
      <c r="E966" s="17">
        <v>5</v>
      </c>
      <c r="F966" s="7" t="str">
        <f>IF(A966=IFERROR(VLOOKUP(A966,CATALOGO!$B$2:$B$600,1,FALSE),"Falta"),"", "Falta")</f>
        <v>Falta</v>
      </c>
    </row>
    <row r="967" spans="1:6" x14ac:dyDescent="0.25">
      <c r="A967" s="11">
        <f t="shared" si="15"/>
        <v>8517103</v>
      </c>
      <c r="B967" s="17">
        <v>8517103</v>
      </c>
      <c r="C967" s="17" t="s">
        <v>1727</v>
      </c>
      <c r="D967" s="17">
        <v>2700</v>
      </c>
      <c r="E967" s="17">
        <v>1</v>
      </c>
      <c r="F967" s="7" t="str">
        <f>IF(A967=IFERROR(VLOOKUP(A967,CATALOGO!$B$2:$B$600,1,FALSE),"Falta"),"", "Falta")</f>
        <v/>
      </c>
    </row>
    <row r="968" spans="1:6" x14ac:dyDescent="0.25">
      <c r="A968" s="11">
        <f t="shared" si="15"/>
        <v>8517300</v>
      </c>
      <c r="B968" s="17">
        <v>8517300</v>
      </c>
      <c r="C968" s="17" t="s">
        <v>1728</v>
      </c>
      <c r="D968" s="17">
        <v>95.12</v>
      </c>
      <c r="E968" s="17">
        <v>1</v>
      </c>
      <c r="F968" s="7" t="str">
        <f>IF(A968=IFERROR(VLOOKUP(A968,CATALOGO!$B$2:$B$600,1,FALSE),"Falta"),"", "Falta")</f>
        <v>Falta</v>
      </c>
    </row>
    <row r="969" spans="1:6" x14ac:dyDescent="0.25">
      <c r="A969" s="11">
        <f t="shared" si="15"/>
        <v>8518011</v>
      </c>
      <c r="B969" s="17">
        <v>8518011</v>
      </c>
      <c r="C969" s="17" t="s">
        <v>1730</v>
      </c>
      <c r="D969" s="17">
        <v>845.79</v>
      </c>
      <c r="E969" s="17">
        <v>30</v>
      </c>
      <c r="F969" s="7" t="str">
        <f>IF(A969=IFERROR(VLOOKUP(A969,CATALOGO!$B$2:$B$600,1,FALSE),"Falta"),"", "Falta")</f>
        <v/>
      </c>
    </row>
    <row r="970" spans="1:6" x14ac:dyDescent="0.25">
      <c r="A970" s="11">
        <f t="shared" si="15"/>
        <v>8518014</v>
      </c>
      <c r="B970" s="17">
        <v>8518014</v>
      </c>
      <c r="C970" s="17" t="s">
        <v>861</v>
      </c>
      <c r="D970" s="17">
        <v>490</v>
      </c>
      <c r="E970" s="17">
        <v>355</v>
      </c>
      <c r="F970" s="7" t="str">
        <f>IF(A970=IFERROR(VLOOKUP(A970,CATALOGO!$B$2:$B$600,1,FALSE),"Falta"),"", "Falta")</f>
        <v/>
      </c>
    </row>
    <row r="971" spans="1:6" x14ac:dyDescent="0.25">
      <c r="A971" s="11">
        <f t="shared" si="15"/>
        <v>8518159</v>
      </c>
      <c r="B971" s="17">
        <v>8518159</v>
      </c>
      <c r="C971" s="17" t="s">
        <v>497</v>
      </c>
      <c r="D971" s="17">
        <v>605</v>
      </c>
      <c r="E971" s="17">
        <v>2</v>
      </c>
      <c r="F971" s="7" t="str">
        <f>IF(A971=IFERROR(VLOOKUP(A971,CATALOGO!$B$2:$B$600,1,FALSE),"Falta"),"", "Falta")</f>
        <v>Falta</v>
      </c>
    </row>
    <row r="972" spans="1:6" x14ac:dyDescent="0.25">
      <c r="A972" s="11">
        <f t="shared" si="15"/>
        <v>8518789</v>
      </c>
      <c r="B972" s="17">
        <v>8518789</v>
      </c>
      <c r="C972" s="17" t="s">
        <v>1731</v>
      </c>
      <c r="D972" s="17">
        <v>605</v>
      </c>
      <c r="E972" s="17">
        <v>15</v>
      </c>
      <c r="F972" s="7" t="str">
        <f>IF(A972=IFERROR(VLOOKUP(A972,CATALOGO!$B$2:$B$600,1,FALSE),"Falta"),"", "Falta")</f>
        <v>Falta</v>
      </c>
    </row>
    <row r="973" spans="1:6" x14ac:dyDescent="0.25">
      <c r="A973" s="11">
        <f t="shared" si="15"/>
        <v>8519041</v>
      </c>
      <c r="B973" s="17">
        <v>8519041</v>
      </c>
      <c r="C973" s="17" t="s">
        <v>6</v>
      </c>
      <c r="D973" s="17">
        <v>2800</v>
      </c>
      <c r="E973" s="17">
        <v>41</v>
      </c>
      <c r="F973" s="7" t="str">
        <f>IF(A973=IFERROR(VLOOKUP(A973,CATALOGO!$B$2:$B$600,1,FALSE),"Falta"),"", "Falta")</f>
        <v/>
      </c>
    </row>
    <row r="974" spans="1:6" x14ac:dyDescent="0.25">
      <c r="A974" s="11">
        <f t="shared" si="15"/>
        <v>8519042</v>
      </c>
      <c r="B974" s="17">
        <v>8519042</v>
      </c>
      <c r="C974" s="17" t="s">
        <v>1732</v>
      </c>
      <c r="D974" s="17">
        <v>1550</v>
      </c>
      <c r="E974" s="17">
        <v>32</v>
      </c>
      <c r="F974" s="7" t="str">
        <f>IF(A974=IFERROR(VLOOKUP(A974,CATALOGO!$B$2:$B$600,1,FALSE),"Falta"),"", "Falta")</f>
        <v/>
      </c>
    </row>
    <row r="975" spans="1:6" x14ac:dyDescent="0.25">
      <c r="A975" s="11">
        <f t="shared" si="15"/>
        <v>8519044</v>
      </c>
      <c r="B975" s="17">
        <v>8519044</v>
      </c>
      <c r="C975" s="17" t="s">
        <v>1733</v>
      </c>
      <c r="D975" s="17">
        <v>1800</v>
      </c>
      <c r="E975" s="17">
        <v>53</v>
      </c>
      <c r="F975" s="7" t="str">
        <f>IF(A975=IFERROR(VLOOKUP(A975,CATALOGO!$B$2:$B$600,1,FALSE),"Falta"),"", "Falta")</f>
        <v/>
      </c>
    </row>
    <row r="976" spans="1:6" x14ac:dyDescent="0.25">
      <c r="A976" s="11">
        <f t="shared" si="15"/>
        <v>8519500</v>
      </c>
      <c r="B976" s="17">
        <v>8519500</v>
      </c>
      <c r="C976" s="17" t="s">
        <v>7</v>
      </c>
      <c r="D976" s="17">
        <v>3200</v>
      </c>
      <c r="E976" s="17">
        <v>2</v>
      </c>
      <c r="F976" s="7" t="str">
        <f>IF(A976=IFERROR(VLOOKUP(A976,CATALOGO!$B$2:$B$600,1,FALSE),"Falta"),"", "Falta")</f>
        <v>Falta</v>
      </c>
    </row>
    <row r="977" spans="1:6" x14ac:dyDescent="0.25">
      <c r="A977" s="11">
        <f t="shared" si="15"/>
        <v>8520003</v>
      </c>
      <c r="B977" s="17">
        <v>8520003</v>
      </c>
      <c r="C977" s="17" t="s">
        <v>846</v>
      </c>
      <c r="D977" s="17">
        <v>1200</v>
      </c>
      <c r="E977" s="17">
        <v>217</v>
      </c>
      <c r="F977" s="7" t="str">
        <f>IF(A977=IFERROR(VLOOKUP(A977,CATALOGO!$B$2:$B$600,1,FALSE),"Falta"),"", "Falta")</f>
        <v/>
      </c>
    </row>
    <row r="978" spans="1:6" x14ac:dyDescent="0.25">
      <c r="A978" s="11">
        <f t="shared" si="15"/>
        <v>8520004</v>
      </c>
      <c r="B978" s="17">
        <v>8520004</v>
      </c>
      <c r="C978" s="17" t="s">
        <v>1735</v>
      </c>
      <c r="D978" s="17">
        <v>600</v>
      </c>
      <c r="E978" s="17">
        <v>142</v>
      </c>
      <c r="F978" s="7" t="str">
        <f>IF(A978=IFERROR(VLOOKUP(A978,CATALOGO!$B$2:$B$600,1,FALSE),"Falta"),"", "Falta")</f>
        <v/>
      </c>
    </row>
    <row r="979" spans="1:6" x14ac:dyDescent="0.25">
      <c r="A979" s="11">
        <f t="shared" si="15"/>
        <v>8520005</v>
      </c>
      <c r="B979" s="17">
        <v>8520005</v>
      </c>
      <c r="C979" s="17" t="s">
        <v>849</v>
      </c>
      <c r="D979" s="17">
        <v>1550</v>
      </c>
      <c r="E979" s="17">
        <v>94</v>
      </c>
      <c r="F979" s="7" t="str">
        <f>IF(A979=IFERROR(VLOOKUP(A979,CATALOGO!$B$2:$B$600,1,FALSE),"Falta"),"", "Falta")</f>
        <v/>
      </c>
    </row>
    <row r="980" spans="1:6" x14ac:dyDescent="0.25">
      <c r="A980" s="11">
        <f t="shared" si="15"/>
        <v>8520007</v>
      </c>
      <c r="B980" s="17">
        <v>8520007</v>
      </c>
      <c r="C980" s="17" t="s">
        <v>1736</v>
      </c>
      <c r="D980" s="17">
        <v>790</v>
      </c>
      <c r="E980" s="17">
        <v>221</v>
      </c>
      <c r="F980" s="7" t="str">
        <f>IF(A980=IFERROR(VLOOKUP(A980,CATALOGO!$B$2:$B$600,1,FALSE),"Falta"),"", "Falta")</f>
        <v/>
      </c>
    </row>
    <row r="981" spans="1:6" x14ac:dyDescent="0.25">
      <c r="A981" s="11">
        <f t="shared" si="15"/>
        <v>8520014</v>
      </c>
      <c r="B981" s="17">
        <v>8520014</v>
      </c>
      <c r="C981" s="17" t="s">
        <v>836</v>
      </c>
      <c r="D981" s="17">
        <v>499</v>
      </c>
      <c r="E981" s="17">
        <v>679</v>
      </c>
      <c r="F981" s="7" t="str">
        <f>IF(A981=IFERROR(VLOOKUP(A981,CATALOGO!$B$2:$B$600,1,FALSE),"Falta"),"", "Falta")</f>
        <v/>
      </c>
    </row>
    <row r="982" spans="1:6" x14ac:dyDescent="0.25">
      <c r="A982" s="11">
        <f t="shared" si="15"/>
        <v>8520016</v>
      </c>
      <c r="B982" s="17">
        <v>8520016</v>
      </c>
      <c r="C982" s="17" t="s">
        <v>848</v>
      </c>
      <c r="D982" s="17">
        <v>1200</v>
      </c>
      <c r="E982" s="17">
        <v>58</v>
      </c>
      <c r="F982" s="7" t="str">
        <f>IF(A982=IFERROR(VLOOKUP(A982,CATALOGO!$B$2:$B$600,1,FALSE),"Falta"),"", "Falta")</f>
        <v/>
      </c>
    </row>
    <row r="983" spans="1:6" x14ac:dyDescent="0.25">
      <c r="A983" s="11">
        <f t="shared" si="15"/>
        <v>8520017</v>
      </c>
      <c r="B983" s="17">
        <v>8520017</v>
      </c>
      <c r="C983" s="17" t="s">
        <v>1737</v>
      </c>
      <c r="D983" s="17">
        <v>4500</v>
      </c>
      <c r="E983" s="17">
        <v>4</v>
      </c>
      <c r="F983" s="7" t="str">
        <f>IF(A983=IFERROR(VLOOKUP(A983,CATALOGO!$B$2:$B$600,1,FALSE),"Falta"),"", "Falta")</f>
        <v/>
      </c>
    </row>
    <row r="984" spans="1:6" x14ac:dyDescent="0.25">
      <c r="A984" s="11">
        <f t="shared" si="15"/>
        <v>8520025</v>
      </c>
      <c r="B984" s="17">
        <v>8520025</v>
      </c>
      <c r="C984" s="17" t="s">
        <v>840</v>
      </c>
      <c r="D984" s="17">
        <v>495</v>
      </c>
      <c r="E984" s="17">
        <v>106</v>
      </c>
      <c r="F984" s="7" t="str">
        <f>IF(A984=IFERROR(VLOOKUP(A984,CATALOGO!$B$2:$B$600,1,FALSE),"Falta"),"", "Falta")</f>
        <v/>
      </c>
    </row>
    <row r="985" spans="1:6" x14ac:dyDescent="0.25">
      <c r="A985" s="11">
        <f t="shared" si="15"/>
        <v>8520045</v>
      </c>
      <c r="B985" s="17">
        <v>8520045</v>
      </c>
      <c r="C985" s="17" t="s">
        <v>1446</v>
      </c>
      <c r="D985" s="17">
        <v>800</v>
      </c>
      <c r="E985" s="17">
        <v>1463</v>
      </c>
      <c r="F985" s="7" t="str">
        <f>IF(A985=IFERROR(VLOOKUP(A985,CATALOGO!$B$2:$B$600,1,FALSE),"Falta"),"", "Falta")</f>
        <v/>
      </c>
    </row>
    <row r="986" spans="1:6" x14ac:dyDescent="0.25">
      <c r="A986" s="11">
        <f t="shared" si="15"/>
        <v>8520051</v>
      </c>
      <c r="B986" s="17">
        <v>8520051</v>
      </c>
      <c r="C986" s="17" t="s">
        <v>1421</v>
      </c>
      <c r="D986" s="17">
        <v>850</v>
      </c>
      <c r="E986" s="17">
        <v>340</v>
      </c>
      <c r="F986" s="7" t="str">
        <f>IF(A986=IFERROR(VLOOKUP(A986,CATALOGO!$B$2:$B$600,1,FALSE),"Falta"),"", "Falta")</f>
        <v/>
      </c>
    </row>
    <row r="987" spans="1:6" x14ac:dyDescent="0.25">
      <c r="A987" s="11">
        <f t="shared" si="15"/>
        <v>8520064</v>
      </c>
      <c r="B987" s="17">
        <v>8520064</v>
      </c>
      <c r="C987" s="17" t="s">
        <v>1742</v>
      </c>
      <c r="D987" s="17">
        <v>950</v>
      </c>
      <c r="E987" s="17">
        <v>595</v>
      </c>
      <c r="F987" s="7" t="str">
        <f>IF(A987=IFERROR(VLOOKUP(A987,CATALOGO!$B$2:$B$600,1,FALSE),"Falta"),"", "Falta")</f>
        <v/>
      </c>
    </row>
    <row r="988" spans="1:6" x14ac:dyDescent="0.25">
      <c r="A988" s="11">
        <f t="shared" si="15"/>
        <v>8520067</v>
      </c>
      <c r="B988" s="17">
        <v>8520067</v>
      </c>
      <c r="C988" s="17" t="s">
        <v>1422</v>
      </c>
      <c r="D988" s="17">
        <v>650</v>
      </c>
      <c r="E988" s="17">
        <v>738</v>
      </c>
      <c r="F988" s="7" t="str">
        <f>IF(A988=IFERROR(VLOOKUP(A988,CATALOGO!$B$2:$B$600,1,FALSE),"Falta"),"", "Falta")</f>
        <v/>
      </c>
    </row>
    <row r="989" spans="1:6" x14ac:dyDescent="0.25">
      <c r="A989" s="11">
        <f t="shared" si="15"/>
        <v>8520100</v>
      </c>
      <c r="B989" s="17">
        <v>8520100</v>
      </c>
      <c r="C989" s="17" t="s">
        <v>1743</v>
      </c>
      <c r="D989" s="17">
        <v>300</v>
      </c>
      <c r="E989" s="17">
        <v>32</v>
      </c>
      <c r="F989" s="7" t="str">
        <f>IF(A989=IFERROR(VLOOKUP(A989,CATALOGO!$B$2:$B$600,1,FALSE),"Falta"),"", "Falta")</f>
        <v/>
      </c>
    </row>
    <row r="990" spans="1:6" x14ac:dyDescent="0.25">
      <c r="A990" s="11">
        <f t="shared" si="15"/>
        <v>8520102</v>
      </c>
      <c r="B990" s="17">
        <v>8520102</v>
      </c>
      <c r="C990" s="17" t="s">
        <v>1045</v>
      </c>
      <c r="D990" s="17">
        <v>1200</v>
      </c>
      <c r="E990" s="17">
        <v>43</v>
      </c>
      <c r="F990" s="7" t="str">
        <f>IF(A990=IFERROR(VLOOKUP(A990,CATALOGO!$B$2:$B$600,1,FALSE),"Falta"),"", "Falta")</f>
        <v/>
      </c>
    </row>
    <row r="991" spans="1:6" x14ac:dyDescent="0.25">
      <c r="A991" s="11">
        <f t="shared" si="15"/>
        <v>8520110</v>
      </c>
      <c r="B991" s="17">
        <v>8520110</v>
      </c>
      <c r="C991" s="17" t="s">
        <v>1043</v>
      </c>
      <c r="D991" s="17">
        <v>1300</v>
      </c>
      <c r="E991" s="17">
        <v>26</v>
      </c>
      <c r="F991" s="7" t="str">
        <f>IF(A991=IFERROR(VLOOKUP(A991,CATALOGO!$B$2:$B$600,1,FALSE),"Falta"),"", "Falta")</f>
        <v/>
      </c>
    </row>
    <row r="992" spans="1:6" x14ac:dyDescent="0.25">
      <c r="A992" s="11">
        <f t="shared" si="15"/>
        <v>8520118</v>
      </c>
      <c r="B992" s="17">
        <v>8520118</v>
      </c>
      <c r="C992" s="17" t="s">
        <v>832</v>
      </c>
      <c r="D992" s="17">
        <v>890</v>
      </c>
      <c r="E992" s="17">
        <v>143</v>
      </c>
      <c r="F992" s="7" t="str">
        <f>IF(A992=IFERROR(VLOOKUP(A992,CATALOGO!$B$2:$B$600,1,FALSE),"Falta"),"", "Falta")</f>
        <v/>
      </c>
    </row>
    <row r="993" spans="1:6" x14ac:dyDescent="0.25">
      <c r="A993" s="11">
        <f t="shared" si="15"/>
        <v>8520141</v>
      </c>
      <c r="B993" s="17">
        <v>8520141</v>
      </c>
      <c r="C993" s="17" t="s">
        <v>830</v>
      </c>
      <c r="D993" s="17">
        <v>457.67</v>
      </c>
      <c r="E993" s="17">
        <v>24</v>
      </c>
      <c r="F993" s="7" t="str">
        <f>IF(A993=IFERROR(VLOOKUP(A993,CATALOGO!$B$2:$B$600,1,FALSE),"Falta"),"", "Falta")</f>
        <v/>
      </c>
    </row>
    <row r="994" spans="1:6" x14ac:dyDescent="0.25">
      <c r="A994" s="11">
        <f t="shared" si="15"/>
        <v>8520162</v>
      </c>
      <c r="B994" s="17">
        <v>8520162</v>
      </c>
      <c r="C994" s="17" t="s">
        <v>1044</v>
      </c>
      <c r="D994" s="17">
        <v>1100</v>
      </c>
      <c r="E994" s="17">
        <v>54</v>
      </c>
      <c r="F994" s="7" t="str">
        <f>IF(A994=IFERROR(VLOOKUP(A994,CATALOGO!$B$2:$B$600,1,FALSE),"Falta"),"", "Falta")</f>
        <v/>
      </c>
    </row>
    <row r="995" spans="1:6" x14ac:dyDescent="0.25">
      <c r="A995" s="11">
        <f t="shared" si="15"/>
        <v>8520165</v>
      </c>
      <c r="B995" s="17">
        <v>8520165</v>
      </c>
      <c r="C995" s="17" t="s">
        <v>833</v>
      </c>
      <c r="D995" s="17">
        <v>385</v>
      </c>
      <c r="E995" s="17">
        <v>3</v>
      </c>
      <c r="F995" s="7" t="str">
        <f>IF(A995=IFERROR(VLOOKUP(A995,CATALOGO!$B$2:$B$600,1,FALSE),"Falta"),"", "Falta")</f>
        <v>Falta</v>
      </c>
    </row>
    <row r="996" spans="1:6" x14ac:dyDescent="0.25">
      <c r="A996" s="11">
        <f t="shared" si="15"/>
        <v>8520209</v>
      </c>
      <c r="B996" s="17">
        <v>8520209</v>
      </c>
      <c r="C996" s="17" t="s">
        <v>1749</v>
      </c>
      <c r="D996" s="17">
        <v>700</v>
      </c>
      <c r="E996" s="17">
        <v>11</v>
      </c>
      <c r="F996" s="7" t="str">
        <f>IF(A996=IFERROR(VLOOKUP(A996,CATALOGO!$B$2:$B$600,1,FALSE),"Falta"),"", "Falta")</f>
        <v/>
      </c>
    </row>
    <row r="997" spans="1:6" x14ac:dyDescent="0.25">
      <c r="A997" s="11">
        <f t="shared" si="15"/>
        <v>8520230</v>
      </c>
      <c r="B997" s="17">
        <v>8520230</v>
      </c>
      <c r="C997" s="17" t="s">
        <v>1055</v>
      </c>
      <c r="D997" s="17">
        <v>500</v>
      </c>
      <c r="E997" s="17">
        <v>147</v>
      </c>
      <c r="F997" s="7" t="str">
        <f>IF(A997=IFERROR(VLOOKUP(A997,CATALOGO!$B$2:$B$600,1,FALSE),"Falta"),"", "Falta")</f>
        <v/>
      </c>
    </row>
    <row r="998" spans="1:6" x14ac:dyDescent="0.25">
      <c r="A998" s="11">
        <f t="shared" si="15"/>
        <v>8520265</v>
      </c>
      <c r="B998" s="17">
        <v>8520265</v>
      </c>
      <c r="C998" s="17" t="s">
        <v>831</v>
      </c>
      <c r="D998" s="17">
        <v>200</v>
      </c>
      <c r="E998" s="17">
        <v>649</v>
      </c>
      <c r="F998" s="7" t="str">
        <f>IF(A998=IFERROR(VLOOKUP(A998,CATALOGO!$B$2:$B$600,1,FALSE),"Falta"),"", "Falta")</f>
        <v/>
      </c>
    </row>
    <row r="999" spans="1:6" x14ac:dyDescent="0.25">
      <c r="A999" s="11">
        <f t="shared" si="15"/>
        <v>8520513</v>
      </c>
      <c r="B999" s="17">
        <v>8520513</v>
      </c>
      <c r="C999" s="17" t="s">
        <v>1006</v>
      </c>
      <c r="D999" s="17">
        <v>130</v>
      </c>
      <c r="E999" s="17">
        <v>377</v>
      </c>
      <c r="F999" s="7" t="str">
        <f>IF(A999=IFERROR(VLOOKUP(A999,CATALOGO!$B$2:$B$600,1,FALSE),"Falta"),"", "Falta")</f>
        <v/>
      </c>
    </row>
    <row r="1000" spans="1:6" x14ac:dyDescent="0.25">
      <c r="A1000" s="11">
        <f t="shared" si="15"/>
        <v>8520624</v>
      </c>
      <c r="B1000" s="17">
        <v>8520624</v>
      </c>
      <c r="C1000" s="17" t="s">
        <v>1154</v>
      </c>
      <c r="D1000" s="17">
        <v>91.84</v>
      </c>
      <c r="E1000" s="17">
        <v>105</v>
      </c>
      <c r="F1000" s="7" t="str">
        <f>IF(A1000=IFERROR(VLOOKUP(A1000,CATALOGO!$B$2:$B$600,1,FALSE),"Falta"),"", "Falta")</f>
        <v>Falta</v>
      </c>
    </row>
    <row r="1001" spans="1:6" x14ac:dyDescent="0.25">
      <c r="A1001" s="11">
        <f t="shared" si="15"/>
        <v>8520626</v>
      </c>
      <c r="B1001" s="17">
        <v>8520626</v>
      </c>
      <c r="C1001" s="17" t="s">
        <v>1150</v>
      </c>
      <c r="D1001" s="17">
        <v>603.79</v>
      </c>
      <c r="E1001" s="17">
        <v>660</v>
      </c>
      <c r="F1001" s="7" t="str">
        <f>IF(A1001=IFERROR(VLOOKUP(A1001,CATALOGO!$B$2:$B$600,1,FALSE),"Falta"),"", "Falta")</f>
        <v/>
      </c>
    </row>
    <row r="1002" spans="1:6" x14ac:dyDescent="0.25">
      <c r="A1002" s="11">
        <f t="shared" si="15"/>
        <v>8520629</v>
      </c>
      <c r="B1002" s="17">
        <v>8520629</v>
      </c>
      <c r="C1002" s="17" t="s">
        <v>1151</v>
      </c>
      <c r="D1002" s="17">
        <v>300</v>
      </c>
      <c r="E1002" s="17">
        <v>518</v>
      </c>
      <c r="F1002" s="7" t="str">
        <f>IF(A1002=IFERROR(VLOOKUP(A1002,CATALOGO!$B$2:$B$600,1,FALSE),"Falta"),"", "Falta")</f>
        <v/>
      </c>
    </row>
    <row r="1003" spans="1:6" x14ac:dyDescent="0.25">
      <c r="A1003" s="11">
        <f t="shared" si="15"/>
        <v>8520691</v>
      </c>
      <c r="B1003" s="17">
        <v>8520691</v>
      </c>
      <c r="C1003" s="17" t="s">
        <v>1752</v>
      </c>
      <c r="D1003" s="17">
        <v>1800</v>
      </c>
      <c r="E1003" s="17">
        <v>82</v>
      </c>
      <c r="F1003" s="7" t="str">
        <f>IF(A1003=IFERROR(VLOOKUP(A1003,CATALOGO!$B$2:$B$600,1,FALSE),"Falta"),"", "Falta")</f>
        <v/>
      </c>
    </row>
    <row r="1004" spans="1:6" x14ac:dyDescent="0.25">
      <c r="A1004" s="11">
        <f t="shared" si="15"/>
        <v>8520726</v>
      </c>
      <c r="B1004" s="17">
        <v>8520726</v>
      </c>
      <c r="C1004" s="17" t="s">
        <v>1753</v>
      </c>
      <c r="D1004" s="17">
        <v>350</v>
      </c>
      <c r="E1004" s="17">
        <v>16</v>
      </c>
      <c r="F1004" s="7" t="str">
        <f>IF(A1004=IFERROR(VLOOKUP(A1004,CATALOGO!$B$2:$B$600,1,FALSE),"Falta"),"", "Falta")</f>
        <v/>
      </c>
    </row>
    <row r="1005" spans="1:6" x14ac:dyDescent="0.25">
      <c r="A1005" s="11">
        <f t="shared" si="15"/>
        <v>8520729</v>
      </c>
      <c r="B1005" s="17">
        <v>8520729</v>
      </c>
      <c r="C1005" s="17" t="s">
        <v>1754</v>
      </c>
      <c r="D1005" s="17">
        <v>1200</v>
      </c>
      <c r="E1005" s="17">
        <v>113</v>
      </c>
      <c r="F1005" s="7" t="str">
        <f>IF(A1005=IFERROR(VLOOKUP(A1005,CATALOGO!$B$2:$B$600,1,FALSE),"Falta"),"", "Falta")</f>
        <v/>
      </c>
    </row>
    <row r="1006" spans="1:6" x14ac:dyDescent="0.25">
      <c r="A1006" s="11">
        <f t="shared" si="15"/>
        <v>8520733</v>
      </c>
      <c r="B1006" s="17">
        <v>8520733</v>
      </c>
      <c r="C1006" s="17" t="s">
        <v>844</v>
      </c>
      <c r="D1006" s="17">
        <v>2200</v>
      </c>
      <c r="E1006" s="17">
        <v>19</v>
      </c>
      <c r="F1006" s="7" t="str">
        <f>IF(A1006=IFERROR(VLOOKUP(A1006,CATALOGO!$B$2:$B$600,1,FALSE),"Falta"),"", "Falta")</f>
        <v/>
      </c>
    </row>
    <row r="1007" spans="1:6" x14ac:dyDescent="0.25">
      <c r="A1007" s="11">
        <f t="shared" si="15"/>
        <v>8520738</v>
      </c>
      <c r="B1007" s="17">
        <v>8520738</v>
      </c>
      <c r="C1007" s="17" t="s">
        <v>1755</v>
      </c>
      <c r="D1007" s="17">
        <v>800</v>
      </c>
      <c r="E1007" s="17">
        <v>248</v>
      </c>
      <c r="F1007" s="7" t="str">
        <f>IF(A1007=IFERROR(VLOOKUP(A1007,CATALOGO!$B$2:$B$600,1,FALSE),"Falta"),"", "Falta")</f>
        <v/>
      </c>
    </row>
    <row r="1008" spans="1:6" x14ac:dyDescent="0.25">
      <c r="A1008" s="11">
        <f t="shared" si="15"/>
        <v>8520739</v>
      </c>
      <c r="B1008" s="17">
        <v>8520739</v>
      </c>
      <c r="C1008" s="17" t="s">
        <v>2790</v>
      </c>
      <c r="D1008" s="17">
        <v>0</v>
      </c>
      <c r="E1008" s="17">
        <v>3</v>
      </c>
      <c r="F1008" s="7" t="str">
        <f>IF(A1008=IFERROR(VLOOKUP(A1008,CATALOGO!$B$2:$B$600,1,FALSE),"Falta"),"", "Falta")</f>
        <v>Falta</v>
      </c>
    </row>
    <row r="1009" spans="1:6" x14ac:dyDescent="0.25">
      <c r="A1009" s="11">
        <f t="shared" si="15"/>
        <v>8520745</v>
      </c>
      <c r="B1009" s="17">
        <v>8520745</v>
      </c>
      <c r="C1009" s="17" t="s">
        <v>1423</v>
      </c>
      <c r="D1009" s="17">
        <v>700</v>
      </c>
      <c r="E1009" s="17">
        <v>139</v>
      </c>
      <c r="F1009" s="7" t="str">
        <f>IF(A1009=IFERROR(VLOOKUP(A1009,CATALOGO!$B$2:$B$600,1,FALSE),"Falta"),"", "Falta")</f>
        <v/>
      </c>
    </row>
    <row r="1010" spans="1:6" x14ac:dyDescent="0.25">
      <c r="A1010" s="11">
        <f t="shared" si="15"/>
        <v>8520750</v>
      </c>
      <c r="B1010" s="17">
        <v>8520750</v>
      </c>
      <c r="C1010" s="17" t="s">
        <v>1756</v>
      </c>
      <c r="D1010" s="17">
        <v>700</v>
      </c>
      <c r="E1010" s="17">
        <v>180</v>
      </c>
      <c r="F1010" s="7" t="str">
        <f>IF(A1010=IFERROR(VLOOKUP(A1010,CATALOGO!$B$2:$B$600,1,FALSE),"Falta"),"", "Falta")</f>
        <v/>
      </c>
    </row>
    <row r="1011" spans="1:6" x14ac:dyDescent="0.25">
      <c r="A1011" s="11">
        <f t="shared" si="15"/>
        <v>8520813</v>
      </c>
      <c r="B1011" s="17">
        <v>8520813</v>
      </c>
      <c r="C1011" s="17" t="s">
        <v>1050</v>
      </c>
      <c r="D1011" s="17">
        <v>250</v>
      </c>
      <c r="E1011" s="17">
        <v>126</v>
      </c>
      <c r="F1011" s="7" t="str">
        <f>IF(A1011=IFERROR(VLOOKUP(A1011,CATALOGO!$B$2:$B$600,1,FALSE),"Falta"),"", "Falta")</f>
        <v/>
      </c>
    </row>
    <row r="1012" spans="1:6" x14ac:dyDescent="0.25">
      <c r="A1012" s="11">
        <f t="shared" si="15"/>
        <v>8520866</v>
      </c>
      <c r="B1012" s="17">
        <v>8520866</v>
      </c>
      <c r="C1012" s="17" t="s">
        <v>1056</v>
      </c>
      <c r="D1012" s="17">
        <v>665.5</v>
      </c>
      <c r="E1012" s="17">
        <v>8</v>
      </c>
      <c r="F1012" s="7" t="str">
        <f>IF(A1012=IFERROR(VLOOKUP(A1012,CATALOGO!$B$2:$B$600,1,FALSE),"Falta"),"", "Falta")</f>
        <v/>
      </c>
    </row>
    <row r="1013" spans="1:6" x14ac:dyDescent="0.25">
      <c r="A1013" s="11">
        <f t="shared" si="15"/>
        <v>8520932</v>
      </c>
      <c r="B1013" s="17">
        <v>8520932</v>
      </c>
      <c r="C1013" s="17" t="s">
        <v>1760</v>
      </c>
      <c r="D1013" s="17">
        <v>900</v>
      </c>
      <c r="E1013" s="17">
        <v>32</v>
      </c>
      <c r="F1013" s="7" t="str">
        <f>IF(A1013=IFERROR(VLOOKUP(A1013,CATALOGO!$B$2:$B$600,1,FALSE),"Falta"),"", "Falta")</f>
        <v/>
      </c>
    </row>
    <row r="1014" spans="1:6" x14ac:dyDescent="0.25">
      <c r="A1014" s="11">
        <f t="shared" si="15"/>
        <v>8520936</v>
      </c>
      <c r="B1014" s="17">
        <v>8520936</v>
      </c>
      <c r="C1014" s="17" t="s">
        <v>1420</v>
      </c>
      <c r="D1014" s="17">
        <v>900</v>
      </c>
      <c r="E1014" s="17">
        <v>105</v>
      </c>
      <c r="F1014" s="7" t="str">
        <f>IF(A1014=IFERROR(VLOOKUP(A1014,CATALOGO!$B$2:$B$600,1,FALSE),"Falta"),"", "Falta")</f>
        <v/>
      </c>
    </row>
    <row r="1015" spans="1:6" x14ac:dyDescent="0.25">
      <c r="A1015" s="11">
        <f t="shared" si="15"/>
        <v>8520941</v>
      </c>
      <c r="B1015" s="17">
        <v>8520941</v>
      </c>
      <c r="C1015" s="17" t="s">
        <v>1762</v>
      </c>
      <c r="D1015" s="17">
        <v>1000</v>
      </c>
      <c r="E1015" s="17">
        <v>522</v>
      </c>
      <c r="F1015" s="7" t="str">
        <f>IF(A1015=IFERROR(VLOOKUP(A1015,CATALOGO!$B$2:$B$600,1,FALSE),"Falta"),"", "Falta")</f>
        <v/>
      </c>
    </row>
    <row r="1016" spans="1:6" x14ac:dyDescent="0.25">
      <c r="A1016" s="11">
        <f t="shared" si="15"/>
        <v>8520946</v>
      </c>
      <c r="B1016" s="17">
        <v>8520946</v>
      </c>
      <c r="C1016" s="17" t="s">
        <v>1764</v>
      </c>
      <c r="D1016" s="17">
        <v>1300</v>
      </c>
      <c r="E1016" s="17">
        <v>835</v>
      </c>
      <c r="F1016" s="7" t="str">
        <f>IF(A1016=IFERROR(VLOOKUP(A1016,CATALOGO!$B$2:$B$600,1,FALSE),"Falta"),"", "Falta")</f>
        <v/>
      </c>
    </row>
    <row r="1017" spans="1:6" x14ac:dyDescent="0.25">
      <c r="A1017" s="11">
        <f t="shared" si="15"/>
        <v>8521013</v>
      </c>
      <c r="B1017" s="17">
        <v>8521013</v>
      </c>
      <c r="C1017" s="17" t="s">
        <v>485</v>
      </c>
      <c r="D1017" s="17">
        <v>983.84</v>
      </c>
      <c r="E1017" s="17">
        <v>1</v>
      </c>
      <c r="F1017" s="7" t="str">
        <f>IF(A1017=IFERROR(VLOOKUP(A1017,CATALOGO!$B$2:$B$600,1,FALSE),"Falta"),"", "Falta")</f>
        <v>Falta</v>
      </c>
    </row>
    <row r="1018" spans="1:6" x14ac:dyDescent="0.25">
      <c r="A1018" s="11">
        <f t="shared" si="15"/>
        <v>8521014</v>
      </c>
      <c r="B1018" s="17">
        <v>8521014</v>
      </c>
      <c r="C1018" s="17" t="s">
        <v>487</v>
      </c>
      <c r="D1018" s="17">
        <v>3200</v>
      </c>
      <c r="E1018" s="17">
        <v>62</v>
      </c>
      <c r="F1018" s="7" t="str">
        <f>IF(A1018=IFERROR(VLOOKUP(A1018,CATALOGO!$B$2:$B$600,1,FALSE),"Falta"),"", "Falta")</f>
        <v/>
      </c>
    </row>
    <row r="1019" spans="1:6" x14ac:dyDescent="0.25">
      <c r="A1019" s="11">
        <f t="shared" si="15"/>
        <v>8521036</v>
      </c>
      <c r="B1019" s="17">
        <v>8521036</v>
      </c>
      <c r="C1019" s="17" t="s">
        <v>483</v>
      </c>
      <c r="D1019" s="17">
        <v>1100</v>
      </c>
      <c r="E1019" s="17">
        <v>50</v>
      </c>
      <c r="F1019" s="7" t="str">
        <f>IF(A1019=IFERROR(VLOOKUP(A1019,CATALOGO!$B$2:$B$600,1,FALSE),"Falta"),"", "Falta")</f>
        <v/>
      </c>
    </row>
    <row r="1020" spans="1:6" x14ac:dyDescent="0.25">
      <c r="A1020" s="11">
        <f t="shared" si="15"/>
        <v>8521063</v>
      </c>
      <c r="B1020" s="17">
        <v>8521063</v>
      </c>
      <c r="C1020" s="17" t="s">
        <v>478</v>
      </c>
      <c r="D1020" s="17">
        <v>900</v>
      </c>
      <c r="E1020" s="17">
        <v>205</v>
      </c>
      <c r="F1020" s="7" t="str">
        <f>IF(A1020=IFERROR(VLOOKUP(A1020,CATALOGO!$B$2:$B$600,1,FALSE),"Falta"),"", "Falta")</f>
        <v/>
      </c>
    </row>
    <row r="1021" spans="1:6" x14ac:dyDescent="0.25">
      <c r="A1021" s="11">
        <f t="shared" si="15"/>
        <v>8521100</v>
      </c>
      <c r="B1021" s="17">
        <v>8521100</v>
      </c>
      <c r="C1021" s="17" t="s">
        <v>486</v>
      </c>
      <c r="D1021" s="17">
        <v>1200</v>
      </c>
      <c r="E1021" s="17">
        <v>104</v>
      </c>
      <c r="F1021" s="7" t="str">
        <f>IF(A1021=IFERROR(VLOOKUP(A1021,CATALOGO!$B$2:$B$600,1,FALSE),"Falta"),"", "Falta")</f>
        <v/>
      </c>
    </row>
    <row r="1022" spans="1:6" x14ac:dyDescent="0.25">
      <c r="A1022" s="11">
        <f t="shared" si="15"/>
        <v>8521102</v>
      </c>
      <c r="B1022" s="17">
        <v>8521102</v>
      </c>
      <c r="C1022" s="17" t="s">
        <v>496</v>
      </c>
      <c r="D1022" s="17">
        <v>1100</v>
      </c>
      <c r="E1022" s="17">
        <v>108</v>
      </c>
      <c r="F1022" s="7" t="str">
        <f>IF(A1022=IFERROR(VLOOKUP(A1022,CATALOGO!$B$2:$B$600,1,FALSE),"Falta"),"", "Falta")</f>
        <v/>
      </c>
    </row>
    <row r="1023" spans="1:6" x14ac:dyDescent="0.25">
      <c r="A1023" s="11">
        <f t="shared" si="15"/>
        <v>8521301</v>
      </c>
      <c r="B1023" s="17">
        <v>8521301</v>
      </c>
      <c r="C1023" s="17" t="s">
        <v>1051</v>
      </c>
      <c r="D1023" s="17">
        <v>250</v>
      </c>
      <c r="E1023" s="17">
        <v>76</v>
      </c>
      <c r="F1023" s="7" t="str">
        <f>IF(A1023=IFERROR(VLOOKUP(A1023,CATALOGO!$B$2:$B$600,1,FALSE),"Falta"),"", "Falta")</f>
        <v/>
      </c>
    </row>
    <row r="1024" spans="1:6" x14ac:dyDescent="0.25">
      <c r="A1024" s="11">
        <f t="shared" si="15"/>
        <v>8521302</v>
      </c>
      <c r="B1024" s="17">
        <v>8521302</v>
      </c>
      <c r="C1024" s="17" t="s">
        <v>1053</v>
      </c>
      <c r="D1024" s="17">
        <v>800</v>
      </c>
      <c r="E1024" s="17">
        <v>91</v>
      </c>
      <c r="F1024" s="7" t="str">
        <f>IF(A1024=IFERROR(VLOOKUP(A1024,CATALOGO!$B$2:$B$600,1,FALSE),"Falta"),"", "Falta")</f>
        <v/>
      </c>
    </row>
    <row r="1025" spans="1:6" x14ac:dyDescent="0.25">
      <c r="A1025" s="11">
        <f t="shared" si="15"/>
        <v>8521303</v>
      </c>
      <c r="B1025" s="17">
        <v>8521303</v>
      </c>
      <c r="C1025" s="17" t="s">
        <v>1049</v>
      </c>
      <c r="D1025" s="17">
        <v>900</v>
      </c>
      <c r="E1025" s="17">
        <v>1</v>
      </c>
      <c r="F1025" s="7" t="str">
        <f>IF(A1025=IFERROR(VLOOKUP(A1025,CATALOGO!$B$2:$B$600,1,FALSE),"Falta"),"", "Falta")</f>
        <v/>
      </c>
    </row>
    <row r="1026" spans="1:6" x14ac:dyDescent="0.25">
      <c r="A1026" s="11">
        <f t="shared" si="15"/>
        <v>8521304</v>
      </c>
      <c r="B1026" s="17">
        <v>8521304</v>
      </c>
      <c r="C1026" s="17" t="s">
        <v>1058</v>
      </c>
      <c r="D1026" s="17">
        <v>900</v>
      </c>
      <c r="E1026" s="17">
        <v>48</v>
      </c>
      <c r="F1026" s="7" t="str">
        <f>IF(A1026=IFERROR(VLOOKUP(A1026,CATALOGO!$B$2:$B$600,1,FALSE),"Falta"),"", "Falta")</f>
        <v/>
      </c>
    </row>
    <row r="1027" spans="1:6" x14ac:dyDescent="0.25">
      <c r="A1027" s="11">
        <f t="shared" si="15"/>
        <v>8521305</v>
      </c>
      <c r="B1027" s="17">
        <v>8521305</v>
      </c>
      <c r="C1027" s="17" t="s">
        <v>1057</v>
      </c>
      <c r="D1027" s="17">
        <v>400</v>
      </c>
      <c r="E1027" s="17">
        <v>83</v>
      </c>
      <c r="F1027" s="7" t="str">
        <f>IF(A1027=IFERROR(VLOOKUP(A1027,CATALOGO!$B$2:$B$600,1,FALSE),"Falta"),"", "Falta")</f>
        <v/>
      </c>
    </row>
    <row r="1028" spans="1:6" x14ac:dyDescent="0.25">
      <c r="A1028" s="11">
        <f t="shared" si="15"/>
        <v>8521306</v>
      </c>
      <c r="B1028" s="17">
        <v>8521306</v>
      </c>
      <c r="C1028" s="17" t="s">
        <v>1059</v>
      </c>
      <c r="D1028" s="17">
        <v>1200</v>
      </c>
      <c r="E1028" s="17">
        <v>334</v>
      </c>
      <c r="F1028" s="7" t="str">
        <f>IF(A1028=IFERROR(VLOOKUP(A1028,CATALOGO!$B$2:$B$600,1,FALSE),"Falta"),"", "Falta")</f>
        <v/>
      </c>
    </row>
    <row r="1029" spans="1:6" x14ac:dyDescent="0.25">
      <c r="A1029" s="11">
        <f t="shared" si="15"/>
        <v>8522011</v>
      </c>
      <c r="B1029" s="17">
        <v>8522011</v>
      </c>
      <c r="C1029" s="17" t="s">
        <v>1341</v>
      </c>
      <c r="D1029" s="17">
        <v>390</v>
      </c>
      <c r="E1029" s="17">
        <v>177</v>
      </c>
      <c r="F1029" s="7" t="str">
        <f>IF(A1029=IFERROR(VLOOKUP(A1029,CATALOGO!$B$2:$B$600,1,FALSE),"Falta"),"", "Falta")</f>
        <v/>
      </c>
    </row>
    <row r="1030" spans="1:6" x14ac:dyDescent="0.25">
      <c r="A1030" s="11">
        <f t="shared" ref="A1030:A1093" si="16">IFERROR(B1030*1,"")</f>
        <v>8522030</v>
      </c>
      <c r="B1030" s="17">
        <v>8522030</v>
      </c>
      <c r="C1030" s="17" t="s">
        <v>1342</v>
      </c>
      <c r="D1030" s="17">
        <v>990</v>
      </c>
      <c r="E1030" s="17">
        <v>333</v>
      </c>
      <c r="F1030" s="7" t="str">
        <f>IF(A1030=IFERROR(VLOOKUP(A1030,CATALOGO!$B$2:$B$600,1,FALSE),"Falta"),"", "Falta")</f>
        <v/>
      </c>
    </row>
    <row r="1031" spans="1:6" x14ac:dyDescent="0.25">
      <c r="A1031" s="11">
        <f t="shared" si="16"/>
        <v>8522101</v>
      </c>
      <c r="B1031" s="17">
        <v>8522101</v>
      </c>
      <c r="C1031" s="17" t="s">
        <v>1340</v>
      </c>
      <c r="D1031" s="17">
        <v>1980</v>
      </c>
      <c r="E1031" s="17">
        <v>1</v>
      </c>
      <c r="F1031" s="7" t="str">
        <f>IF(A1031=IFERROR(VLOOKUP(A1031,CATALOGO!$B$2:$B$600,1,FALSE),"Falta"),"", "Falta")</f>
        <v>Falta</v>
      </c>
    </row>
    <row r="1032" spans="1:6" x14ac:dyDescent="0.25">
      <c r="A1032" s="11">
        <f t="shared" si="16"/>
        <v>8522999</v>
      </c>
      <c r="B1032" s="17">
        <v>8522999</v>
      </c>
      <c r="C1032" s="17" t="s">
        <v>1339</v>
      </c>
      <c r="D1032" s="17">
        <v>1331</v>
      </c>
      <c r="E1032" s="17">
        <v>672</v>
      </c>
      <c r="F1032" s="7" t="str">
        <f>IF(A1032=IFERROR(VLOOKUP(A1032,CATALOGO!$B$2:$B$600,1,FALSE),"Falta"),"", "Falta")</f>
        <v>Falta</v>
      </c>
    </row>
    <row r="1033" spans="1:6" x14ac:dyDescent="0.25">
      <c r="A1033" s="11">
        <f t="shared" si="16"/>
        <v>8525576</v>
      </c>
      <c r="B1033" s="17">
        <v>8525576</v>
      </c>
      <c r="C1033" s="17" t="s">
        <v>1385</v>
      </c>
      <c r="D1033" s="17">
        <v>90</v>
      </c>
      <c r="E1033" s="17">
        <v>399</v>
      </c>
      <c r="F1033" s="7" t="str">
        <f>IF(A1033=IFERROR(VLOOKUP(A1033,CATALOGO!$B$2:$B$600,1,FALSE),"Falta"),"", "Falta")</f>
        <v/>
      </c>
    </row>
    <row r="1034" spans="1:6" x14ac:dyDescent="0.25">
      <c r="A1034" s="11">
        <f t="shared" si="16"/>
        <v>8525999</v>
      </c>
      <c r="B1034" s="17">
        <v>8525999</v>
      </c>
      <c r="C1034" s="17" t="s">
        <v>1383</v>
      </c>
      <c r="D1034" s="17">
        <v>130</v>
      </c>
      <c r="E1034" s="17">
        <v>170</v>
      </c>
      <c r="F1034" s="7" t="str">
        <f>IF(A1034=IFERROR(VLOOKUP(A1034,CATALOGO!$B$2:$B$600,1,FALSE),"Falta"),"", "Falta")</f>
        <v/>
      </c>
    </row>
    <row r="1035" spans="1:6" x14ac:dyDescent="0.25">
      <c r="A1035" s="11">
        <f t="shared" si="16"/>
        <v>8612300</v>
      </c>
      <c r="B1035" s="17">
        <v>8612300</v>
      </c>
      <c r="C1035" s="17" t="s">
        <v>1344</v>
      </c>
      <c r="D1035" s="17">
        <v>1500</v>
      </c>
      <c r="E1035" s="17">
        <v>2</v>
      </c>
      <c r="F1035" s="7" t="str">
        <f>IF(A1035=IFERROR(VLOOKUP(A1035,CATALOGO!$B$2:$B$600,1,FALSE),"Falta"),"", "Falta")</f>
        <v>Falta</v>
      </c>
    </row>
    <row r="1036" spans="1:6" x14ac:dyDescent="0.25">
      <c r="A1036" s="11">
        <f t="shared" si="16"/>
        <v>8612418</v>
      </c>
      <c r="B1036" s="17">
        <v>8612418</v>
      </c>
      <c r="C1036" s="17" t="s">
        <v>1396</v>
      </c>
      <c r="D1036" s="17">
        <v>100</v>
      </c>
      <c r="E1036" s="17">
        <v>371</v>
      </c>
      <c r="F1036" s="7" t="str">
        <f>IF(A1036=IFERROR(VLOOKUP(A1036,CATALOGO!$B$2:$B$600,1,FALSE),"Falta"),"", "Falta")</f>
        <v/>
      </c>
    </row>
    <row r="1037" spans="1:6" x14ac:dyDescent="0.25">
      <c r="A1037" s="11">
        <f t="shared" si="16"/>
        <v>8612462</v>
      </c>
      <c r="B1037" s="17">
        <v>8612462</v>
      </c>
      <c r="C1037" s="17" t="s">
        <v>1774</v>
      </c>
      <c r="D1037" s="17">
        <v>4400</v>
      </c>
      <c r="E1037" s="17">
        <v>2</v>
      </c>
      <c r="F1037" s="7" t="str">
        <f>IF(A1037=IFERROR(VLOOKUP(A1037,CATALOGO!$B$2:$B$600,1,FALSE),"Falta"),"", "Falta")</f>
        <v/>
      </c>
    </row>
    <row r="1038" spans="1:6" x14ac:dyDescent="0.25">
      <c r="A1038" s="11">
        <f t="shared" si="16"/>
        <v>8612468</v>
      </c>
      <c r="B1038" s="17">
        <v>8612468</v>
      </c>
      <c r="C1038" s="17" t="s">
        <v>1775</v>
      </c>
      <c r="D1038" s="17">
        <v>3500</v>
      </c>
      <c r="E1038" s="17">
        <v>1</v>
      </c>
      <c r="F1038" s="7" t="str">
        <f>IF(A1038=IFERROR(VLOOKUP(A1038,CATALOGO!$B$2:$B$600,1,FALSE),"Falta"),"", "Falta")</f>
        <v/>
      </c>
    </row>
    <row r="1039" spans="1:6" x14ac:dyDescent="0.25">
      <c r="A1039" s="11">
        <f t="shared" si="16"/>
        <v>8612523</v>
      </c>
      <c r="B1039" s="17">
        <v>8612523</v>
      </c>
      <c r="C1039" s="17" t="s">
        <v>1777</v>
      </c>
      <c r="D1039" s="17">
        <v>7200</v>
      </c>
      <c r="E1039" s="17">
        <v>3</v>
      </c>
      <c r="F1039" s="7" t="str">
        <f>IF(A1039=IFERROR(VLOOKUP(A1039,CATALOGO!$B$2:$B$600,1,FALSE),"Falta"),"", "Falta")</f>
        <v/>
      </c>
    </row>
    <row r="1040" spans="1:6" x14ac:dyDescent="0.25">
      <c r="A1040" s="11">
        <f t="shared" si="16"/>
        <v>8612600</v>
      </c>
      <c r="B1040" s="17">
        <v>8612600</v>
      </c>
      <c r="C1040" s="17" t="s">
        <v>368</v>
      </c>
      <c r="D1040" s="17">
        <v>5300</v>
      </c>
      <c r="E1040" s="17">
        <v>2</v>
      </c>
      <c r="F1040" s="7" t="str">
        <f>IF(A1040=IFERROR(VLOOKUP(A1040,CATALOGO!$B$2:$B$600,1,FALSE),"Falta"),"", "Falta")</f>
        <v/>
      </c>
    </row>
    <row r="1041" spans="1:6" x14ac:dyDescent="0.25">
      <c r="A1041" s="11">
        <f t="shared" si="16"/>
        <v>8612793</v>
      </c>
      <c r="B1041" s="17">
        <v>8612793</v>
      </c>
      <c r="C1041" s="17" t="s">
        <v>1778</v>
      </c>
      <c r="D1041" s="17">
        <v>3600</v>
      </c>
      <c r="E1041" s="17">
        <v>4</v>
      </c>
      <c r="F1041" s="7" t="str">
        <f>IF(A1041=IFERROR(VLOOKUP(A1041,CATALOGO!$B$2:$B$600,1,FALSE),"Falta"),"", "Falta")</f>
        <v/>
      </c>
    </row>
    <row r="1042" spans="1:6" x14ac:dyDescent="0.25">
      <c r="A1042" s="11">
        <f t="shared" si="16"/>
        <v>8612794</v>
      </c>
      <c r="B1042" s="17">
        <v>8612794</v>
      </c>
      <c r="C1042" s="17" t="s">
        <v>1779</v>
      </c>
      <c r="D1042" s="17">
        <v>4300</v>
      </c>
      <c r="E1042" s="17">
        <v>3</v>
      </c>
      <c r="F1042" s="7" t="str">
        <f>IF(A1042=IFERROR(VLOOKUP(A1042,CATALOGO!$B$2:$B$600,1,FALSE),"Falta"),"", "Falta")</f>
        <v/>
      </c>
    </row>
    <row r="1043" spans="1:6" x14ac:dyDescent="0.25">
      <c r="A1043" s="11">
        <f t="shared" si="16"/>
        <v>8686003</v>
      </c>
      <c r="B1043" s="17">
        <v>8686003</v>
      </c>
      <c r="C1043" s="17" t="s">
        <v>184</v>
      </c>
      <c r="D1043" s="17">
        <v>900</v>
      </c>
      <c r="E1043" s="17">
        <v>52</v>
      </c>
      <c r="F1043" s="7" t="str">
        <f>IF(A1043=IFERROR(VLOOKUP(A1043,CATALOGO!$B$2:$B$600,1,FALSE),"Falta"),"", "Falta")</f>
        <v/>
      </c>
    </row>
    <row r="1044" spans="1:6" x14ac:dyDescent="0.25">
      <c r="A1044" s="11">
        <f t="shared" si="16"/>
        <v>8701000</v>
      </c>
      <c r="B1044" s="17">
        <v>8701000</v>
      </c>
      <c r="C1044" s="17" t="s">
        <v>1781</v>
      </c>
      <c r="D1044" s="17">
        <v>1222.99</v>
      </c>
      <c r="E1044" s="17">
        <v>103</v>
      </c>
      <c r="F1044" s="7" t="str">
        <f>IF(A1044=IFERROR(VLOOKUP(A1044,CATALOGO!$B$2:$B$600,1,FALSE),"Falta"),"", "Falta")</f>
        <v/>
      </c>
    </row>
    <row r="1045" spans="1:6" x14ac:dyDescent="0.25">
      <c r="A1045" s="11">
        <f t="shared" si="16"/>
        <v>8701002</v>
      </c>
      <c r="B1045" s="17">
        <v>8701002</v>
      </c>
      <c r="C1045" s="17" t="s">
        <v>1856</v>
      </c>
      <c r="D1045" s="17">
        <v>1020</v>
      </c>
      <c r="E1045" s="17">
        <v>6</v>
      </c>
      <c r="F1045" s="7" t="str">
        <f>IF(A1045=IFERROR(VLOOKUP(A1045,CATALOGO!$B$2:$B$600,1,FALSE),"Falta"),"", "Falta")</f>
        <v>Falta</v>
      </c>
    </row>
    <row r="1046" spans="1:6" x14ac:dyDescent="0.25">
      <c r="A1046" s="11">
        <f t="shared" si="16"/>
        <v>8701032</v>
      </c>
      <c r="B1046" s="17">
        <v>8701032</v>
      </c>
      <c r="C1046" s="17" t="s">
        <v>448</v>
      </c>
      <c r="D1046" s="17">
        <v>3330</v>
      </c>
      <c r="E1046" s="17">
        <v>3</v>
      </c>
      <c r="F1046" s="7" t="str">
        <f>IF(A1046=IFERROR(VLOOKUP(A1046,CATALOGO!$B$2:$B$600,1,FALSE),"Falta"),"", "Falta")</f>
        <v>Falta</v>
      </c>
    </row>
    <row r="1047" spans="1:6" x14ac:dyDescent="0.25">
      <c r="A1047" s="11">
        <f t="shared" si="16"/>
        <v>8701033</v>
      </c>
      <c r="B1047" s="17">
        <v>8701033</v>
      </c>
      <c r="C1047" s="17" t="s">
        <v>447</v>
      </c>
      <c r="D1047" s="17">
        <v>4950</v>
      </c>
      <c r="E1047" s="17">
        <v>17</v>
      </c>
      <c r="F1047" s="7" t="str">
        <f>IF(A1047=IFERROR(VLOOKUP(A1047,CATALOGO!$B$2:$B$600,1,FALSE),"Falta"),"", "Falta")</f>
        <v/>
      </c>
    </row>
    <row r="1048" spans="1:6" x14ac:dyDescent="0.25">
      <c r="A1048" s="11">
        <f t="shared" si="16"/>
        <v>8701038</v>
      </c>
      <c r="B1048" s="17">
        <v>8701038</v>
      </c>
      <c r="C1048" s="17" t="s">
        <v>1418</v>
      </c>
      <c r="D1048" s="17">
        <v>1300</v>
      </c>
      <c r="E1048" s="17">
        <v>104</v>
      </c>
      <c r="F1048" s="7" t="str">
        <f>IF(A1048=IFERROR(VLOOKUP(A1048,CATALOGO!$B$2:$B$600,1,FALSE),"Falta"),"", "Falta")</f>
        <v/>
      </c>
    </row>
    <row r="1049" spans="1:6" x14ac:dyDescent="0.25">
      <c r="A1049" s="11">
        <f t="shared" si="16"/>
        <v>8701092</v>
      </c>
      <c r="B1049" s="17">
        <v>8701092</v>
      </c>
      <c r="C1049" s="17" t="s">
        <v>441</v>
      </c>
      <c r="D1049" s="17">
        <v>1300</v>
      </c>
      <c r="E1049" s="17">
        <v>18</v>
      </c>
      <c r="F1049" s="7" t="str">
        <f>IF(A1049=IFERROR(VLOOKUP(A1049,CATALOGO!$B$2:$B$600,1,FALSE),"Falta"),"", "Falta")</f>
        <v>Falta</v>
      </c>
    </row>
    <row r="1050" spans="1:6" x14ac:dyDescent="0.25">
      <c r="A1050" s="11">
        <f t="shared" si="16"/>
        <v>8701093</v>
      </c>
      <c r="B1050" s="17">
        <v>8701093</v>
      </c>
      <c r="C1050" s="17" t="s">
        <v>439</v>
      </c>
      <c r="D1050" s="17">
        <v>1300</v>
      </c>
      <c r="E1050" s="17">
        <v>7</v>
      </c>
      <c r="F1050" s="7" t="str">
        <f>IF(A1050=IFERROR(VLOOKUP(A1050,CATALOGO!$B$2:$B$600,1,FALSE),"Falta"),"", "Falta")</f>
        <v>Falta</v>
      </c>
    </row>
    <row r="1051" spans="1:6" x14ac:dyDescent="0.25">
      <c r="A1051" s="11">
        <f t="shared" si="16"/>
        <v>8701200</v>
      </c>
      <c r="B1051" s="17">
        <v>8701200</v>
      </c>
      <c r="C1051" s="17" t="s">
        <v>1783</v>
      </c>
      <c r="D1051" s="17">
        <v>3197.38</v>
      </c>
      <c r="E1051" s="17">
        <v>1</v>
      </c>
      <c r="F1051" s="7" t="str">
        <f>IF(A1051=IFERROR(VLOOKUP(A1051,CATALOGO!$B$2:$B$600,1,FALSE),"Falta"),"", "Falta")</f>
        <v/>
      </c>
    </row>
    <row r="1052" spans="1:6" x14ac:dyDescent="0.25">
      <c r="A1052" s="11">
        <f t="shared" si="16"/>
        <v>8701214</v>
      </c>
      <c r="B1052" s="17">
        <v>8701214</v>
      </c>
      <c r="C1052" s="17" t="s">
        <v>443</v>
      </c>
      <c r="D1052" s="17">
        <v>1170</v>
      </c>
      <c r="E1052" s="17">
        <v>585</v>
      </c>
      <c r="F1052" s="7" t="str">
        <f>IF(A1052=IFERROR(VLOOKUP(A1052,CATALOGO!$B$2:$B$600,1,FALSE),"Falta"),"", "Falta")</f>
        <v>Falta</v>
      </c>
    </row>
    <row r="1053" spans="1:6" x14ac:dyDescent="0.25">
      <c r="A1053" s="11">
        <f t="shared" si="16"/>
        <v>8701494</v>
      </c>
      <c r="B1053" s="17">
        <v>8701494</v>
      </c>
      <c r="C1053" s="17" t="s">
        <v>1419</v>
      </c>
      <c r="D1053" s="17">
        <v>500</v>
      </c>
      <c r="E1053" s="17">
        <v>123</v>
      </c>
      <c r="F1053" s="7" t="str">
        <f>IF(A1053=IFERROR(VLOOKUP(A1053,CATALOGO!$B$2:$B$600,1,FALSE),"Falta"),"", "Falta")</f>
        <v/>
      </c>
    </row>
    <row r="1054" spans="1:6" x14ac:dyDescent="0.25">
      <c r="A1054" s="11">
        <f t="shared" si="16"/>
        <v>8701495</v>
      </c>
      <c r="B1054" s="17">
        <v>8701495</v>
      </c>
      <c r="C1054" s="17" t="s">
        <v>1787</v>
      </c>
      <c r="D1054" s="17">
        <v>350</v>
      </c>
      <c r="E1054" s="17">
        <v>143</v>
      </c>
      <c r="F1054" s="7" t="str">
        <f>IF(A1054=IFERROR(VLOOKUP(A1054,CATALOGO!$B$2:$B$600,1,FALSE),"Falta"),"", "Falta")</f>
        <v>Falta</v>
      </c>
    </row>
    <row r="1055" spans="1:6" x14ac:dyDescent="0.25">
      <c r="A1055" s="11">
        <f t="shared" si="16"/>
        <v>8701500</v>
      </c>
      <c r="B1055" s="17">
        <v>8701500</v>
      </c>
      <c r="C1055" s="17" t="s">
        <v>1788</v>
      </c>
      <c r="D1055" s="17">
        <v>1300</v>
      </c>
      <c r="E1055" s="17">
        <v>272</v>
      </c>
      <c r="F1055" s="7" t="str">
        <f>IF(A1055=IFERROR(VLOOKUP(A1055,CATALOGO!$B$2:$B$600,1,FALSE),"Falta"),"", "Falta")</f>
        <v>Falta</v>
      </c>
    </row>
    <row r="1056" spans="1:6" x14ac:dyDescent="0.25">
      <c r="A1056" s="11">
        <f t="shared" si="16"/>
        <v>8701541</v>
      </c>
      <c r="B1056" s="17">
        <v>8701541</v>
      </c>
      <c r="C1056" s="17" t="s">
        <v>1789</v>
      </c>
      <c r="D1056" s="17">
        <v>1200</v>
      </c>
      <c r="E1056" s="17">
        <v>38</v>
      </c>
      <c r="F1056" s="7" t="str">
        <f>IF(A1056=IFERROR(VLOOKUP(A1056,CATALOGO!$B$2:$B$600,1,FALSE),"Falta"),"", "Falta")</f>
        <v>Falta</v>
      </c>
    </row>
    <row r="1057" spans="1:6" x14ac:dyDescent="0.25">
      <c r="A1057" s="11">
        <f t="shared" si="16"/>
        <v>8701542</v>
      </c>
      <c r="B1057" s="17">
        <v>8701542</v>
      </c>
      <c r="C1057" s="17" t="s">
        <v>444</v>
      </c>
      <c r="D1057" s="17">
        <v>1200</v>
      </c>
      <c r="E1057" s="17">
        <v>97</v>
      </c>
      <c r="F1057" s="7" t="str">
        <f>IF(A1057=IFERROR(VLOOKUP(A1057,CATALOGO!$B$2:$B$600,1,FALSE),"Falta"),"", "Falta")</f>
        <v>Falta</v>
      </c>
    </row>
    <row r="1058" spans="1:6" x14ac:dyDescent="0.25">
      <c r="A1058" s="11">
        <f t="shared" si="16"/>
        <v>8701575</v>
      </c>
      <c r="B1058" s="17">
        <v>8701575</v>
      </c>
      <c r="C1058" s="17" t="s">
        <v>455</v>
      </c>
      <c r="D1058" s="17">
        <v>450</v>
      </c>
      <c r="E1058" s="17">
        <v>178</v>
      </c>
      <c r="F1058" s="7" t="str">
        <f>IF(A1058=IFERROR(VLOOKUP(A1058,CATALOGO!$B$2:$B$600,1,FALSE),"Falta"),"", "Falta")</f>
        <v/>
      </c>
    </row>
    <row r="1059" spans="1:6" x14ac:dyDescent="0.25">
      <c r="A1059" s="11">
        <f t="shared" si="16"/>
        <v>8701576</v>
      </c>
      <c r="B1059" s="17">
        <v>8701576</v>
      </c>
      <c r="C1059" s="17" t="s">
        <v>456</v>
      </c>
      <c r="D1059" s="17">
        <v>1100</v>
      </c>
      <c r="E1059" s="17">
        <v>670</v>
      </c>
      <c r="F1059" s="7" t="str">
        <f>IF(A1059=IFERROR(VLOOKUP(A1059,CATALOGO!$B$2:$B$600,1,FALSE),"Falta"),"", "Falta")</f>
        <v/>
      </c>
    </row>
    <row r="1060" spans="1:6" x14ac:dyDescent="0.25">
      <c r="A1060" s="11">
        <f t="shared" si="16"/>
        <v>8701652</v>
      </c>
      <c r="B1060" s="17">
        <v>8701652</v>
      </c>
      <c r="C1060" s="17" t="s">
        <v>1376</v>
      </c>
      <c r="D1060" s="17">
        <v>555</v>
      </c>
      <c r="E1060" s="17">
        <v>48</v>
      </c>
      <c r="F1060" s="7" t="str">
        <f>IF(A1060=IFERROR(VLOOKUP(A1060,CATALOGO!$B$2:$B$600,1,FALSE),"Falta"),"", "Falta")</f>
        <v/>
      </c>
    </row>
    <row r="1061" spans="1:6" x14ac:dyDescent="0.25">
      <c r="A1061" s="11">
        <f t="shared" si="16"/>
        <v>8701653</v>
      </c>
      <c r="B1061" s="17">
        <v>8701653</v>
      </c>
      <c r="C1061" s="17" t="s">
        <v>1375</v>
      </c>
      <c r="D1061" s="17">
        <v>484</v>
      </c>
      <c r="E1061" s="17">
        <v>1</v>
      </c>
      <c r="F1061" s="7" t="str">
        <f>IF(A1061=IFERROR(VLOOKUP(A1061,CATALOGO!$B$2:$B$600,1,FALSE),"Falta"),"", "Falta")</f>
        <v/>
      </c>
    </row>
    <row r="1062" spans="1:6" x14ac:dyDescent="0.25">
      <c r="A1062" s="11">
        <f t="shared" si="16"/>
        <v>8701654</v>
      </c>
      <c r="B1062" s="17">
        <v>8701654</v>
      </c>
      <c r="C1062" s="17" t="s">
        <v>1374</v>
      </c>
      <c r="D1062" s="17">
        <v>330</v>
      </c>
      <c r="E1062" s="17">
        <v>8</v>
      </c>
      <c r="F1062" s="7" t="str">
        <f>IF(A1062=IFERROR(VLOOKUP(A1062,CATALOGO!$B$2:$B$600,1,FALSE),"Falta"),"", "Falta")</f>
        <v>Falta</v>
      </c>
    </row>
    <row r="1063" spans="1:6" x14ac:dyDescent="0.25">
      <c r="A1063" s="11">
        <f t="shared" si="16"/>
        <v>8701655</v>
      </c>
      <c r="B1063" s="17">
        <v>8701655</v>
      </c>
      <c r="C1063" s="17" t="s">
        <v>451</v>
      </c>
      <c r="D1063" s="17">
        <v>1140</v>
      </c>
      <c r="E1063" s="17">
        <v>4</v>
      </c>
      <c r="F1063" s="7" t="str">
        <f>IF(A1063=IFERROR(VLOOKUP(A1063,CATALOGO!$B$2:$B$600,1,FALSE),"Falta"),"", "Falta")</f>
        <v/>
      </c>
    </row>
    <row r="1064" spans="1:6" x14ac:dyDescent="0.25">
      <c r="A1064" s="11">
        <f t="shared" si="16"/>
        <v>8701657</v>
      </c>
      <c r="B1064" s="17">
        <v>8701657</v>
      </c>
      <c r="C1064" s="17" t="s">
        <v>1377</v>
      </c>
      <c r="D1064" s="17">
        <v>750</v>
      </c>
      <c r="E1064" s="17">
        <v>7</v>
      </c>
      <c r="F1064" s="7" t="str">
        <f>IF(A1064=IFERROR(VLOOKUP(A1064,CATALOGO!$B$2:$B$600,1,FALSE),"Falta"),"", "Falta")</f>
        <v>Falta</v>
      </c>
    </row>
    <row r="1065" spans="1:6" x14ac:dyDescent="0.25">
      <c r="A1065" s="11">
        <f t="shared" si="16"/>
        <v>8701735</v>
      </c>
      <c r="B1065" s="17">
        <v>8701735</v>
      </c>
      <c r="C1065" s="17" t="s">
        <v>446</v>
      </c>
      <c r="D1065" s="17">
        <v>3660</v>
      </c>
      <c r="E1065" s="17">
        <v>39</v>
      </c>
      <c r="F1065" s="7" t="str">
        <f>IF(A1065=IFERROR(VLOOKUP(A1065,CATALOGO!$B$2:$B$600,1,FALSE),"Falta"),"", "Falta")</f>
        <v>Falta</v>
      </c>
    </row>
    <row r="1066" spans="1:6" x14ac:dyDescent="0.25">
      <c r="A1066" s="11">
        <f t="shared" si="16"/>
        <v>8701741</v>
      </c>
      <c r="B1066" s="17">
        <v>8701741</v>
      </c>
      <c r="C1066" s="17" t="s">
        <v>449</v>
      </c>
      <c r="D1066" s="17">
        <v>1369.94</v>
      </c>
      <c r="E1066" s="17">
        <v>129</v>
      </c>
      <c r="F1066" s="7" t="str">
        <f>IF(A1066=IFERROR(VLOOKUP(A1066,CATALOGO!$B$2:$B$600,1,FALSE),"Falta"),"", "Falta")</f>
        <v/>
      </c>
    </row>
    <row r="1067" spans="1:6" x14ac:dyDescent="0.25">
      <c r="A1067" s="11">
        <f t="shared" si="16"/>
        <v>8701742</v>
      </c>
      <c r="B1067" s="17">
        <v>8701742</v>
      </c>
      <c r="C1067" s="17" t="s">
        <v>450</v>
      </c>
      <c r="D1067" s="17">
        <v>1836.77</v>
      </c>
      <c r="E1067" s="17">
        <v>41</v>
      </c>
      <c r="F1067" s="7" t="str">
        <f>IF(A1067=IFERROR(VLOOKUP(A1067,CATALOGO!$B$2:$B$600,1,FALSE),"Falta"),"", "Falta")</f>
        <v>Falta</v>
      </c>
    </row>
    <row r="1068" spans="1:6" x14ac:dyDescent="0.25">
      <c r="A1068" s="11">
        <f t="shared" si="16"/>
        <v>8701750</v>
      </c>
      <c r="B1068" s="17">
        <v>8701750</v>
      </c>
      <c r="C1068" s="17" t="s">
        <v>442</v>
      </c>
      <c r="D1068" s="17">
        <v>1170</v>
      </c>
      <c r="E1068" s="17">
        <v>1</v>
      </c>
      <c r="F1068" s="7" t="str">
        <f>IF(A1068=IFERROR(VLOOKUP(A1068,CATALOGO!$B$2:$B$600,1,FALSE),"Falta"),"", "Falta")</f>
        <v>Falta</v>
      </c>
    </row>
    <row r="1069" spans="1:6" x14ac:dyDescent="0.25">
      <c r="A1069" s="11">
        <f t="shared" si="16"/>
        <v>8701856</v>
      </c>
      <c r="B1069" s="17">
        <v>8701856</v>
      </c>
      <c r="C1069" s="17" t="s">
        <v>454</v>
      </c>
      <c r="D1069" s="17">
        <v>1222.99</v>
      </c>
      <c r="E1069" s="17">
        <v>10</v>
      </c>
      <c r="F1069" s="7" t="str">
        <f>IF(A1069=IFERROR(VLOOKUP(A1069,CATALOGO!$B$2:$B$600,1,FALSE),"Falta"),"", "Falta")</f>
        <v>Falta</v>
      </c>
    </row>
    <row r="1070" spans="1:6" x14ac:dyDescent="0.25">
      <c r="A1070" s="11">
        <f t="shared" si="16"/>
        <v>8701900</v>
      </c>
      <c r="B1070" s="17">
        <v>8701900</v>
      </c>
      <c r="C1070" s="17" t="s">
        <v>1792</v>
      </c>
      <c r="D1070" s="17">
        <v>1454.1</v>
      </c>
      <c r="E1070" s="17">
        <v>7</v>
      </c>
      <c r="F1070" s="7" t="str">
        <f>IF(A1070=IFERROR(VLOOKUP(A1070,CATALOGO!$B$2:$B$600,1,FALSE),"Falta"),"", "Falta")</f>
        <v>Falta</v>
      </c>
    </row>
    <row r="1071" spans="1:6" x14ac:dyDescent="0.25">
      <c r="A1071" s="11">
        <f t="shared" si="16"/>
        <v>870199985</v>
      </c>
      <c r="B1071" s="17">
        <v>870199985</v>
      </c>
      <c r="C1071" s="17" t="s">
        <v>2888</v>
      </c>
      <c r="D1071" s="17">
        <v>349</v>
      </c>
      <c r="E1071" s="17">
        <v>1</v>
      </c>
      <c r="F1071" s="7" t="str">
        <f>IF(A1071=IFERROR(VLOOKUP(A1071,CATALOGO!$B$2:$B$600,1,FALSE),"Falta"),"", "Falta")</f>
        <v>Falta</v>
      </c>
    </row>
    <row r="1072" spans="1:6" x14ac:dyDescent="0.25">
      <c r="A1072" s="11">
        <f t="shared" si="16"/>
        <v>8702660</v>
      </c>
      <c r="B1072" s="17">
        <v>8702660</v>
      </c>
      <c r="C1072" s="17" t="s">
        <v>360</v>
      </c>
      <c r="D1072" s="17">
        <v>900</v>
      </c>
      <c r="E1072" s="17">
        <v>8</v>
      </c>
      <c r="F1072" s="7" t="str">
        <f>IF(A1072=IFERROR(VLOOKUP(A1072,CATALOGO!$B$2:$B$600,1,FALSE),"Falta"),"", "Falta")</f>
        <v>Falta</v>
      </c>
    </row>
    <row r="1073" spans="1:6" x14ac:dyDescent="0.25">
      <c r="A1073" s="11">
        <f t="shared" si="16"/>
        <v>8702661</v>
      </c>
      <c r="B1073" s="17">
        <v>8702661</v>
      </c>
      <c r="C1073" s="17" t="s">
        <v>361</v>
      </c>
      <c r="D1073" s="17">
        <v>1140</v>
      </c>
      <c r="E1073" s="17">
        <v>4</v>
      </c>
      <c r="F1073" s="7" t="str">
        <f>IF(A1073=IFERROR(VLOOKUP(A1073,CATALOGO!$B$2:$B$600,1,FALSE),"Falta"),"", "Falta")</f>
        <v>Falta</v>
      </c>
    </row>
    <row r="1074" spans="1:6" x14ac:dyDescent="0.25">
      <c r="A1074" s="11">
        <f t="shared" si="16"/>
        <v>8703001</v>
      </c>
      <c r="B1074" s="17">
        <v>8703001</v>
      </c>
      <c r="C1074" s="17" t="s">
        <v>1161</v>
      </c>
      <c r="D1074" s="17">
        <v>520.29999999999995</v>
      </c>
      <c r="E1074" s="17">
        <v>4</v>
      </c>
      <c r="F1074" s="7" t="str">
        <f>IF(A1074=IFERROR(VLOOKUP(A1074,CATALOGO!$B$2:$B$600,1,FALSE),"Falta"),"", "Falta")</f>
        <v>Falta</v>
      </c>
    </row>
    <row r="1075" spans="1:6" x14ac:dyDescent="0.25">
      <c r="A1075" s="11">
        <f t="shared" si="16"/>
        <v>8703004</v>
      </c>
      <c r="B1075" s="17">
        <v>8703004</v>
      </c>
      <c r="C1075" s="17" t="s">
        <v>616</v>
      </c>
      <c r="D1075" s="17">
        <v>1470</v>
      </c>
      <c r="E1075" s="17">
        <v>14</v>
      </c>
      <c r="F1075" s="7" t="str">
        <f>IF(A1075=IFERROR(VLOOKUP(A1075,CATALOGO!$B$2:$B$600,1,FALSE),"Falta"),"", "Falta")</f>
        <v/>
      </c>
    </row>
    <row r="1076" spans="1:6" x14ac:dyDescent="0.25">
      <c r="A1076" s="11">
        <f t="shared" si="16"/>
        <v>8703012</v>
      </c>
      <c r="B1076" s="17">
        <v>8703012</v>
      </c>
      <c r="C1076" s="17" t="s">
        <v>1794</v>
      </c>
      <c r="D1076" s="17">
        <v>1224.51</v>
      </c>
      <c r="E1076" s="17">
        <v>5</v>
      </c>
      <c r="F1076" s="7" t="str">
        <f>IF(A1076=IFERROR(VLOOKUP(A1076,CATALOGO!$B$2:$B$600,1,FALSE),"Falta"),"", "Falta")</f>
        <v>Falta</v>
      </c>
    </row>
    <row r="1077" spans="1:6" x14ac:dyDescent="0.25">
      <c r="A1077" s="11">
        <f t="shared" si="16"/>
        <v>8703017</v>
      </c>
      <c r="B1077" s="17">
        <v>8703017</v>
      </c>
      <c r="C1077" s="17" t="s">
        <v>1025</v>
      </c>
      <c r="D1077" s="17">
        <v>2197.5</v>
      </c>
      <c r="E1077" s="17">
        <v>2</v>
      </c>
      <c r="F1077" s="7" t="str">
        <f>IF(A1077=IFERROR(VLOOKUP(A1077,CATALOGO!$B$2:$B$600,1,FALSE),"Falta"),"", "Falta")</f>
        <v/>
      </c>
    </row>
    <row r="1078" spans="1:6" x14ac:dyDescent="0.25">
      <c r="A1078" s="11">
        <f t="shared" si="16"/>
        <v>8703018</v>
      </c>
      <c r="B1078" s="17">
        <v>8703018</v>
      </c>
      <c r="C1078" s="17" t="s">
        <v>1031</v>
      </c>
      <c r="D1078" s="17">
        <v>1680</v>
      </c>
      <c r="E1078" s="17">
        <v>9</v>
      </c>
      <c r="F1078" s="7" t="str">
        <f>IF(A1078=IFERROR(VLOOKUP(A1078,CATALOGO!$B$2:$B$600,1,FALSE),"Falta"),"", "Falta")</f>
        <v/>
      </c>
    </row>
    <row r="1079" spans="1:6" x14ac:dyDescent="0.25">
      <c r="A1079" s="11">
        <f t="shared" si="16"/>
        <v>8703035</v>
      </c>
      <c r="B1079" s="17">
        <v>8703035</v>
      </c>
      <c r="C1079" s="17" t="s">
        <v>1159</v>
      </c>
      <c r="D1079" s="17">
        <v>2430</v>
      </c>
      <c r="E1079" s="17">
        <v>9</v>
      </c>
      <c r="F1079" s="7" t="str">
        <f>IF(A1079=IFERROR(VLOOKUP(A1079,CATALOGO!$B$2:$B$600,1,FALSE),"Falta"),"", "Falta")</f>
        <v>Falta</v>
      </c>
    </row>
    <row r="1080" spans="1:6" x14ac:dyDescent="0.25">
      <c r="A1080" s="11">
        <f t="shared" si="16"/>
        <v>8703036</v>
      </c>
      <c r="B1080" s="17">
        <v>8703036</v>
      </c>
      <c r="C1080" s="17" t="s">
        <v>1158</v>
      </c>
      <c r="D1080" s="17">
        <v>2100</v>
      </c>
      <c r="E1080" s="17">
        <v>9</v>
      </c>
      <c r="F1080" s="7" t="str">
        <f>IF(A1080=IFERROR(VLOOKUP(A1080,CATALOGO!$B$2:$B$600,1,FALSE),"Falta"),"", "Falta")</f>
        <v/>
      </c>
    </row>
    <row r="1081" spans="1:6" x14ac:dyDescent="0.25">
      <c r="A1081" s="11">
        <f t="shared" si="16"/>
        <v>8703037</v>
      </c>
      <c r="B1081" s="17">
        <v>8703037</v>
      </c>
      <c r="C1081" s="17" t="s">
        <v>1169</v>
      </c>
      <c r="D1081" s="17">
        <v>2100</v>
      </c>
      <c r="E1081" s="17">
        <v>16</v>
      </c>
      <c r="F1081" s="7" t="str">
        <f>IF(A1081=IFERROR(VLOOKUP(A1081,CATALOGO!$B$2:$B$600,1,FALSE),"Falta"),"", "Falta")</f>
        <v>Falta</v>
      </c>
    </row>
    <row r="1082" spans="1:6" x14ac:dyDescent="0.25">
      <c r="A1082" s="11">
        <f t="shared" si="16"/>
        <v>8703038</v>
      </c>
      <c r="B1082" s="17">
        <v>8703038</v>
      </c>
      <c r="C1082" s="17" t="s">
        <v>1168</v>
      </c>
      <c r="D1082" s="17">
        <v>2850</v>
      </c>
      <c r="E1082" s="17">
        <v>21</v>
      </c>
      <c r="F1082" s="7" t="str">
        <f>IF(A1082=IFERROR(VLOOKUP(A1082,CATALOGO!$B$2:$B$600,1,FALSE),"Falta"),"", "Falta")</f>
        <v/>
      </c>
    </row>
    <row r="1083" spans="1:6" x14ac:dyDescent="0.25">
      <c r="A1083" s="11">
        <f t="shared" si="16"/>
        <v>8703040</v>
      </c>
      <c r="B1083" s="17">
        <v>8703040</v>
      </c>
      <c r="C1083" s="17" t="s">
        <v>1172</v>
      </c>
      <c r="D1083" s="17">
        <v>3420</v>
      </c>
      <c r="E1083" s="17">
        <v>12</v>
      </c>
      <c r="F1083" s="7" t="str">
        <f>IF(A1083=IFERROR(VLOOKUP(A1083,CATALOGO!$B$2:$B$600,1,FALSE),"Falta"),"", "Falta")</f>
        <v>Falta</v>
      </c>
    </row>
    <row r="1084" spans="1:6" x14ac:dyDescent="0.25">
      <c r="A1084" s="11">
        <f t="shared" si="16"/>
        <v>8703041</v>
      </c>
      <c r="B1084" s="17">
        <v>8703041</v>
      </c>
      <c r="C1084" s="17" t="s">
        <v>1171</v>
      </c>
      <c r="D1084" s="17">
        <v>2520</v>
      </c>
      <c r="E1084" s="17">
        <v>10</v>
      </c>
      <c r="F1084" s="7" t="str">
        <f>IF(A1084=IFERROR(VLOOKUP(A1084,CATALOGO!$B$2:$B$600,1,FALSE),"Falta"),"", "Falta")</f>
        <v/>
      </c>
    </row>
    <row r="1085" spans="1:6" x14ac:dyDescent="0.25">
      <c r="A1085" s="11">
        <f t="shared" si="16"/>
        <v>8703042</v>
      </c>
      <c r="B1085" s="17">
        <v>8703042</v>
      </c>
      <c r="C1085" s="17" t="s">
        <v>1175</v>
      </c>
      <c r="D1085" s="17">
        <v>2430</v>
      </c>
      <c r="E1085" s="17">
        <v>30</v>
      </c>
      <c r="F1085" s="7" t="str">
        <f>IF(A1085=IFERROR(VLOOKUP(A1085,CATALOGO!$B$2:$B$600,1,FALSE),"Falta"),"", "Falta")</f>
        <v/>
      </c>
    </row>
    <row r="1086" spans="1:6" x14ac:dyDescent="0.25">
      <c r="A1086" s="11">
        <f t="shared" si="16"/>
        <v>8703046</v>
      </c>
      <c r="B1086" s="17">
        <v>8703046</v>
      </c>
      <c r="C1086" s="17" t="s">
        <v>1252</v>
      </c>
      <c r="D1086" s="17">
        <v>810</v>
      </c>
      <c r="E1086" s="17">
        <v>2</v>
      </c>
      <c r="F1086" s="7" t="str">
        <f>IF(A1086=IFERROR(VLOOKUP(A1086,CATALOGO!$B$2:$B$600,1,FALSE),"Falta"),"", "Falta")</f>
        <v>Falta</v>
      </c>
    </row>
    <row r="1087" spans="1:6" x14ac:dyDescent="0.25">
      <c r="A1087" s="11">
        <f t="shared" si="16"/>
        <v>8703047</v>
      </c>
      <c r="B1087" s="17">
        <v>8703047</v>
      </c>
      <c r="C1087" s="17" t="s">
        <v>1370</v>
      </c>
      <c r="D1087" s="17">
        <v>2457.21</v>
      </c>
      <c r="E1087" s="17">
        <v>31</v>
      </c>
      <c r="F1087" s="7" t="str">
        <f>IF(A1087=IFERROR(VLOOKUP(A1087,CATALOGO!$B$2:$B$600,1,FALSE),"Falta"),"", "Falta")</f>
        <v/>
      </c>
    </row>
    <row r="1088" spans="1:6" x14ac:dyDescent="0.25">
      <c r="A1088" s="11">
        <f t="shared" si="16"/>
        <v>8703051</v>
      </c>
      <c r="B1088" s="17">
        <v>8703051</v>
      </c>
      <c r="C1088" s="17" t="s">
        <v>1174</v>
      </c>
      <c r="D1088" s="17">
        <v>3150</v>
      </c>
      <c r="E1088" s="17">
        <v>10</v>
      </c>
      <c r="F1088" s="7" t="str">
        <f>IF(A1088=IFERROR(VLOOKUP(A1088,CATALOGO!$B$2:$B$600,1,FALSE),"Falta"),"", "Falta")</f>
        <v/>
      </c>
    </row>
    <row r="1089" spans="1:6" x14ac:dyDescent="0.25">
      <c r="A1089" s="11">
        <f t="shared" si="16"/>
        <v>8703099</v>
      </c>
      <c r="B1089" s="17">
        <v>8703099</v>
      </c>
      <c r="C1089" s="17" t="s">
        <v>964</v>
      </c>
      <c r="D1089" s="17">
        <v>4300</v>
      </c>
      <c r="E1089" s="17">
        <v>1</v>
      </c>
      <c r="F1089" s="7" t="str">
        <f>IF(A1089=IFERROR(VLOOKUP(A1089,CATALOGO!$B$2:$B$600,1,FALSE),"Falta"),"", "Falta")</f>
        <v/>
      </c>
    </row>
    <row r="1090" spans="1:6" x14ac:dyDescent="0.25">
      <c r="A1090" s="11">
        <f t="shared" si="16"/>
        <v>8703102</v>
      </c>
      <c r="B1090" s="17">
        <v>8703102</v>
      </c>
      <c r="C1090" s="17" t="s">
        <v>1797</v>
      </c>
      <c r="D1090" s="17">
        <v>1700</v>
      </c>
      <c r="E1090" s="17">
        <v>16</v>
      </c>
      <c r="F1090" s="7" t="str">
        <f>IF(A1090=IFERROR(VLOOKUP(A1090,CATALOGO!$B$2:$B$600,1,FALSE),"Falta"),"", "Falta")</f>
        <v/>
      </c>
    </row>
    <row r="1091" spans="1:6" x14ac:dyDescent="0.25">
      <c r="A1091" s="11">
        <f t="shared" si="16"/>
        <v>8703109</v>
      </c>
      <c r="B1091" s="17">
        <v>8703109</v>
      </c>
      <c r="C1091" s="17" t="s">
        <v>605</v>
      </c>
      <c r="D1091" s="17">
        <v>2860.64</v>
      </c>
      <c r="E1091" s="17">
        <v>1</v>
      </c>
      <c r="F1091" s="7" t="str">
        <f>IF(A1091=IFERROR(VLOOKUP(A1091,CATALOGO!$B$2:$B$600,1,FALSE),"Falta"),"", "Falta")</f>
        <v>Falta</v>
      </c>
    </row>
    <row r="1092" spans="1:6" x14ac:dyDescent="0.25">
      <c r="A1092" s="11">
        <f t="shared" si="16"/>
        <v>8703110</v>
      </c>
      <c r="B1092" s="17">
        <v>8703110</v>
      </c>
      <c r="C1092" s="17" t="s">
        <v>1021</v>
      </c>
      <c r="D1092" s="17">
        <v>1716.98</v>
      </c>
      <c r="E1092" s="17">
        <v>10</v>
      </c>
      <c r="F1092" s="7" t="str">
        <f>IF(A1092=IFERROR(VLOOKUP(A1092,CATALOGO!$B$2:$B$600,1,FALSE),"Falta"),"", "Falta")</f>
        <v/>
      </c>
    </row>
    <row r="1093" spans="1:6" x14ac:dyDescent="0.25">
      <c r="A1093" s="11">
        <f t="shared" si="16"/>
        <v>8703111</v>
      </c>
      <c r="B1093" s="17">
        <v>8703111</v>
      </c>
      <c r="C1093" s="17" t="s">
        <v>1799</v>
      </c>
      <c r="D1093" s="17">
        <v>4354.79</v>
      </c>
      <c r="E1093" s="17">
        <v>1</v>
      </c>
      <c r="F1093" s="7" t="str">
        <f>IF(A1093=IFERROR(VLOOKUP(A1093,CATALOGO!$B$2:$B$600,1,FALSE),"Falta"),"", "Falta")</f>
        <v>Falta</v>
      </c>
    </row>
    <row r="1094" spans="1:6" x14ac:dyDescent="0.25">
      <c r="A1094" s="11">
        <f t="shared" ref="A1094:A1157" si="17">IFERROR(B1094*1,"")</f>
        <v>8703116</v>
      </c>
      <c r="B1094" s="17">
        <v>8703116</v>
      </c>
      <c r="C1094" s="17" t="s">
        <v>606</v>
      </c>
      <c r="D1094" s="17">
        <v>2860.64</v>
      </c>
      <c r="E1094" s="17">
        <v>1</v>
      </c>
      <c r="F1094" s="7" t="str">
        <f>IF(A1094=IFERROR(VLOOKUP(A1094,CATALOGO!$B$2:$B$600,1,FALSE),"Falta"),"", "Falta")</f>
        <v>Falta</v>
      </c>
    </row>
    <row r="1095" spans="1:6" x14ac:dyDescent="0.25">
      <c r="A1095" s="11">
        <f t="shared" si="17"/>
        <v>8703117</v>
      </c>
      <c r="B1095" s="17">
        <v>8703117</v>
      </c>
      <c r="C1095" s="17" t="s">
        <v>607</v>
      </c>
      <c r="D1095" s="17">
        <v>2860.64</v>
      </c>
      <c r="E1095" s="17">
        <v>2</v>
      </c>
      <c r="F1095" s="7" t="str">
        <f>IF(A1095=IFERROR(VLOOKUP(A1095,CATALOGO!$B$2:$B$600,1,FALSE),"Falta"),"", "Falta")</f>
        <v>Falta</v>
      </c>
    </row>
    <row r="1096" spans="1:6" x14ac:dyDescent="0.25">
      <c r="A1096" s="11">
        <f t="shared" si="17"/>
        <v>8703118</v>
      </c>
      <c r="B1096" s="17">
        <v>8703118</v>
      </c>
      <c r="C1096" s="17" t="s">
        <v>608</v>
      </c>
      <c r="D1096" s="17">
        <v>2860.64</v>
      </c>
      <c r="E1096" s="17">
        <v>3</v>
      </c>
      <c r="F1096" s="7" t="str">
        <f>IF(A1096=IFERROR(VLOOKUP(A1096,CATALOGO!$B$2:$B$600,1,FALSE),"Falta"),"", "Falta")</f>
        <v>Falta</v>
      </c>
    </row>
    <row r="1097" spans="1:6" x14ac:dyDescent="0.25">
      <c r="A1097" s="11">
        <f t="shared" si="17"/>
        <v>8703119</v>
      </c>
      <c r="B1097" s="17">
        <v>8703119</v>
      </c>
      <c r="C1097" s="17" t="s">
        <v>610</v>
      </c>
      <c r="D1097" s="17">
        <v>4088.06</v>
      </c>
      <c r="E1097" s="17">
        <v>1</v>
      </c>
      <c r="F1097" s="7" t="str">
        <f>IF(A1097=IFERROR(VLOOKUP(A1097,CATALOGO!$B$2:$B$600,1,FALSE),"Falta"),"", "Falta")</f>
        <v>Falta</v>
      </c>
    </row>
    <row r="1098" spans="1:6" x14ac:dyDescent="0.25">
      <c r="A1098" s="11">
        <f t="shared" si="17"/>
        <v>8703128</v>
      </c>
      <c r="B1098" s="17">
        <v>8703128</v>
      </c>
      <c r="C1098" s="17" t="s">
        <v>615</v>
      </c>
      <c r="D1098" s="17">
        <v>6121.07</v>
      </c>
      <c r="E1098" s="17">
        <v>6</v>
      </c>
      <c r="F1098" s="7" t="str">
        <f>IF(A1098=IFERROR(VLOOKUP(A1098,CATALOGO!$B$2:$B$600,1,FALSE),"Falta"),"", "Falta")</f>
        <v>Falta</v>
      </c>
    </row>
    <row r="1099" spans="1:6" x14ac:dyDescent="0.25">
      <c r="A1099" s="11">
        <f t="shared" si="17"/>
        <v>8703140</v>
      </c>
      <c r="B1099" s="17">
        <v>8703140</v>
      </c>
      <c r="C1099" s="17" t="s">
        <v>1060</v>
      </c>
      <c r="D1099" s="17">
        <v>2900.59</v>
      </c>
      <c r="E1099" s="17">
        <v>1</v>
      </c>
      <c r="F1099" s="7" t="str">
        <f>IF(A1099=IFERROR(VLOOKUP(A1099,CATALOGO!$B$2:$B$600,1,FALSE),"Falta"),"", "Falta")</f>
        <v>Falta</v>
      </c>
    </row>
    <row r="1100" spans="1:6" x14ac:dyDescent="0.25">
      <c r="A1100" s="11">
        <f t="shared" si="17"/>
        <v>8703150</v>
      </c>
      <c r="B1100" s="17">
        <v>8703150</v>
      </c>
      <c r="C1100" s="17" t="s">
        <v>1372</v>
      </c>
      <c r="D1100" s="17">
        <v>2700</v>
      </c>
      <c r="E1100" s="17">
        <v>17</v>
      </c>
      <c r="F1100" s="7" t="str">
        <f>IF(A1100=IFERROR(VLOOKUP(A1100,CATALOGO!$B$2:$B$600,1,FALSE),"Falta"),"", "Falta")</f>
        <v/>
      </c>
    </row>
    <row r="1101" spans="1:6" x14ac:dyDescent="0.25">
      <c r="A1101" s="11">
        <f t="shared" si="17"/>
        <v>8703151</v>
      </c>
      <c r="B1101" s="17">
        <v>8703151</v>
      </c>
      <c r="C1101" s="17" t="s">
        <v>1371</v>
      </c>
      <c r="D1101" s="17">
        <v>2700</v>
      </c>
      <c r="E1101" s="17">
        <v>8</v>
      </c>
      <c r="F1101" s="7" t="str">
        <f>IF(A1101=IFERROR(VLOOKUP(A1101,CATALOGO!$B$2:$B$600,1,FALSE),"Falta"),"", "Falta")</f>
        <v/>
      </c>
    </row>
    <row r="1102" spans="1:6" x14ac:dyDescent="0.25">
      <c r="A1102" s="11">
        <f t="shared" si="17"/>
        <v>8703152</v>
      </c>
      <c r="B1102" s="17">
        <v>8703152</v>
      </c>
      <c r="C1102" s="17" t="s">
        <v>1373</v>
      </c>
      <c r="D1102" s="17">
        <v>2700</v>
      </c>
      <c r="E1102" s="17">
        <v>6</v>
      </c>
      <c r="F1102" s="7" t="str">
        <f>IF(A1102=IFERROR(VLOOKUP(A1102,CATALOGO!$B$2:$B$600,1,FALSE),"Falta"),"", "Falta")</f>
        <v/>
      </c>
    </row>
    <row r="1103" spans="1:6" x14ac:dyDescent="0.25">
      <c r="A1103" s="11">
        <f t="shared" si="17"/>
        <v>8703153</v>
      </c>
      <c r="B1103" s="17">
        <v>8703153</v>
      </c>
      <c r="C1103" s="17" t="s">
        <v>1802</v>
      </c>
      <c r="D1103" s="17">
        <v>2700</v>
      </c>
      <c r="E1103" s="17">
        <v>1</v>
      </c>
      <c r="F1103" s="7" t="str">
        <f>IF(A1103=IFERROR(VLOOKUP(A1103,CATALOGO!$B$2:$B$600,1,FALSE),"Falta"),"", "Falta")</f>
        <v/>
      </c>
    </row>
    <row r="1104" spans="1:6" x14ac:dyDescent="0.25">
      <c r="A1104" s="11">
        <f t="shared" si="17"/>
        <v>8703157</v>
      </c>
      <c r="B1104" s="17">
        <v>8703157</v>
      </c>
      <c r="C1104" s="17" t="s">
        <v>611</v>
      </c>
      <c r="D1104" s="17">
        <v>4544.3500000000004</v>
      </c>
      <c r="E1104" s="17">
        <v>4</v>
      </c>
      <c r="F1104" s="7" t="str">
        <f>IF(A1104=IFERROR(VLOOKUP(A1104,CATALOGO!$B$2:$B$600,1,FALSE),"Falta"),"", "Falta")</f>
        <v/>
      </c>
    </row>
    <row r="1105" spans="1:6" x14ac:dyDescent="0.25">
      <c r="A1105" s="11">
        <f t="shared" si="17"/>
        <v>8703162</v>
      </c>
      <c r="B1105" s="17">
        <v>8703162</v>
      </c>
      <c r="C1105" s="17" t="s">
        <v>1026</v>
      </c>
      <c r="D1105" s="17">
        <v>700</v>
      </c>
      <c r="E1105" s="17">
        <v>5</v>
      </c>
      <c r="F1105" s="7" t="str">
        <f>IF(A1105=IFERROR(VLOOKUP(A1105,CATALOGO!$B$2:$B$600,1,FALSE),"Falta"),"", "Falta")</f>
        <v/>
      </c>
    </row>
    <row r="1106" spans="1:6" x14ac:dyDescent="0.25">
      <c r="A1106" s="11">
        <f t="shared" si="17"/>
        <v>8703197</v>
      </c>
      <c r="B1106" s="17">
        <v>8703197</v>
      </c>
      <c r="C1106" s="17" t="s">
        <v>1015</v>
      </c>
      <c r="D1106" s="17">
        <v>1682.19</v>
      </c>
      <c r="E1106" s="17">
        <v>114</v>
      </c>
      <c r="F1106" s="7" t="str">
        <f>IF(A1106=IFERROR(VLOOKUP(A1106,CATALOGO!$B$2:$B$600,1,FALSE),"Falta"),"", "Falta")</f>
        <v/>
      </c>
    </row>
    <row r="1107" spans="1:6" x14ac:dyDescent="0.25">
      <c r="A1107" s="11">
        <f t="shared" si="17"/>
        <v>8703200</v>
      </c>
      <c r="B1107" s="17">
        <v>8703200</v>
      </c>
      <c r="C1107" s="17" t="s">
        <v>1036</v>
      </c>
      <c r="D1107" s="17">
        <v>2419.9899999999998</v>
      </c>
      <c r="E1107" s="17">
        <v>150</v>
      </c>
      <c r="F1107" s="7" t="str">
        <f>IF(A1107=IFERROR(VLOOKUP(A1107,CATALOGO!$B$2:$B$600,1,FALSE),"Falta"),"", "Falta")</f>
        <v/>
      </c>
    </row>
    <row r="1108" spans="1:6" x14ac:dyDescent="0.25">
      <c r="A1108" s="11">
        <f t="shared" si="17"/>
        <v>8703205</v>
      </c>
      <c r="B1108" s="17">
        <v>8703205</v>
      </c>
      <c r="C1108" s="17" t="s">
        <v>1189</v>
      </c>
      <c r="D1108" s="17">
        <v>12990</v>
      </c>
      <c r="E1108" s="17">
        <v>28</v>
      </c>
      <c r="F1108" s="7" t="str">
        <f>IF(A1108=IFERROR(VLOOKUP(A1108,CATALOGO!$B$2:$B$600,1,FALSE),"Falta"),"", "Falta")</f>
        <v/>
      </c>
    </row>
    <row r="1109" spans="1:6" x14ac:dyDescent="0.25">
      <c r="A1109" s="11">
        <f t="shared" si="17"/>
        <v>8703206</v>
      </c>
      <c r="B1109" s="17">
        <v>8703206</v>
      </c>
      <c r="C1109" s="17" t="s">
        <v>1190</v>
      </c>
      <c r="D1109" s="17">
        <v>12990</v>
      </c>
      <c r="E1109" s="17">
        <v>19</v>
      </c>
      <c r="F1109" s="7" t="str">
        <f>IF(A1109=IFERROR(VLOOKUP(A1109,CATALOGO!$B$2:$B$600,1,FALSE),"Falta"),"", "Falta")</f>
        <v/>
      </c>
    </row>
    <row r="1110" spans="1:6" x14ac:dyDescent="0.25">
      <c r="A1110" s="11">
        <f t="shared" si="17"/>
        <v>8703207</v>
      </c>
      <c r="B1110" s="17">
        <v>8703207</v>
      </c>
      <c r="C1110" s="17" t="s">
        <v>1191</v>
      </c>
      <c r="D1110" s="17">
        <v>12990</v>
      </c>
      <c r="E1110" s="17">
        <v>12</v>
      </c>
      <c r="F1110" s="7" t="str">
        <f>IF(A1110=IFERROR(VLOOKUP(A1110,CATALOGO!$B$2:$B$600,1,FALSE),"Falta"),"", "Falta")</f>
        <v/>
      </c>
    </row>
    <row r="1111" spans="1:6" x14ac:dyDescent="0.25">
      <c r="A1111" s="11">
        <f t="shared" si="17"/>
        <v>8703208</v>
      </c>
      <c r="B1111" s="17">
        <v>8703208</v>
      </c>
      <c r="C1111" s="17" t="s">
        <v>1188</v>
      </c>
      <c r="D1111" s="17">
        <v>12990</v>
      </c>
      <c r="E1111" s="17">
        <v>38</v>
      </c>
      <c r="F1111" s="7" t="str">
        <f>IF(A1111=IFERROR(VLOOKUP(A1111,CATALOGO!$B$2:$B$600,1,FALSE),"Falta"),"", "Falta")</f>
        <v/>
      </c>
    </row>
    <row r="1112" spans="1:6" x14ac:dyDescent="0.25">
      <c r="A1112" s="11">
        <f t="shared" si="17"/>
        <v>8703240</v>
      </c>
      <c r="B1112" s="17">
        <v>8703240</v>
      </c>
      <c r="C1112" s="17" t="s">
        <v>1207</v>
      </c>
      <c r="D1112" s="17">
        <v>3289</v>
      </c>
      <c r="E1112" s="17">
        <v>12</v>
      </c>
      <c r="F1112" s="7" t="str">
        <f>IF(A1112=IFERROR(VLOOKUP(A1112,CATALOGO!$B$2:$B$600,1,FALSE),"Falta"),"", "Falta")</f>
        <v/>
      </c>
    </row>
    <row r="1113" spans="1:6" x14ac:dyDescent="0.25">
      <c r="A1113" s="11">
        <f t="shared" si="17"/>
        <v>8703241</v>
      </c>
      <c r="B1113" s="17">
        <v>8703241</v>
      </c>
      <c r="C1113" s="17" t="s">
        <v>1210</v>
      </c>
      <c r="D1113" s="17">
        <v>3289</v>
      </c>
      <c r="E1113" s="17">
        <v>16</v>
      </c>
      <c r="F1113" s="7" t="str">
        <f>IF(A1113=IFERROR(VLOOKUP(A1113,CATALOGO!$B$2:$B$600,1,FALSE),"Falta"),"", "Falta")</f>
        <v/>
      </c>
    </row>
    <row r="1114" spans="1:6" x14ac:dyDescent="0.25">
      <c r="A1114" s="11">
        <f t="shared" si="17"/>
        <v>8703242</v>
      </c>
      <c r="B1114" s="17">
        <v>8703242</v>
      </c>
      <c r="C1114" s="17" t="s">
        <v>1211</v>
      </c>
      <c r="D1114" s="17">
        <v>3289</v>
      </c>
      <c r="E1114" s="17">
        <v>8</v>
      </c>
      <c r="F1114" s="7" t="str">
        <f>IF(A1114=IFERROR(VLOOKUP(A1114,CATALOGO!$B$2:$B$600,1,FALSE),"Falta"),"", "Falta")</f>
        <v>Falta</v>
      </c>
    </row>
    <row r="1115" spans="1:6" x14ac:dyDescent="0.25">
      <c r="A1115" s="11">
        <f t="shared" si="17"/>
        <v>8703244</v>
      </c>
      <c r="B1115" s="17">
        <v>8703244</v>
      </c>
      <c r="C1115" s="17" t="s">
        <v>1163</v>
      </c>
      <c r="D1115" s="17">
        <v>3289</v>
      </c>
      <c r="E1115" s="17">
        <v>1</v>
      </c>
      <c r="F1115" s="7" t="str">
        <f>IF(A1115=IFERROR(VLOOKUP(A1115,CATALOGO!$B$2:$B$600,1,FALSE),"Falta"),"", "Falta")</f>
        <v>Falta</v>
      </c>
    </row>
    <row r="1116" spans="1:6" x14ac:dyDescent="0.25">
      <c r="A1116" s="11">
        <f t="shared" si="17"/>
        <v>8703245</v>
      </c>
      <c r="B1116" s="17">
        <v>8703245</v>
      </c>
      <c r="C1116" s="17" t="s">
        <v>1209</v>
      </c>
      <c r="D1116" s="17">
        <v>3289</v>
      </c>
      <c r="E1116" s="17">
        <v>6</v>
      </c>
      <c r="F1116" s="7" t="str">
        <f>IF(A1116=IFERROR(VLOOKUP(A1116,CATALOGO!$B$2:$B$600,1,FALSE),"Falta"),"", "Falta")</f>
        <v>Falta</v>
      </c>
    </row>
    <row r="1117" spans="1:6" x14ac:dyDescent="0.25">
      <c r="A1117" s="11">
        <f t="shared" si="17"/>
        <v>8703250</v>
      </c>
      <c r="B1117" s="17">
        <v>8703250</v>
      </c>
      <c r="C1117" s="17" t="s">
        <v>1034</v>
      </c>
      <c r="D1117" s="17">
        <v>3061.29</v>
      </c>
      <c r="E1117" s="17">
        <v>90</v>
      </c>
      <c r="F1117" s="7" t="str">
        <f>IF(A1117=IFERROR(VLOOKUP(A1117,CATALOGO!$B$2:$B$600,1,FALSE),"Falta"),"", "Falta")</f>
        <v/>
      </c>
    </row>
    <row r="1118" spans="1:6" x14ac:dyDescent="0.25">
      <c r="A1118" s="11">
        <f t="shared" si="17"/>
        <v>8703300</v>
      </c>
      <c r="B1118" s="17">
        <v>8703300</v>
      </c>
      <c r="C1118" s="17" t="s">
        <v>1237</v>
      </c>
      <c r="D1118" s="17">
        <v>1391.5</v>
      </c>
      <c r="E1118" s="17">
        <v>59</v>
      </c>
      <c r="F1118" s="7" t="str">
        <f>IF(A1118=IFERROR(VLOOKUP(A1118,CATALOGO!$B$2:$B$600,1,FALSE),"Falta"),"", "Falta")</f>
        <v/>
      </c>
    </row>
    <row r="1119" spans="1:6" x14ac:dyDescent="0.25">
      <c r="A1119" s="11">
        <f t="shared" si="17"/>
        <v>8703350</v>
      </c>
      <c r="B1119" s="17">
        <v>8703350</v>
      </c>
      <c r="C1119" s="17" t="s">
        <v>1198</v>
      </c>
      <c r="D1119" s="17">
        <v>2057</v>
      </c>
      <c r="E1119" s="17">
        <v>20</v>
      </c>
      <c r="F1119" s="7" t="str">
        <f>IF(A1119=IFERROR(VLOOKUP(A1119,CATALOGO!$B$2:$B$600,1,FALSE),"Falta"),"", "Falta")</f>
        <v>Falta</v>
      </c>
    </row>
    <row r="1120" spans="1:6" x14ac:dyDescent="0.25">
      <c r="A1120" s="11">
        <f t="shared" si="17"/>
        <v>8703351</v>
      </c>
      <c r="B1120" s="17">
        <v>8703351</v>
      </c>
      <c r="C1120" s="17" t="s">
        <v>1205</v>
      </c>
      <c r="D1120" s="17">
        <v>2300</v>
      </c>
      <c r="E1120" s="17">
        <v>7</v>
      </c>
      <c r="F1120" s="7" t="str">
        <f>IF(A1120=IFERROR(VLOOKUP(A1120,CATALOGO!$B$2:$B$600,1,FALSE),"Falta"),"", "Falta")</f>
        <v>Falta</v>
      </c>
    </row>
    <row r="1121" spans="1:6" x14ac:dyDescent="0.25">
      <c r="A1121" s="11">
        <f t="shared" si="17"/>
        <v>8703352</v>
      </c>
      <c r="B1121" s="17">
        <v>8703352</v>
      </c>
      <c r="C1121" s="17" t="s">
        <v>1201</v>
      </c>
      <c r="D1121" s="17">
        <v>1573</v>
      </c>
      <c r="E1121" s="17">
        <v>12</v>
      </c>
      <c r="F1121" s="7" t="str">
        <f>IF(A1121=IFERROR(VLOOKUP(A1121,CATALOGO!$B$2:$B$600,1,FALSE),"Falta"),"", "Falta")</f>
        <v>Falta</v>
      </c>
    </row>
    <row r="1122" spans="1:6" x14ac:dyDescent="0.25">
      <c r="A1122" s="11">
        <f t="shared" si="17"/>
        <v>8703400</v>
      </c>
      <c r="B1122" s="17">
        <v>8703400</v>
      </c>
      <c r="C1122" s="17" t="s">
        <v>1176</v>
      </c>
      <c r="D1122" s="17">
        <v>3080</v>
      </c>
      <c r="E1122" s="17">
        <v>5</v>
      </c>
      <c r="F1122" s="7" t="str">
        <f>IF(A1122=IFERROR(VLOOKUP(A1122,CATALOGO!$B$2:$B$600,1,FALSE),"Falta"),"", "Falta")</f>
        <v>Falta</v>
      </c>
    </row>
    <row r="1123" spans="1:6" x14ac:dyDescent="0.25">
      <c r="A1123" s="11">
        <f t="shared" si="17"/>
        <v>8703405</v>
      </c>
      <c r="B1123" s="17">
        <v>8703405</v>
      </c>
      <c r="C1123" s="17" t="s">
        <v>1177</v>
      </c>
      <c r="D1123" s="17">
        <v>5060</v>
      </c>
      <c r="E1123" s="17">
        <v>5</v>
      </c>
      <c r="F1123" s="7" t="str">
        <f>IF(A1123=IFERROR(VLOOKUP(A1123,CATALOGO!$B$2:$B$600,1,FALSE),"Falta"),"", "Falta")</f>
        <v>Falta</v>
      </c>
    </row>
    <row r="1124" spans="1:6" x14ac:dyDescent="0.25">
      <c r="A1124" s="11">
        <f t="shared" si="17"/>
        <v>8703500</v>
      </c>
      <c r="B1124" s="17">
        <v>8703500</v>
      </c>
      <c r="C1124" s="17" t="s">
        <v>1229</v>
      </c>
      <c r="D1124" s="17">
        <v>838.52</v>
      </c>
      <c r="E1124" s="17">
        <v>48</v>
      </c>
      <c r="F1124" s="7" t="str">
        <f>IF(A1124=IFERROR(VLOOKUP(A1124,CATALOGO!$B$2:$B$600,1,FALSE),"Falta"),"", "Falta")</f>
        <v/>
      </c>
    </row>
    <row r="1125" spans="1:6" x14ac:dyDescent="0.25">
      <c r="A1125" s="11">
        <f t="shared" si="17"/>
        <v>8703502</v>
      </c>
      <c r="B1125" s="17">
        <v>8703502</v>
      </c>
      <c r="C1125" s="17" t="s">
        <v>1248</v>
      </c>
      <c r="D1125" s="17">
        <v>765.31</v>
      </c>
      <c r="E1125" s="17">
        <v>2</v>
      </c>
      <c r="F1125" s="7" t="str">
        <f>IF(A1125=IFERROR(VLOOKUP(A1125,CATALOGO!$B$2:$B$600,1,FALSE),"Falta"),"", "Falta")</f>
        <v/>
      </c>
    </row>
    <row r="1126" spans="1:6" x14ac:dyDescent="0.25">
      <c r="A1126" s="11">
        <f t="shared" si="17"/>
        <v>8703503</v>
      </c>
      <c r="B1126" s="17">
        <v>8703503</v>
      </c>
      <c r="C1126" s="17" t="s">
        <v>1245</v>
      </c>
      <c r="D1126" s="17">
        <v>1020</v>
      </c>
      <c r="E1126" s="17">
        <v>9</v>
      </c>
      <c r="F1126" s="7" t="str">
        <f>IF(A1126=IFERROR(VLOOKUP(A1126,CATALOGO!$B$2:$B$600,1,FALSE),"Falta"),"", "Falta")</f>
        <v>Falta</v>
      </c>
    </row>
    <row r="1127" spans="1:6" x14ac:dyDescent="0.25">
      <c r="A1127" s="11">
        <f t="shared" si="17"/>
        <v>8703504</v>
      </c>
      <c r="B1127" s="17">
        <v>8703504</v>
      </c>
      <c r="C1127" s="17" t="s">
        <v>1244</v>
      </c>
      <c r="D1127" s="17">
        <v>1800</v>
      </c>
      <c r="E1127" s="17">
        <v>46</v>
      </c>
      <c r="F1127" s="7" t="str">
        <f>IF(A1127=IFERROR(VLOOKUP(A1127,CATALOGO!$B$2:$B$600,1,FALSE),"Falta"),"", "Falta")</f>
        <v/>
      </c>
    </row>
    <row r="1128" spans="1:6" x14ac:dyDescent="0.25">
      <c r="A1128" s="11">
        <f t="shared" si="17"/>
        <v>8703505</v>
      </c>
      <c r="B1128" s="17">
        <v>8703505</v>
      </c>
      <c r="C1128" s="17" t="s">
        <v>1250</v>
      </c>
      <c r="D1128" s="17">
        <v>1573</v>
      </c>
      <c r="E1128" s="17">
        <v>5</v>
      </c>
      <c r="F1128" s="7" t="str">
        <f>IF(A1128=IFERROR(VLOOKUP(A1128,CATALOGO!$B$2:$B$600,1,FALSE),"Falta"),"", "Falta")</f>
        <v>Falta</v>
      </c>
    </row>
    <row r="1129" spans="1:6" x14ac:dyDescent="0.25">
      <c r="A1129" s="11">
        <f t="shared" si="17"/>
        <v>8703506</v>
      </c>
      <c r="B1129" s="17">
        <v>8703506</v>
      </c>
      <c r="C1129" s="17" t="s">
        <v>1246</v>
      </c>
      <c r="D1129" s="17">
        <v>1573</v>
      </c>
      <c r="E1129" s="17">
        <v>20</v>
      </c>
      <c r="F1129" s="7" t="str">
        <f>IF(A1129=IFERROR(VLOOKUP(A1129,CATALOGO!$B$2:$B$600,1,FALSE),"Falta"),"", "Falta")</f>
        <v/>
      </c>
    </row>
    <row r="1130" spans="1:6" x14ac:dyDescent="0.25">
      <c r="A1130" s="11">
        <f t="shared" si="17"/>
        <v>8703507</v>
      </c>
      <c r="B1130" s="17">
        <v>8703507</v>
      </c>
      <c r="C1130" s="17" t="s">
        <v>1251</v>
      </c>
      <c r="D1130" s="17">
        <v>990</v>
      </c>
      <c r="E1130" s="17">
        <v>1</v>
      </c>
      <c r="F1130" s="7" t="str">
        <f>IF(A1130=IFERROR(VLOOKUP(A1130,CATALOGO!$B$2:$B$600,1,FALSE),"Falta"),"", "Falta")</f>
        <v>Falta</v>
      </c>
    </row>
    <row r="1131" spans="1:6" x14ac:dyDescent="0.25">
      <c r="A1131" s="11">
        <f t="shared" si="17"/>
        <v>8703509</v>
      </c>
      <c r="B1131" s="17">
        <v>8703509</v>
      </c>
      <c r="C1131" s="17" t="s">
        <v>1240</v>
      </c>
      <c r="D1131" s="17">
        <v>670.8</v>
      </c>
      <c r="E1131" s="17">
        <v>1</v>
      </c>
      <c r="F1131" s="7" t="str">
        <f>IF(A1131=IFERROR(VLOOKUP(A1131,CATALOGO!$B$2:$B$600,1,FALSE),"Falta"),"", "Falta")</f>
        <v/>
      </c>
    </row>
    <row r="1132" spans="1:6" x14ac:dyDescent="0.25">
      <c r="A1132" s="11">
        <f t="shared" si="17"/>
        <v>8703513</v>
      </c>
      <c r="B1132" s="17">
        <v>8703513</v>
      </c>
      <c r="C1132" s="17" t="s">
        <v>1247</v>
      </c>
      <c r="D1132" s="17">
        <v>1089</v>
      </c>
      <c r="E1132" s="17">
        <v>22</v>
      </c>
      <c r="F1132" s="7" t="str">
        <f>IF(A1132=IFERROR(VLOOKUP(A1132,CATALOGO!$B$2:$B$600,1,FALSE),"Falta"),"", "Falta")</f>
        <v>Falta</v>
      </c>
    </row>
    <row r="1133" spans="1:6" x14ac:dyDescent="0.25">
      <c r="A1133" s="11">
        <f t="shared" si="17"/>
        <v>8703555</v>
      </c>
      <c r="B1133" s="17">
        <v>8703555</v>
      </c>
      <c r="C1133" s="17" t="s">
        <v>1234</v>
      </c>
      <c r="D1133" s="17">
        <v>968</v>
      </c>
      <c r="E1133" s="17">
        <v>13</v>
      </c>
      <c r="F1133" s="7" t="str">
        <f>IF(A1133=IFERROR(VLOOKUP(A1133,CATALOGO!$B$2:$B$600,1,FALSE),"Falta"),"", "Falta")</f>
        <v>Falta</v>
      </c>
    </row>
    <row r="1134" spans="1:6" x14ac:dyDescent="0.25">
      <c r="A1134" s="11">
        <f t="shared" si="17"/>
        <v>8703570</v>
      </c>
      <c r="B1134" s="17">
        <v>8703570</v>
      </c>
      <c r="C1134" s="17" t="s">
        <v>1162</v>
      </c>
      <c r="D1134" s="17">
        <v>600</v>
      </c>
      <c r="E1134" s="17">
        <v>246</v>
      </c>
      <c r="F1134" s="7" t="str">
        <f>IF(A1134=IFERROR(VLOOKUP(A1134,CATALOGO!$B$2:$B$600,1,FALSE),"Falta"),"", "Falta")</f>
        <v/>
      </c>
    </row>
    <row r="1135" spans="1:6" x14ac:dyDescent="0.25">
      <c r="A1135" s="11">
        <f t="shared" si="17"/>
        <v>8703573</v>
      </c>
      <c r="B1135" s="17">
        <v>8703573</v>
      </c>
      <c r="C1135" s="17" t="s">
        <v>1186</v>
      </c>
      <c r="D1135" s="17">
        <v>3400</v>
      </c>
      <c r="E1135" s="17">
        <v>145</v>
      </c>
      <c r="F1135" s="7" t="str">
        <f>IF(A1135=IFERROR(VLOOKUP(A1135,CATALOGO!$B$2:$B$600,1,FALSE),"Falta"),"", "Falta")</f>
        <v>Falta</v>
      </c>
    </row>
    <row r="1136" spans="1:6" x14ac:dyDescent="0.25">
      <c r="A1136" s="11">
        <f t="shared" si="17"/>
        <v>8703599</v>
      </c>
      <c r="B1136" s="17">
        <v>8703599</v>
      </c>
      <c r="C1136" s="17" t="s">
        <v>1242</v>
      </c>
      <c r="D1136" s="17">
        <v>1530.64</v>
      </c>
      <c r="E1136" s="17">
        <v>1</v>
      </c>
      <c r="F1136" s="7" t="str">
        <f>IF(A1136=IFERROR(VLOOKUP(A1136,CATALOGO!$B$2:$B$600,1,FALSE),"Falta"),"", "Falta")</f>
        <v>Falta</v>
      </c>
    </row>
    <row r="1137" spans="1:6" x14ac:dyDescent="0.25">
      <c r="A1137" s="11">
        <f t="shared" si="17"/>
        <v>8703600</v>
      </c>
      <c r="B1137" s="17">
        <v>8703600</v>
      </c>
      <c r="C1137" s="17" t="s">
        <v>1165</v>
      </c>
      <c r="D1137" s="17">
        <v>968</v>
      </c>
      <c r="E1137" s="17">
        <v>5</v>
      </c>
      <c r="F1137" s="7" t="str">
        <f>IF(A1137=IFERROR(VLOOKUP(A1137,CATALOGO!$B$2:$B$600,1,FALSE),"Falta"),"", "Falta")</f>
        <v>Falta</v>
      </c>
    </row>
    <row r="1138" spans="1:6" x14ac:dyDescent="0.25">
      <c r="A1138" s="11">
        <f t="shared" si="17"/>
        <v>8703601</v>
      </c>
      <c r="B1138" s="17">
        <v>8703601</v>
      </c>
      <c r="C1138" s="17" t="s">
        <v>1223</v>
      </c>
      <c r="D1138" s="17">
        <v>850</v>
      </c>
      <c r="E1138" s="17">
        <v>15</v>
      </c>
      <c r="F1138" s="7" t="str">
        <f>IF(A1138=IFERROR(VLOOKUP(A1138,CATALOGO!$B$2:$B$600,1,FALSE),"Falta"),"", "Falta")</f>
        <v/>
      </c>
    </row>
    <row r="1139" spans="1:6" x14ac:dyDescent="0.25">
      <c r="A1139" s="11">
        <f t="shared" si="17"/>
        <v>8703604</v>
      </c>
      <c r="B1139" s="17">
        <v>8703604</v>
      </c>
      <c r="C1139" s="17" t="s">
        <v>1243</v>
      </c>
      <c r="D1139" s="17">
        <v>1900</v>
      </c>
      <c r="E1139" s="17">
        <v>7</v>
      </c>
      <c r="F1139" s="7" t="str">
        <f>IF(A1139=IFERROR(VLOOKUP(A1139,CATALOGO!$B$2:$B$600,1,FALSE),"Falta"),"", "Falta")</f>
        <v/>
      </c>
    </row>
    <row r="1140" spans="1:6" x14ac:dyDescent="0.25">
      <c r="A1140" s="11">
        <f t="shared" si="17"/>
        <v>8703607</v>
      </c>
      <c r="B1140" s="17">
        <v>8703607</v>
      </c>
      <c r="C1140" s="17" t="s">
        <v>1238</v>
      </c>
      <c r="D1140" s="17">
        <v>1089</v>
      </c>
      <c r="E1140" s="17">
        <v>3</v>
      </c>
      <c r="F1140" s="7" t="str">
        <f>IF(A1140=IFERROR(VLOOKUP(A1140,CATALOGO!$B$2:$B$600,1,FALSE),"Falta"),"", "Falta")</f>
        <v>Falta</v>
      </c>
    </row>
    <row r="1141" spans="1:6" x14ac:dyDescent="0.25">
      <c r="A1141" s="11">
        <f t="shared" si="17"/>
        <v>8703608</v>
      </c>
      <c r="B1141" s="17">
        <v>8703608</v>
      </c>
      <c r="C1141" s="17" t="s">
        <v>1011</v>
      </c>
      <c r="D1141" s="17">
        <v>1950</v>
      </c>
      <c r="E1141" s="17">
        <v>4</v>
      </c>
      <c r="F1141" s="7" t="str">
        <f>IF(A1141=IFERROR(VLOOKUP(A1141,CATALOGO!$B$2:$B$600,1,FALSE),"Falta"),"", "Falta")</f>
        <v>Falta</v>
      </c>
    </row>
    <row r="1142" spans="1:6" x14ac:dyDescent="0.25">
      <c r="A1142" s="11">
        <f t="shared" si="17"/>
        <v>8703612</v>
      </c>
      <c r="B1142" s="17">
        <v>8703612</v>
      </c>
      <c r="C1142" s="17" t="s">
        <v>1219</v>
      </c>
      <c r="D1142" s="17">
        <v>1470</v>
      </c>
      <c r="E1142" s="17">
        <v>3</v>
      </c>
      <c r="F1142" s="7" t="str">
        <f>IF(A1142=IFERROR(VLOOKUP(A1142,CATALOGO!$B$2:$B$600,1,FALSE),"Falta"),"", "Falta")</f>
        <v>Falta</v>
      </c>
    </row>
    <row r="1143" spans="1:6" x14ac:dyDescent="0.25">
      <c r="A1143" s="11">
        <f t="shared" si="17"/>
        <v>8703613</v>
      </c>
      <c r="B1143" s="17">
        <v>8703613</v>
      </c>
      <c r="C1143" s="17" t="s">
        <v>617</v>
      </c>
      <c r="D1143" s="17">
        <v>916.86</v>
      </c>
      <c r="E1143" s="17">
        <v>15</v>
      </c>
      <c r="F1143" s="7" t="str">
        <f>IF(A1143=IFERROR(VLOOKUP(A1143,CATALOGO!$B$2:$B$600,1,FALSE),"Falta"),"", "Falta")</f>
        <v>Falta</v>
      </c>
    </row>
    <row r="1144" spans="1:6" x14ac:dyDescent="0.25">
      <c r="A1144" s="11">
        <f t="shared" si="17"/>
        <v>8703615</v>
      </c>
      <c r="B1144" s="17">
        <v>8703615</v>
      </c>
      <c r="C1144" s="17" t="s">
        <v>1230</v>
      </c>
      <c r="D1144" s="17">
        <v>838.52</v>
      </c>
      <c r="E1144" s="17">
        <v>6</v>
      </c>
      <c r="F1144" s="7" t="str">
        <f>IF(A1144=IFERROR(VLOOKUP(A1144,CATALOGO!$B$2:$B$600,1,FALSE),"Falta"),"", "Falta")</f>
        <v/>
      </c>
    </row>
    <row r="1145" spans="1:6" x14ac:dyDescent="0.25">
      <c r="A1145" s="11">
        <f t="shared" si="17"/>
        <v>8703617</v>
      </c>
      <c r="B1145" s="17">
        <v>8703617</v>
      </c>
      <c r="C1145" s="17" t="s">
        <v>1030</v>
      </c>
      <c r="D1145" s="17">
        <v>2057</v>
      </c>
      <c r="E1145" s="17">
        <v>2</v>
      </c>
      <c r="F1145" s="7" t="str">
        <f>IF(A1145=IFERROR(VLOOKUP(A1145,CATALOGO!$B$2:$B$600,1,FALSE),"Falta"),"", "Falta")</f>
        <v>Falta</v>
      </c>
    </row>
    <row r="1146" spans="1:6" x14ac:dyDescent="0.25">
      <c r="A1146" s="11">
        <f t="shared" si="17"/>
        <v>8703619</v>
      </c>
      <c r="B1146" s="17">
        <v>8703619</v>
      </c>
      <c r="C1146" s="17" t="s">
        <v>1233</v>
      </c>
      <c r="D1146" s="17">
        <v>838.52</v>
      </c>
      <c r="E1146" s="17">
        <v>18</v>
      </c>
      <c r="F1146" s="7" t="str">
        <f>IF(A1146=IFERROR(VLOOKUP(A1146,CATALOGO!$B$2:$B$600,1,FALSE),"Falta"),"", "Falta")</f>
        <v/>
      </c>
    </row>
    <row r="1147" spans="1:6" x14ac:dyDescent="0.25">
      <c r="A1147" s="11">
        <f t="shared" si="17"/>
        <v>8703621</v>
      </c>
      <c r="B1147" s="17">
        <v>8703621</v>
      </c>
      <c r="C1147" s="17" t="s">
        <v>1037</v>
      </c>
      <c r="D1147" s="17">
        <v>2250</v>
      </c>
      <c r="E1147" s="17">
        <v>14</v>
      </c>
      <c r="F1147" s="7" t="str">
        <f>IF(A1147=IFERROR(VLOOKUP(A1147,CATALOGO!$B$2:$B$600,1,FALSE),"Falta"),"", "Falta")</f>
        <v>Falta</v>
      </c>
    </row>
    <row r="1148" spans="1:6" x14ac:dyDescent="0.25">
      <c r="A1148" s="11">
        <f t="shared" si="17"/>
        <v>8703641</v>
      </c>
      <c r="B1148" s="17">
        <v>8703641</v>
      </c>
      <c r="C1148" s="17" t="s">
        <v>1804</v>
      </c>
      <c r="D1148" s="17">
        <v>1477.4</v>
      </c>
      <c r="E1148" s="17">
        <v>1</v>
      </c>
      <c r="F1148" s="7" t="str">
        <f>IF(A1148=IFERROR(VLOOKUP(A1148,CATALOGO!$B$2:$B$600,1,FALSE),"Falta"),"", "Falta")</f>
        <v/>
      </c>
    </row>
    <row r="1149" spans="1:6" x14ac:dyDescent="0.25">
      <c r="A1149" s="11">
        <f t="shared" si="17"/>
        <v>8703656</v>
      </c>
      <c r="B1149" s="17">
        <v>8703656</v>
      </c>
      <c r="C1149" s="17" t="s">
        <v>1197</v>
      </c>
      <c r="D1149" s="17">
        <v>1200</v>
      </c>
      <c r="E1149" s="17">
        <v>53</v>
      </c>
      <c r="F1149" s="7" t="str">
        <f>IF(A1149=IFERROR(VLOOKUP(A1149,CATALOGO!$B$2:$B$600,1,FALSE),"Falta"),"", "Falta")</f>
        <v/>
      </c>
    </row>
    <row r="1150" spans="1:6" x14ac:dyDescent="0.25">
      <c r="A1150" s="11">
        <f t="shared" si="17"/>
        <v>8703658</v>
      </c>
      <c r="B1150" s="17">
        <v>8703658</v>
      </c>
      <c r="C1150" s="17" t="s">
        <v>1195</v>
      </c>
      <c r="D1150" s="17">
        <v>2400</v>
      </c>
      <c r="E1150" s="17">
        <v>72</v>
      </c>
      <c r="F1150" s="7" t="str">
        <f>IF(A1150=IFERROR(VLOOKUP(A1150,CATALOGO!$B$2:$B$600,1,FALSE),"Falta"),"", "Falta")</f>
        <v/>
      </c>
    </row>
    <row r="1151" spans="1:6" x14ac:dyDescent="0.25">
      <c r="A1151" s="11">
        <f t="shared" si="17"/>
        <v>8703660</v>
      </c>
      <c r="B1151" s="17">
        <v>8703660</v>
      </c>
      <c r="C1151" s="17" t="s">
        <v>2927</v>
      </c>
      <c r="D1151" s="17">
        <v>900</v>
      </c>
      <c r="E1151" s="17">
        <v>75</v>
      </c>
      <c r="F1151" s="7" t="str">
        <f>IF(A1151=IFERROR(VLOOKUP(A1151,CATALOGO!$B$2:$B$600,1,FALSE),"Falta"),"", "Falta")</f>
        <v/>
      </c>
    </row>
    <row r="1152" spans="1:6" x14ac:dyDescent="0.25">
      <c r="A1152" s="11">
        <f t="shared" si="17"/>
        <v>8703662</v>
      </c>
      <c r="B1152" s="17">
        <v>8703662</v>
      </c>
      <c r="C1152" s="17" t="s">
        <v>1196</v>
      </c>
      <c r="D1152" s="17">
        <v>1200</v>
      </c>
      <c r="E1152" s="17">
        <v>65</v>
      </c>
      <c r="F1152" s="7" t="str">
        <f>IF(A1152=IFERROR(VLOOKUP(A1152,CATALOGO!$B$2:$B$600,1,FALSE),"Falta"),"", "Falta")</f>
        <v/>
      </c>
    </row>
    <row r="1153" spans="1:6" x14ac:dyDescent="0.25">
      <c r="A1153" s="11">
        <f t="shared" si="17"/>
        <v>8703665</v>
      </c>
      <c r="B1153" s="17">
        <v>8703665</v>
      </c>
      <c r="C1153" s="17" t="s">
        <v>1215</v>
      </c>
      <c r="D1153" s="17">
        <v>2600</v>
      </c>
      <c r="E1153" s="17">
        <v>26</v>
      </c>
      <c r="F1153" s="7" t="str">
        <f>IF(A1153=IFERROR(VLOOKUP(A1153,CATALOGO!$B$2:$B$600,1,FALSE),"Falta"),"", "Falta")</f>
        <v/>
      </c>
    </row>
    <row r="1154" spans="1:6" x14ac:dyDescent="0.25">
      <c r="A1154" s="11">
        <f t="shared" si="17"/>
        <v>8703667</v>
      </c>
      <c r="B1154" s="17">
        <v>8703667</v>
      </c>
      <c r="C1154" s="17" t="s">
        <v>1194</v>
      </c>
      <c r="D1154" s="17">
        <v>2700</v>
      </c>
      <c r="E1154" s="17">
        <v>32</v>
      </c>
      <c r="F1154" s="7" t="str">
        <f>IF(A1154=IFERROR(VLOOKUP(A1154,CATALOGO!$B$2:$B$600,1,FALSE),"Falta"),"", "Falta")</f>
        <v/>
      </c>
    </row>
    <row r="1155" spans="1:6" x14ac:dyDescent="0.25">
      <c r="A1155" s="11">
        <f t="shared" si="17"/>
        <v>8703669</v>
      </c>
      <c r="B1155" s="17">
        <v>8703669</v>
      </c>
      <c r="C1155" s="17" t="s">
        <v>1212</v>
      </c>
      <c r="D1155" s="17">
        <v>2400</v>
      </c>
      <c r="E1155" s="17">
        <v>31</v>
      </c>
      <c r="F1155" s="7" t="str">
        <f>IF(A1155=IFERROR(VLOOKUP(A1155,CATALOGO!$B$2:$B$600,1,FALSE),"Falta"),"", "Falta")</f>
        <v/>
      </c>
    </row>
    <row r="1156" spans="1:6" x14ac:dyDescent="0.25">
      <c r="A1156" s="11">
        <f t="shared" si="17"/>
        <v>8703671</v>
      </c>
      <c r="B1156" s="17">
        <v>8703671</v>
      </c>
      <c r="C1156" s="17" t="s">
        <v>1216</v>
      </c>
      <c r="D1156" s="17">
        <v>3500</v>
      </c>
      <c r="E1156" s="17">
        <v>42</v>
      </c>
      <c r="F1156" s="7" t="str">
        <f>IF(A1156=IFERROR(VLOOKUP(A1156,CATALOGO!$B$2:$B$600,1,FALSE),"Falta"),"", "Falta")</f>
        <v/>
      </c>
    </row>
    <row r="1157" spans="1:6" x14ac:dyDescent="0.25">
      <c r="A1157" s="11">
        <f t="shared" si="17"/>
        <v>8703679</v>
      </c>
      <c r="B1157" s="17">
        <v>8703679</v>
      </c>
      <c r="C1157" s="17" t="s">
        <v>1204</v>
      </c>
      <c r="D1157" s="17">
        <v>1400</v>
      </c>
      <c r="E1157" s="17">
        <v>58</v>
      </c>
      <c r="F1157" s="7" t="str">
        <f>IF(A1157=IFERROR(VLOOKUP(A1157,CATALOGO!$B$2:$B$600,1,FALSE),"Falta"),"", "Falta")</f>
        <v/>
      </c>
    </row>
    <row r="1158" spans="1:6" x14ac:dyDescent="0.25">
      <c r="A1158" s="11">
        <f t="shared" ref="A1158:A1221" si="18">IFERROR(B1158*1,"")</f>
        <v>8703681</v>
      </c>
      <c r="B1158" s="17">
        <v>8703681</v>
      </c>
      <c r="C1158" s="17" t="s">
        <v>1060</v>
      </c>
      <c r="D1158" s="17">
        <v>1524.6</v>
      </c>
      <c r="E1158" s="17">
        <v>3</v>
      </c>
      <c r="F1158" s="7" t="str">
        <f>IF(A1158=IFERROR(VLOOKUP(A1158,CATALOGO!$B$2:$B$600,1,FALSE),"Falta"),"", "Falta")</f>
        <v>Falta</v>
      </c>
    </row>
    <row r="1159" spans="1:6" x14ac:dyDescent="0.25">
      <c r="A1159" s="11">
        <f t="shared" si="18"/>
        <v>8703699</v>
      </c>
      <c r="B1159" s="17">
        <v>8703699</v>
      </c>
      <c r="C1159" s="17" t="s">
        <v>1010</v>
      </c>
      <c r="D1159" s="17">
        <v>2250</v>
      </c>
      <c r="E1159" s="17">
        <v>31</v>
      </c>
      <c r="F1159" s="7" t="str">
        <f>IF(A1159=IFERROR(VLOOKUP(A1159,CATALOGO!$B$2:$B$600,1,FALSE),"Falta"),"", "Falta")</f>
        <v/>
      </c>
    </row>
    <row r="1160" spans="1:6" x14ac:dyDescent="0.25">
      <c r="A1160" s="11">
        <f t="shared" si="18"/>
        <v>8703700</v>
      </c>
      <c r="B1160" s="17">
        <v>8703700</v>
      </c>
      <c r="C1160" s="17" t="s">
        <v>1170</v>
      </c>
      <c r="D1160" s="17">
        <v>750.02</v>
      </c>
      <c r="E1160" s="17">
        <v>1</v>
      </c>
      <c r="F1160" s="7" t="str">
        <f>IF(A1160=IFERROR(VLOOKUP(A1160,CATALOGO!$B$2:$B$600,1,FALSE),"Falta"),"", "Falta")</f>
        <v>Falta</v>
      </c>
    </row>
    <row r="1161" spans="1:6" x14ac:dyDescent="0.25">
      <c r="A1161" s="11">
        <f t="shared" si="18"/>
        <v>8703702</v>
      </c>
      <c r="B1161" s="17">
        <v>8703702</v>
      </c>
      <c r="C1161" s="17" t="s">
        <v>1228</v>
      </c>
      <c r="D1161" s="17">
        <v>838.52</v>
      </c>
      <c r="E1161" s="17">
        <v>10</v>
      </c>
      <c r="F1161" s="7" t="str">
        <f>IF(A1161=IFERROR(VLOOKUP(A1161,CATALOGO!$B$2:$B$600,1,FALSE),"Falta"),"", "Falta")</f>
        <v/>
      </c>
    </row>
    <row r="1162" spans="1:6" x14ac:dyDescent="0.25">
      <c r="A1162" s="11">
        <f t="shared" si="18"/>
        <v>8703703</v>
      </c>
      <c r="B1162" s="17">
        <v>8703703</v>
      </c>
      <c r="C1162" s="17" t="s">
        <v>604</v>
      </c>
      <c r="D1162" s="17">
        <v>1224.52</v>
      </c>
      <c r="E1162" s="17">
        <v>23</v>
      </c>
      <c r="F1162" s="7" t="str">
        <f>IF(A1162=IFERROR(VLOOKUP(A1162,CATALOGO!$B$2:$B$600,1,FALSE),"Falta"),"", "Falta")</f>
        <v/>
      </c>
    </row>
    <row r="1163" spans="1:6" x14ac:dyDescent="0.25">
      <c r="A1163" s="11">
        <f t="shared" si="18"/>
        <v>8703743</v>
      </c>
      <c r="B1163" s="17">
        <v>8703743</v>
      </c>
      <c r="C1163" s="17" t="s">
        <v>1182</v>
      </c>
      <c r="D1163" s="17">
        <v>2420</v>
      </c>
      <c r="E1163" s="17">
        <v>1</v>
      </c>
      <c r="F1163" s="7" t="str">
        <f>IF(A1163=IFERROR(VLOOKUP(A1163,CATALOGO!$B$2:$B$600,1,FALSE),"Falta"),"", "Falta")</f>
        <v>Falta</v>
      </c>
    </row>
    <row r="1164" spans="1:6" x14ac:dyDescent="0.25">
      <c r="A1164" s="11">
        <f t="shared" si="18"/>
        <v>8703750</v>
      </c>
      <c r="B1164" s="17">
        <v>8703750</v>
      </c>
      <c r="C1164" s="17" t="s">
        <v>1227</v>
      </c>
      <c r="D1164" s="17">
        <v>587.62</v>
      </c>
      <c r="E1164" s="17">
        <v>4</v>
      </c>
      <c r="F1164" s="7" t="str">
        <f>IF(A1164=IFERROR(VLOOKUP(A1164,CATALOGO!$B$2:$B$600,1,FALSE),"Falta"),"", "Falta")</f>
        <v>Falta</v>
      </c>
    </row>
    <row r="1165" spans="1:6" x14ac:dyDescent="0.25">
      <c r="A1165" s="11">
        <f t="shared" si="18"/>
        <v>8703810</v>
      </c>
      <c r="B1165" s="17">
        <v>8703810</v>
      </c>
      <c r="C1165" s="17" t="s">
        <v>1225</v>
      </c>
      <c r="D1165" s="17">
        <v>1118.03</v>
      </c>
      <c r="E1165" s="17">
        <v>17</v>
      </c>
      <c r="F1165" s="7" t="str">
        <f>IF(A1165=IFERROR(VLOOKUP(A1165,CATALOGO!$B$2:$B$600,1,FALSE),"Falta"),"", "Falta")</f>
        <v/>
      </c>
    </row>
    <row r="1166" spans="1:6" x14ac:dyDescent="0.25">
      <c r="A1166" s="11">
        <f t="shared" si="18"/>
        <v>8703811</v>
      </c>
      <c r="B1166" s="17">
        <v>8703811</v>
      </c>
      <c r="C1166" s="17" t="s">
        <v>1224</v>
      </c>
      <c r="D1166" s="17">
        <v>1277.75</v>
      </c>
      <c r="E1166" s="17">
        <v>10</v>
      </c>
      <c r="F1166" s="7" t="str">
        <f>IF(A1166=IFERROR(VLOOKUP(A1166,CATALOGO!$B$2:$B$600,1,FALSE),"Falta"),"", "Falta")</f>
        <v/>
      </c>
    </row>
    <row r="1167" spans="1:6" x14ac:dyDescent="0.25">
      <c r="A1167" s="11">
        <f t="shared" si="18"/>
        <v>8703812</v>
      </c>
      <c r="B1167" s="17">
        <v>8703812</v>
      </c>
      <c r="C1167" s="17" t="s">
        <v>1220</v>
      </c>
      <c r="D1167" s="17">
        <v>1118.03</v>
      </c>
      <c r="E1167" s="17">
        <v>55</v>
      </c>
      <c r="F1167" s="7" t="str">
        <f>IF(A1167=IFERROR(VLOOKUP(A1167,CATALOGO!$B$2:$B$600,1,FALSE),"Falta"),"", "Falta")</f>
        <v/>
      </c>
    </row>
    <row r="1168" spans="1:6" x14ac:dyDescent="0.25">
      <c r="A1168" s="11">
        <f t="shared" si="18"/>
        <v>8703900</v>
      </c>
      <c r="B1168" s="17">
        <v>8703900</v>
      </c>
      <c r="C1168" s="17" t="s">
        <v>1231</v>
      </c>
      <c r="D1168" s="17">
        <v>938.34</v>
      </c>
      <c r="E1168" s="17">
        <v>15</v>
      </c>
      <c r="F1168" s="7" t="str">
        <f>IF(A1168=IFERROR(VLOOKUP(A1168,CATALOGO!$B$2:$B$600,1,FALSE),"Falta"),"", "Falta")</f>
        <v/>
      </c>
    </row>
    <row r="1169" spans="1:6" x14ac:dyDescent="0.25">
      <c r="A1169" s="11">
        <f t="shared" si="18"/>
        <v>8703925</v>
      </c>
      <c r="B1169" s="17">
        <v>8703925</v>
      </c>
      <c r="C1169" s="17" t="s">
        <v>1241</v>
      </c>
      <c r="D1169" s="17">
        <v>990</v>
      </c>
      <c r="E1169" s="17">
        <v>42</v>
      </c>
      <c r="F1169" s="7" t="str">
        <f>IF(A1169=IFERROR(VLOOKUP(A1169,CATALOGO!$B$2:$B$600,1,FALSE),"Falta"),"", "Falta")</f>
        <v/>
      </c>
    </row>
    <row r="1170" spans="1:6" x14ac:dyDescent="0.25">
      <c r="A1170" s="11">
        <f t="shared" si="18"/>
        <v>8703926</v>
      </c>
      <c r="B1170" s="17">
        <v>8703926</v>
      </c>
      <c r="C1170" s="17" t="s">
        <v>1239</v>
      </c>
      <c r="D1170" s="17">
        <v>990</v>
      </c>
      <c r="E1170" s="17">
        <v>47</v>
      </c>
      <c r="F1170" s="7" t="str">
        <f>IF(A1170=IFERROR(VLOOKUP(A1170,CATALOGO!$B$2:$B$600,1,FALSE),"Falta"),"", "Falta")</f>
        <v/>
      </c>
    </row>
    <row r="1171" spans="1:6" x14ac:dyDescent="0.25">
      <c r="A1171" s="11">
        <f t="shared" si="18"/>
        <v>8703950</v>
      </c>
      <c r="B1171" s="17">
        <v>8703950</v>
      </c>
      <c r="C1171" s="17" t="s">
        <v>1193</v>
      </c>
      <c r="D1171" s="17">
        <v>3600</v>
      </c>
      <c r="E1171" s="17">
        <v>15</v>
      </c>
      <c r="F1171" s="7" t="str">
        <f>IF(A1171=IFERROR(VLOOKUP(A1171,CATALOGO!$B$2:$B$600,1,FALSE),"Falta"),"", "Falta")</f>
        <v>Falta</v>
      </c>
    </row>
    <row r="1172" spans="1:6" x14ac:dyDescent="0.25">
      <c r="A1172" s="11">
        <f t="shared" si="18"/>
        <v>8703955</v>
      </c>
      <c r="B1172" s="17">
        <v>8703955</v>
      </c>
      <c r="C1172" s="17" t="s">
        <v>1164</v>
      </c>
      <c r="D1172" s="17">
        <v>3600</v>
      </c>
      <c r="E1172" s="17">
        <v>7</v>
      </c>
      <c r="F1172" s="7" t="str">
        <f>IF(A1172=IFERROR(VLOOKUP(A1172,CATALOGO!$B$2:$B$600,1,FALSE),"Falta"),"", "Falta")</f>
        <v/>
      </c>
    </row>
    <row r="1173" spans="1:6" x14ac:dyDescent="0.25">
      <c r="A1173" s="11">
        <f t="shared" si="18"/>
        <v>8703956</v>
      </c>
      <c r="B1173" s="17">
        <v>8703956</v>
      </c>
      <c r="C1173" s="17" t="s">
        <v>1214</v>
      </c>
      <c r="D1173" s="17">
        <v>3600</v>
      </c>
      <c r="E1173" s="17">
        <v>4</v>
      </c>
      <c r="F1173" s="7" t="str">
        <f>IF(A1173=IFERROR(VLOOKUP(A1173,CATALOGO!$B$2:$B$600,1,FALSE),"Falta"),"", "Falta")</f>
        <v/>
      </c>
    </row>
    <row r="1174" spans="1:6" x14ac:dyDescent="0.25">
      <c r="A1174" s="11">
        <f t="shared" si="18"/>
        <v>8703959</v>
      </c>
      <c r="B1174" s="17">
        <v>8703959</v>
      </c>
      <c r="C1174" s="17" t="s">
        <v>1203</v>
      </c>
      <c r="D1174" s="17">
        <v>3600</v>
      </c>
      <c r="E1174" s="17">
        <v>3</v>
      </c>
      <c r="F1174" s="7" t="str">
        <f>IF(A1174=IFERROR(VLOOKUP(A1174,CATALOGO!$B$2:$B$600,1,FALSE),"Falta"),"", "Falta")</f>
        <v>Falta</v>
      </c>
    </row>
    <row r="1175" spans="1:6" x14ac:dyDescent="0.25">
      <c r="A1175" s="11">
        <f t="shared" si="18"/>
        <v>8703962</v>
      </c>
      <c r="B1175" s="17">
        <v>8703962</v>
      </c>
      <c r="C1175" s="17" t="s">
        <v>1232</v>
      </c>
      <c r="D1175" s="17">
        <v>1008.55</v>
      </c>
      <c r="E1175" s="17">
        <v>47</v>
      </c>
      <c r="F1175" s="7" t="str">
        <f>IF(A1175=IFERROR(VLOOKUP(A1175,CATALOGO!$B$2:$B$600,1,FALSE),"Falta"),"", "Falta")</f>
        <v>Falta</v>
      </c>
    </row>
    <row r="1176" spans="1:6" x14ac:dyDescent="0.25">
      <c r="A1176" s="11">
        <f t="shared" si="18"/>
        <v>8705003</v>
      </c>
      <c r="B1176" s="17">
        <v>8705003</v>
      </c>
      <c r="C1176" s="17" t="s">
        <v>1312</v>
      </c>
      <c r="D1176" s="17">
        <v>1140</v>
      </c>
      <c r="E1176" s="17">
        <v>122</v>
      </c>
      <c r="F1176" s="7" t="str">
        <f>IF(A1176=IFERROR(VLOOKUP(A1176,CATALOGO!$B$2:$B$600,1,FALSE),"Falta"),"", "Falta")</f>
        <v/>
      </c>
    </row>
    <row r="1177" spans="1:6" x14ac:dyDescent="0.25">
      <c r="A1177" s="11">
        <f t="shared" si="18"/>
        <v>8705013</v>
      </c>
      <c r="B1177" s="17">
        <v>8705013</v>
      </c>
      <c r="C1177" s="17" t="s">
        <v>1323</v>
      </c>
      <c r="D1177" s="17">
        <v>847</v>
      </c>
      <c r="E1177" s="17">
        <v>1</v>
      </c>
      <c r="F1177" s="7" t="str">
        <f>IF(A1177=IFERROR(VLOOKUP(A1177,CATALOGO!$B$2:$B$600,1,FALSE),"Falta"),"", "Falta")</f>
        <v>Falta</v>
      </c>
    </row>
    <row r="1178" spans="1:6" x14ac:dyDescent="0.25">
      <c r="A1178" s="11">
        <f t="shared" si="18"/>
        <v>8705018</v>
      </c>
      <c r="B1178" s="17">
        <v>8705018</v>
      </c>
      <c r="C1178" s="17" t="s">
        <v>1271</v>
      </c>
      <c r="D1178" s="17">
        <v>2070</v>
      </c>
      <c r="E1178" s="17">
        <v>14</v>
      </c>
      <c r="F1178" s="7" t="str">
        <f>IF(A1178=IFERROR(VLOOKUP(A1178,CATALOGO!$B$2:$B$600,1,FALSE),"Falta"),"", "Falta")</f>
        <v/>
      </c>
    </row>
    <row r="1179" spans="1:6" x14ac:dyDescent="0.25">
      <c r="A1179" s="11">
        <f t="shared" si="18"/>
        <v>8705019</v>
      </c>
      <c r="B1179" s="17">
        <v>8705019</v>
      </c>
      <c r="C1179" s="17" t="s">
        <v>1272</v>
      </c>
      <c r="D1179" s="17">
        <v>1830</v>
      </c>
      <c r="E1179" s="17">
        <v>17</v>
      </c>
      <c r="F1179" s="7" t="str">
        <f>IF(A1179=IFERROR(VLOOKUP(A1179,CATALOGO!$B$2:$B$600,1,FALSE),"Falta"),"", "Falta")</f>
        <v/>
      </c>
    </row>
    <row r="1180" spans="1:6" x14ac:dyDescent="0.25">
      <c r="A1180" s="11">
        <f t="shared" si="18"/>
        <v>8705037</v>
      </c>
      <c r="B1180" s="17">
        <v>8705037</v>
      </c>
      <c r="C1180" s="17" t="s">
        <v>1313</v>
      </c>
      <c r="D1180" s="17">
        <v>600</v>
      </c>
      <c r="E1180" s="17">
        <v>6</v>
      </c>
      <c r="F1180" s="7" t="str">
        <f>IF(A1180=IFERROR(VLOOKUP(A1180,CATALOGO!$B$2:$B$600,1,FALSE),"Falta"),"", "Falta")</f>
        <v/>
      </c>
    </row>
    <row r="1181" spans="1:6" x14ac:dyDescent="0.25">
      <c r="A1181" s="11">
        <f t="shared" si="18"/>
        <v>8705072</v>
      </c>
      <c r="B1181" s="17">
        <v>8705072</v>
      </c>
      <c r="C1181" s="17" t="s">
        <v>1289</v>
      </c>
      <c r="D1181" s="17">
        <v>399.3</v>
      </c>
      <c r="E1181" s="17">
        <v>76</v>
      </c>
      <c r="F1181" s="7" t="str">
        <f>IF(A1181=IFERROR(VLOOKUP(A1181,CATALOGO!$B$2:$B$600,1,FALSE),"Falta"),"", "Falta")</f>
        <v/>
      </c>
    </row>
    <row r="1182" spans="1:6" x14ac:dyDescent="0.25">
      <c r="A1182" s="11">
        <f t="shared" si="18"/>
        <v>8705113</v>
      </c>
      <c r="B1182" s="17">
        <v>8705113</v>
      </c>
      <c r="C1182" s="17" t="s">
        <v>1286</v>
      </c>
      <c r="D1182" s="17">
        <v>1980</v>
      </c>
      <c r="E1182" s="17">
        <v>23</v>
      </c>
      <c r="F1182" s="7" t="str">
        <f>IF(A1182=IFERROR(VLOOKUP(A1182,CATALOGO!$B$2:$B$600,1,FALSE),"Falta"),"", "Falta")</f>
        <v>Falta</v>
      </c>
    </row>
    <row r="1183" spans="1:6" x14ac:dyDescent="0.25">
      <c r="A1183" s="11">
        <f t="shared" si="18"/>
        <v>8705233</v>
      </c>
      <c r="B1183" s="17">
        <v>8705233</v>
      </c>
      <c r="C1183" s="17" t="s">
        <v>1428</v>
      </c>
      <c r="D1183" s="17">
        <v>650</v>
      </c>
      <c r="E1183" s="17">
        <v>5</v>
      </c>
      <c r="F1183" s="7" t="str">
        <f>IF(A1183=IFERROR(VLOOKUP(A1183,CATALOGO!$B$2:$B$600,1,FALSE),"Falta"),"", "Falta")</f>
        <v/>
      </c>
    </row>
    <row r="1184" spans="1:6" x14ac:dyDescent="0.25">
      <c r="A1184" s="11">
        <f t="shared" si="18"/>
        <v>8705256</v>
      </c>
      <c r="B1184" s="17">
        <v>8705256</v>
      </c>
      <c r="C1184" s="17" t="s">
        <v>1320</v>
      </c>
      <c r="D1184" s="17">
        <v>1815</v>
      </c>
      <c r="E1184" s="17">
        <v>19</v>
      </c>
      <c r="F1184" s="7" t="str">
        <f>IF(A1184=IFERROR(VLOOKUP(A1184,CATALOGO!$B$2:$B$600,1,FALSE),"Falta"),"", "Falta")</f>
        <v>Falta</v>
      </c>
    </row>
    <row r="1185" spans="1:6" x14ac:dyDescent="0.25">
      <c r="A1185" s="11">
        <f t="shared" si="18"/>
        <v>8705459</v>
      </c>
      <c r="B1185" s="17">
        <v>8705459</v>
      </c>
      <c r="C1185" s="17" t="s">
        <v>1282</v>
      </c>
      <c r="D1185" s="17">
        <v>726</v>
      </c>
      <c r="E1185" s="17">
        <v>1</v>
      </c>
      <c r="F1185" s="7" t="str">
        <f>IF(A1185=IFERROR(VLOOKUP(A1185,CATALOGO!$B$2:$B$600,1,FALSE),"Falta"),"", "Falta")</f>
        <v/>
      </c>
    </row>
    <row r="1186" spans="1:6" x14ac:dyDescent="0.25">
      <c r="A1186" s="11">
        <f t="shared" si="18"/>
        <v>8705550</v>
      </c>
      <c r="B1186" s="17">
        <v>8705550</v>
      </c>
      <c r="C1186" s="17" t="s">
        <v>1273</v>
      </c>
      <c r="D1186" s="17">
        <v>763.8</v>
      </c>
      <c r="E1186" s="17">
        <v>1</v>
      </c>
      <c r="F1186" s="7" t="str">
        <f>IF(A1186=IFERROR(VLOOKUP(A1186,CATALOGO!$B$2:$B$600,1,FALSE),"Falta"),"", "Falta")</f>
        <v>Falta</v>
      </c>
    </row>
    <row r="1187" spans="1:6" x14ac:dyDescent="0.25">
      <c r="A1187" s="11">
        <f t="shared" si="18"/>
        <v>8705551</v>
      </c>
      <c r="B1187" s="17">
        <v>8705551</v>
      </c>
      <c r="C1187" s="17" t="s">
        <v>1280</v>
      </c>
      <c r="D1187" s="17">
        <v>990</v>
      </c>
      <c r="E1187" s="17">
        <v>846</v>
      </c>
      <c r="F1187" s="7" t="str">
        <f>IF(A1187=IFERROR(VLOOKUP(A1187,CATALOGO!$B$2:$B$600,1,FALSE),"Falta"),"", "Falta")</f>
        <v/>
      </c>
    </row>
    <row r="1188" spans="1:6" x14ac:dyDescent="0.25">
      <c r="A1188" s="11">
        <f t="shared" si="18"/>
        <v>8705552</v>
      </c>
      <c r="B1188" s="17">
        <v>8705552</v>
      </c>
      <c r="C1188" s="17" t="s">
        <v>1809</v>
      </c>
      <c r="D1188" s="17">
        <v>304.60000000000002</v>
      </c>
      <c r="E1188" s="17">
        <v>3</v>
      </c>
      <c r="F1188" s="7" t="str">
        <f>IF(A1188=IFERROR(VLOOKUP(A1188,CATALOGO!$B$2:$B$600,1,FALSE),"Falta"),"", "Falta")</f>
        <v/>
      </c>
    </row>
    <row r="1189" spans="1:6" x14ac:dyDescent="0.25">
      <c r="A1189" s="11">
        <f t="shared" si="18"/>
        <v>8705568</v>
      </c>
      <c r="B1189" s="17">
        <v>8705568</v>
      </c>
      <c r="C1189" s="17" t="s">
        <v>1266</v>
      </c>
      <c r="D1189" s="17">
        <v>999</v>
      </c>
      <c r="E1189" s="17">
        <v>55</v>
      </c>
      <c r="F1189" s="7" t="str">
        <f>IF(A1189=IFERROR(VLOOKUP(A1189,CATALOGO!$B$2:$B$600,1,FALSE),"Falta"),"", "Falta")</f>
        <v/>
      </c>
    </row>
    <row r="1190" spans="1:6" x14ac:dyDescent="0.25">
      <c r="A1190" s="11">
        <f t="shared" si="18"/>
        <v>8705586</v>
      </c>
      <c r="B1190" s="17">
        <v>8705586</v>
      </c>
      <c r="C1190" s="17" t="s">
        <v>1326</v>
      </c>
      <c r="D1190" s="17">
        <v>907.5</v>
      </c>
      <c r="E1190" s="17">
        <v>189</v>
      </c>
      <c r="F1190" s="7" t="str">
        <f>IF(A1190=IFERROR(VLOOKUP(A1190,CATALOGO!$B$2:$B$600,1,FALSE),"Falta"),"", "Falta")</f>
        <v>Falta</v>
      </c>
    </row>
    <row r="1191" spans="1:6" x14ac:dyDescent="0.25">
      <c r="A1191" s="11">
        <f t="shared" si="18"/>
        <v>8705661</v>
      </c>
      <c r="B1191" s="17">
        <v>8705661</v>
      </c>
      <c r="C1191" s="17" t="s">
        <v>1265</v>
      </c>
      <c r="D1191" s="17">
        <v>900</v>
      </c>
      <c r="E1191" s="17">
        <v>123</v>
      </c>
      <c r="F1191" s="7" t="str">
        <f>IF(A1191=IFERROR(VLOOKUP(A1191,CATALOGO!$B$2:$B$600,1,FALSE),"Falta"),"", "Falta")</f>
        <v/>
      </c>
    </row>
    <row r="1192" spans="1:6" x14ac:dyDescent="0.25">
      <c r="A1192" s="11">
        <f t="shared" si="18"/>
        <v>8705683</v>
      </c>
      <c r="B1192" s="17">
        <v>8705683</v>
      </c>
      <c r="C1192" s="17" t="s">
        <v>1267</v>
      </c>
      <c r="D1192" s="17">
        <v>800</v>
      </c>
      <c r="E1192" s="17">
        <v>52</v>
      </c>
      <c r="F1192" s="7" t="str">
        <f>IF(A1192=IFERROR(VLOOKUP(A1192,CATALOGO!$B$2:$B$600,1,FALSE),"Falta"),"", "Falta")</f>
        <v/>
      </c>
    </row>
    <row r="1193" spans="1:6" x14ac:dyDescent="0.25">
      <c r="A1193" s="11">
        <f t="shared" si="18"/>
        <v>8705750</v>
      </c>
      <c r="B1193" s="17">
        <v>8705750</v>
      </c>
      <c r="C1193" s="17" t="s">
        <v>1275</v>
      </c>
      <c r="D1193" s="17">
        <v>763.8</v>
      </c>
      <c r="E1193" s="17">
        <v>9</v>
      </c>
      <c r="F1193" s="7" t="str">
        <f>IF(A1193=IFERROR(VLOOKUP(A1193,CATALOGO!$B$2:$B$600,1,FALSE),"Falta"),"", "Falta")</f>
        <v/>
      </c>
    </row>
    <row r="1194" spans="1:6" x14ac:dyDescent="0.25">
      <c r="A1194" s="11">
        <f t="shared" si="18"/>
        <v>8705861</v>
      </c>
      <c r="B1194" s="17">
        <v>8705861</v>
      </c>
      <c r="C1194" s="17" t="s">
        <v>1810</v>
      </c>
      <c r="D1194" s="17">
        <v>1452</v>
      </c>
      <c r="E1194" s="17">
        <v>1</v>
      </c>
      <c r="F1194" s="7" t="str">
        <f>IF(A1194=IFERROR(VLOOKUP(A1194,CATALOGO!$B$2:$B$600,1,FALSE),"Falta"),"", "Falta")</f>
        <v/>
      </c>
    </row>
    <row r="1195" spans="1:6" x14ac:dyDescent="0.25">
      <c r="A1195" s="11">
        <f t="shared" si="18"/>
        <v>8705913</v>
      </c>
      <c r="B1195" s="17">
        <v>8705913</v>
      </c>
      <c r="C1195" s="17" t="s">
        <v>1287</v>
      </c>
      <c r="D1195" s="17">
        <v>1694</v>
      </c>
      <c r="E1195" s="17">
        <v>20</v>
      </c>
      <c r="F1195" s="7" t="str">
        <f>IF(A1195=IFERROR(VLOOKUP(A1195,CATALOGO!$B$2:$B$600,1,FALSE),"Falta"),"", "Falta")</f>
        <v>Falta</v>
      </c>
    </row>
    <row r="1196" spans="1:6" x14ac:dyDescent="0.25">
      <c r="A1196" s="11">
        <f t="shared" si="18"/>
        <v>8705914</v>
      </c>
      <c r="B1196" s="17">
        <v>8705914</v>
      </c>
      <c r="C1196" s="17" t="s">
        <v>1284</v>
      </c>
      <c r="D1196" s="17">
        <v>1980</v>
      </c>
      <c r="E1196" s="17">
        <v>6</v>
      </c>
      <c r="F1196" s="7" t="str">
        <f>IF(A1196=IFERROR(VLOOKUP(A1196,CATALOGO!$B$2:$B$600,1,FALSE),"Falta"),"", "Falta")</f>
        <v>Falta</v>
      </c>
    </row>
    <row r="1197" spans="1:6" x14ac:dyDescent="0.25">
      <c r="A1197" s="11">
        <f t="shared" si="18"/>
        <v>8706002</v>
      </c>
      <c r="B1197" s="17">
        <v>8706002</v>
      </c>
      <c r="C1197" s="17" t="s">
        <v>997</v>
      </c>
      <c r="D1197" s="17">
        <v>3146</v>
      </c>
      <c r="E1197" s="17">
        <v>116</v>
      </c>
      <c r="F1197" s="7" t="str">
        <f>IF(A1197=IFERROR(VLOOKUP(A1197,CATALOGO!$B$2:$B$600,1,FALSE),"Falta"),"", "Falta")</f>
        <v/>
      </c>
    </row>
    <row r="1198" spans="1:6" x14ac:dyDescent="0.25">
      <c r="A1198" s="11">
        <f t="shared" si="18"/>
        <v>8706012</v>
      </c>
      <c r="B1198" s="17">
        <v>8706012</v>
      </c>
      <c r="C1198" s="17" t="s">
        <v>40</v>
      </c>
      <c r="D1198" s="17">
        <v>2479.65</v>
      </c>
      <c r="E1198" s="17">
        <v>2</v>
      </c>
      <c r="F1198" s="7" t="str">
        <f>IF(A1198=IFERROR(VLOOKUP(A1198,CATALOGO!$B$2:$B$600,1,FALSE),"Falta"),"", "Falta")</f>
        <v>Falta</v>
      </c>
    </row>
    <row r="1199" spans="1:6" x14ac:dyDescent="0.25">
      <c r="A1199" s="11">
        <f t="shared" si="18"/>
        <v>8707000</v>
      </c>
      <c r="B1199" s="17">
        <v>8707000</v>
      </c>
      <c r="C1199" s="17" t="s">
        <v>1812</v>
      </c>
      <c r="D1199" s="17">
        <v>150</v>
      </c>
      <c r="E1199" s="17">
        <v>51</v>
      </c>
      <c r="F1199" s="7" t="str">
        <f>IF(A1199=IFERROR(VLOOKUP(A1199,CATALOGO!$B$2:$B$600,1,FALSE),"Falta"),"", "Falta")</f>
        <v/>
      </c>
    </row>
    <row r="1200" spans="1:6" x14ac:dyDescent="0.25">
      <c r="A1200" s="11">
        <f t="shared" si="18"/>
        <v>8707021</v>
      </c>
      <c r="B1200" s="17">
        <v>8707021</v>
      </c>
      <c r="C1200" s="17" t="s">
        <v>1307</v>
      </c>
      <c r="D1200" s="17">
        <v>687.27</v>
      </c>
      <c r="E1200" s="17">
        <v>1</v>
      </c>
      <c r="F1200" s="7" t="str">
        <f>IF(A1200=IFERROR(VLOOKUP(A1200,CATALOGO!$B$2:$B$600,1,FALSE),"Falta"),"", "Falta")</f>
        <v>Falta</v>
      </c>
    </row>
    <row r="1201" spans="1:6" x14ac:dyDescent="0.25">
      <c r="A1201" s="11">
        <f t="shared" si="18"/>
        <v>8707023</v>
      </c>
      <c r="B1201" s="17">
        <v>8707023</v>
      </c>
      <c r="C1201" s="17" t="s">
        <v>1302</v>
      </c>
      <c r="D1201" s="17">
        <v>2130</v>
      </c>
      <c r="E1201" s="17">
        <v>9</v>
      </c>
      <c r="F1201" s="7" t="str">
        <f>IF(A1201=IFERROR(VLOOKUP(A1201,CATALOGO!$B$2:$B$600,1,FALSE),"Falta"),"", "Falta")</f>
        <v/>
      </c>
    </row>
    <row r="1202" spans="1:6" x14ac:dyDescent="0.25">
      <c r="A1202" s="11">
        <f t="shared" si="18"/>
        <v>8707024</v>
      </c>
      <c r="B1202" s="17">
        <v>8707024</v>
      </c>
      <c r="C1202" s="17" t="s">
        <v>1303</v>
      </c>
      <c r="D1202" s="17">
        <v>1845</v>
      </c>
      <c r="E1202" s="17">
        <v>11</v>
      </c>
      <c r="F1202" s="7" t="str">
        <f>IF(A1202=IFERROR(VLOOKUP(A1202,CATALOGO!$B$2:$B$600,1,FALSE),"Falta"),"", "Falta")</f>
        <v/>
      </c>
    </row>
    <row r="1203" spans="1:6" x14ac:dyDescent="0.25">
      <c r="A1203" s="11">
        <f t="shared" si="18"/>
        <v>8707113</v>
      </c>
      <c r="B1203" s="17">
        <v>8707113</v>
      </c>
      <c r="C1203" s="17" t="s">
        <v>1187</v>
      </c>
      <c r="D1203" s="17">
        <v>700</v>
      </c>
      <c r="E1203" s="17">
        <v>32</v>
      </c>
      <c r="F1203" s="7" t="str">
        <f>IF(A1203=IFERROR(VLOOKUP(A1203,CATALOGO!$B$2:$B$600,1,FALSE),"Falta"),"", "Falta")</f>
        <v/>
      </c>
    </row>
    <row r="1204" spans="1:6" x14ac:dyDescent="0.25">
      <c r="A1204" s="11">
        <f t="shared" si="18"/>
        <v>8707381</v>
      </c>
      <c r="B1204" s="17">
        <v>8707381</v>
      </c>
      <c r="C1204" s="17" t="s">
        <v>1813</v>
      </c>
      <c r="D1204" s="17">
        <v>11900</v>
      </c>
      <c r="E1204" s="17">
        <v>2</v>
      </c>
      <c r="F1204" s="7" t="str">
        <f>IF(A1204=IFERROR(VLOOKUP(A1204,CATALOGO!$B$2:$B$600,1,FALSE),"Falta"),"", "Falta")</f>
        <v/>
      </c>
    </row>
    <row r="1205" spans="1:6" x14ac:dyDescent="0.25">
      <c r="A1205" s="11">
        <f t="shared" si="18"/>
        <v>8707550</v>
      </c>
      <c r="B1205" s="17">
        <v>8707550</v>
      </c>
      <c r="C1205" s="17" t="s">
        <v>1328</v>
      </c>
      <c r="D1205" s="17">
        <v>733.18</v>
      </c>
      <c r="E1205" s="17">
        <v>5</v>
      </c>
      <c r="F1205" s="7" t="str">
        <f>IF(A1205=IFERROR(VLOOKUP(A1205,CATALOGO!$B$2:$B$600,1,FALSE),"Falta"),"", "Falta")</f>
        <v/>
      </c>
    </row>
    <row r="1206" spans="1:6" x14ac:dyDescent="0.25">
      <c r="A1206" s="11">
        <f t="shared" si="18"/>
        <v>8707552</v>
      </c>
      <c r="B1206" s="17">
        <v>8707552</v>
      </c>
      <c r="C1206" s="17" t="s">
        <v>1310</v>
      </c>
      <c r="D1206" s="17">
        <v>900</v>
      </c>
      <c r="E1206" s="17">
        <v>1426</v>
      </c>
      <c r="F1206" s="7" t="str">
        <f>IF(A1206=IFERROR(VLOOKUP(A1206,CATALOGO!$B$2:$B$600,1,FALSE),"Falta"),"", "Falta")</f>
        <v/>
      </c>
    </row>
    <row r="1207" spans="1:6" x14ac:dyDescent="0.25">
      <c r="A1207" s="11">
        <f t="shared" si="18"/>
        <v>8707553</v>
      </c>
      <c r="B1207" s="17">
        <v>8707553</v>
      </c>
      <c r="C1207" s="17" t="s">
        <v>1311</v>
      </c>
      <c r="D1207" s="17">
        <v>780</v>
      </c>
      <c r="E1207" s="17">
        <v>68</v>
      </c>
      <c r="F1207" s="7" t="str">
        <f>IF(A1207=IFERROR(VLOOKUP(A1207,CATALOGO!$B$2:$B$600,1,FALSE),"Falta"),"", "Falta")</f>
        <v/>
      </c>
    </row>
    <row r="1208" spans="1:6" x14ac:dyDescent="0.25">
      <c r="A1208" s="11">
        <f t="shared" si="18"/>
        <v>8707555</v>
      </c>
      <c r="B1208" s="17">
        <v>8707555</v>
      </c>
      <c r="C1208" s="17" t="s">
        <v>1305</v>
      </c>
      <c r="D1208" s="17">
        <v>763.8</v>
      </c>
      <c r="E1208" s="17">
        <v>1</v>
      </c>
      <c r="F1208" s="7" t="str">
        <f>IF(A1208=IFERROR(VLOOKUP(A1208,CATALOGO!$B$2:$B$600,1,FALSE),"Falta"),"", "Falta")</f>
        <v/>
      </c>
    </row>
    <row r="1209" spans="1:6" x14ac:dyDescent="0.25">
      <c r="A1209" s="11">
        <f t="shared" si="18"/>
        <v>8707702</v>
      </c>
      <c r="B1209" s="17">
        <v>8707702</v>
      </c>
      <c r="C1209" s="17" t="s">
        <v>1815</v>
      </c>
      <c r="D1209" s="17">
        <v>266.19</v>
      </c>
      <c r="E1209" s="17">
        <v>7</v>
      </c>
      <c r="F1209" s="7" t="str">
        <f>IF(A1209=IFERROR(VLOOKUP(A1209,CATALOGO!$B$2:$B$600,1,FALSE),"Falta"),"", "Falta")</f>
        <v>Falta</v>
      </c>
    </row>
    <row r="1210" spans="1:6" x14ac:dyDescent="0.25">
      <c r="A1210" s="11">
        <f t="shared" si="18"/>
        <v>8708001</v>
      </c>
      <c r="B1210" s="17">
        <v>8708001</v>
      </c>
      <c r="C1210" s="17" t="s">
        <v>1256</v>
      </c>
      <c r="D1210" s="17">
        <v>450</v>
      </c>
      <c r="E1210" s="17">
        <v>262</v>
      </c>
      <c r="F1210" s="7" t="str">
        <f>IF(A1210=IFERROR(VLOOKUP(A1210,CATALOGO!$B$2:$B$600,1,FALSE),"Falta"),"", "Falta")</f>
        <v/>
      </c>
    </row>
    <row r="1211" spans="1:6" x14ac:dyDescent="0.25">
      <c r="A1211" s="11">
        <f t="shared" si="18"/>
        <v>8708010</v>
      </c>
      <c r="B1211" s="17">
        <v>8708010</v>
      </c>
      <c r="C1211" s="17" t="s">
        <v>1817</v>
      </c>
      <c r="D1211" s="17">
        <v>900</v>
      </c>
      <c r="E1211" s="17">
        <v>1</v>
      </c>
      <c r="F1211" s="7" t="str">
        <f>IF(A1211=IFERROR(VLOOKUP(A1211,CATALOGO!$B$2:$B$600,1,FALSE),"Falta"),"", "Falta")</f>
        <v/>
      </c>
    </row>
    <row r="1212" spans="1:6" x14ac:dyDescent="0.25">
      <c r="A1212" s="11">
        <f t="shared" si="18"/>
        <v>8708011</v>
      </c>
      <c r="B1212" s="17">
        <v>8708011</v>
      </c>
      <c r="C1212" s="17" t="s">
        <v>1818</v>
      </c>
      <c r="D1212" s="17">
        <v>700</v>
      </c>
      <c r="E1212" s="17">
        <v>1</v>
      </c>
      <c r="F1212" s="7" t="str">
        <f>IF(A1212=IFERROR(VLOOKUP(A1212,CATALOGO!$B$2:$B$600,1,FALSE),"Falta"),"", "Falta")</f>
        <v/>
      </c>
    </row>
    <row r="1213" spans="1:6" x14ac:dyDescent="0.25">
      <c r="A1213" s="11">
        <f t="shared" si="18"/>
        <v>8708014</v>
      </c>
      <c r="B1213" s="17">
        <v>8708014</v>
      </c>
      <c r="C1213" s="17" t="s">
        <v>36</v>
      </c>
      <c r="D1213" s="17">
        <v>1814.99</v>
      </c>
      <c r="E1213" s="17">
        <v>2</v>
      </c>
      <c r="F1213" s="7" t="str">
        <f>IF(A1213=IFERROR(VLOOKUP(A1213,CATALOGO!$B$2:$B$600,1,FALSE),"Falta"),"", "Falta")</f>
        <v>Falta</v>
      </c>
    </row>
    <row r="1214" spans="1:6" x14ac:dyDescent="0.25">
      <c r="A1214" s="11">
        <f t="shared" si="18"/>
        <v>8708020</v>
      </c>
      <c r="B1214" s="17">
        <v>8708020</v>
      </c>
      <c r="C1214" s="17" t="s">
        <v>1416</v>
      </c>
      <c r="D1214" s="17">
        <v>2100</v>
      </c>
      <c r="E1214" s="17">
        <v>4</v>
      </c>
      <c r="F1214" s="7" t="str">
        <f>IF(A1214=IFERROR(VLOOKUP(A1214,CATALOGO!$B$2:$B$600,1,FALSE),"Falta"),"", "Falta")</f>
        <v>Falta</v>
      </c>
    </row>
    <row r="1215" spans="1:6" x14ac:dyDescent="0.25">
      <c r="A1215" s="11">
        <f t="shared" si="18"/>
        <v>8708024</v>
      </c>
      <c r="B1215" s="17">
        <v>8708024</v>
      </c>
      <c r="C1215" s="17" t="s">
        <v>474</v>
      </c>
      <c r="D1215" s="17">
        <v>1453.42</v>
      </c>
      <c r="E1215" s="17">
        <v>5</v>
      </c>
      <c r="F1215" s="7" t="str">
        <f>IF(A1215=IFERROR(VLOOKUP(A1215,CATALOGO!$B$2:$B$600,1,FALSE),"Falta"),"", "Falta")</f>
        <v/>
      </c>
    </row>
    <row r="1216" spans="1:6" x14ac:dyDescent="0.25">
      <c r="A1216" s="11">
        <f t="shared" si="18"/>
        <v>8708040</v>
      </c>
      <c r="B1216" s="17">
        <v>8708040</v>
      </c>
      <c r="C1216" s="17" t="s">
        <v>472</v>
      </c>
      <c r="D1216" s="17">
        <v>900</v>
      </c>
      <c r="E1216" s="17">
        <v>2</v>
      </c>
      <c r="F1216" s="7" t="str">
        <f>IF(A1216=IFERROR(VLOOKUP(A1216,CATALOGO!$B$2:$B$600,1,FALSE),"Falta"),"", "Falta")</f>
        <v/>
      </c>
    </row>
    <row r="1217" spans="1:6" x14ac:dyDescent="0.25">
      <c r="A1217" s="11">
        <f t="shared" si="18"/>
        <v>8708044</v>
      </c>
      <c r="B1217" s="17">
        <v>8708044</v>
      </c>
      <c r="C1217" s="17" t="s">
        <v>1819</v>
      </c>
      <c r="D1217" s="17">
        <v>1300</v>
      </c>
      <c r="E1217" s="17">
        <v>2</v>
      </c>
      <c r="F1217" s="7" t="str">
        <f>IF(A1217=IFERROR(VLOOKUP(A1217,CATALOGO!$B$2:$B$600,1,FALSE),"Falta"),"", "Falta")</f>
        <v/>
      </c>
    </row>
    <row r="1218" spans="1:6" x14ac:dyDescent="0.25">
      <c r="A1218" s="11">
        <f t="shared" si="18"/>
        <v>8708045</v>
      </c>
      <c r="B1218" s="17">
        <v>8708045</v>
      </c>
      <c r="C1218" s="17" t="s">
        <v>996</v>
      </c>
      <c r="D1218" s="17">
        <v>2300</v>
      </c>
      <c r="E1218" s="17">
        <v>4</v>
      </c>
      <c r="F1218" s="7" t="str">
        <f>IF(A1218=IFERROR(VLOOKUP(A1218,CATALOGO!$B$2:$B$600,1,FALSE),"Falta"),"", "Falta")</f>
        <v>Falta</v>
      </c>
    </row>
    <row r="1219" spans="1:6" x14ac:dyDescent="0.25">
      <c r="A1219" s="11">
        <f t="shared" si="18"/>
        <v>8708046</v>
      </c>
      <c r="B1219" s="17">
        <v>8708046</v>
      </c>
      <c r="C1219" s="17" t="s">
        <v>1820</v>
      </c>
      <c r="D1219" s="17">
        <v>1300</v>
      </c>
      <c r="E1219" s="17">
        <v>1</v>
      </c>
      <c r="F1219" s="7" t="str">
        <f>IF(A1219=IFERROR(VLOOKUP(A1219,CATALOGO!$B$2:$B$600,1,FALSE),"Falta"),"", "Falta")</f>
        <v/>
      </c>
    </row>
    <row r="1220" spans="1:6" x14ac:dyDescent="0.25">
      <c r="A1220" s="11">
        <f t="shared" si="18"/>
        <v>8708047</v>
      </c>
      <c r="B1220" s="17">
        <v>8708047</v>
      </c>
      <c r="C1220" s="17" t="s">
        <v>1821</v>
      </c>
      <c r="D1220" s="17">
        <v>1300</v>
      </c>
      <c r="E1220" s="17">
        <v>6</v>
      </c>
      <c r="F1220" s="7" t="str">
        <f>IF(A1220=IFERROR(VLOOKUP(A1220,CATALOGO!$B$2:$B$600,1,FALSE),"Falta"),"", "Falta")</f>
        <v/>
      </c>
    </row>
    <row r="1221" spans="1:6" x14ac:dyDescent="0.25">
      <c r="A1221" s="11">
        <f t="shared" si="18"/>
        <v>8708052</v>
      </c>
      <c r="B1221" s="17">
        <v>8708052</v>
      </c>
      <c r="C1221" s="17" t="s">
        <v>1427</v>
      </c>
      <c r="D1221" s="17">
        <v>2900</v>
      </c>
      <c r="E1221" s="17">
        <v>3</v>
      </c>
      <c r="F1221" s="7" t="str">
        <f>IF(A1221=IFERROR(VLOOKUP(A1221,CATALOGO!$B$2:$B$600,1,FALSE),"Falta"),"", "Falta")</f>
        <v>Falta</v>
      </c>
    </row>
    <row r="1222" spans="1:6" x14ac:dyDescent="0.25">
      <c r="A1222" s="11">
        <f t="shared" ref="A1222:A1285" si="19">IFERROR(B1222*1,"")</f>
        <v>8708054</v>
      </c>
      <c r="B1222" s="17">
        <v>8708054</v>
      </c>
      <c r="C1222" s="17" t="s">
        <v>1002</v>
      </c>
      <c r="D1222" s="17">
        <v>2900</v>
      </c>
      <c r="E1222" s="17">
        <v>3</v>
      </c>
      <c r="F1222" s="7" t="str">
        <f>IF(A1222=IFERROR(VLOOKUP(A1222,CATALOGO!$B$2:$B$600,1,FALSE),"Falta"),"", "Falta")</f>
        <v/>
      </c>
    </row>
    <row r="1223" spans="1:6" x14ac:dyDescent="0.25">
      <c r="A1223" s="11">
        <f t="shared" si="19"/>
        <v>8708055</v>
      </c>
      <c r="B1223" s="17">
        <v>8708055</v>
      </c>
      <c r="C1223" s="17" t="s">
        <v>1000</v>
      </c>
      <c r="D1223" s="17">
        <v>2990</v>
      </c>
      <c r="E1223" s="17">
        <v>2</v>
      </c>
      <c r="F1223" s="7" t="str">
        <f>IF(A1223=IFERROR(VLOOKUP(A1223,CATALOGO!$B$2:$B$600,1,FALSE),"Falta"),"", "Falta")</f>
        <v/>
      </c>
    </row>
    <row r="1224" spans="1:6" x14ac:dyDescent="0.25">
      <c r="A1224" s="11">
        <f t="shared" si="19"/>
        <v>8708057</v>
      </c>
      <c r="B1224" s="17">
        <v>8708057</v>
      </c>
      <c r="C1224" s="17" t="s">
        <v>1003</v>
      </c>
      <c r="D1224" s="17">
        <v>2990</v>
      </c>
      <c r="E1224" s="17">
        <v>2</v>
      </c>
      <c r="F1224" s="7" t="str">
        <f>IF(A1224=IFERROR(VLOOKUP(A1224,CATALOGO!$B$2:$B$600,1,FALSE),"Falta"),"", "Falta")</f>
        <v/>
      </c>
    </row>
    <row r="1225" spans="1:6" x14ac:dyDescent="0.25">
      <c r="A1225" s="11">
        <f t="shared" si="19"/>
        <v>8708058</v>
      </c>
      <c r="B1225" s="17">
        <v>8708058</v>
      </c>
      <c r="C1225" s="17" t="s">
        <v>999</v>
      </c>
      <c r="D1225" s="17">
        <v>2990</v>
      </c>
      <c r="E1225" s="17">
        <v>1</v>
      </c>
      <c r="F1225" s="7" t="str">
        <f>IF(A1225=IFERROR(VLOOKUP(A1225,CATALOGO!$B$2:$B$600,1,FALSE),"Falta"),"", "Falta")</f>
        <v>Falta</v>
      </c>
    </row>
    <row r="1226" spans="1:6" x14ac:dyDescent="0.25">
      <c r="A1226" s="11">
        <f t="shared" si="19"/>
        <v>8708100</v>
      </c>
      <c r="B1226" s="17">
        <v>8708100</v>
      </c>
      <c r="C1226" s="17" t="s">
        <v>977</v>
      </c>
      <c r="D1226" s="17">
        <v>6100</v>
      </c>
      <c r="E1226" s="17">
        <v>27</v>
      </c>
      <c r="F1226" s="7" t="str">
        <f>IF(A1226=IFERROR(VLOOKUP(A1226,CATALOGO!$B$2:$B$600,1,FALSE),"Falta"),"", "Falta")</f>
        <v/>
      </c>
    </row>
    <row r="1227" spans="1:6" x14ac:dyDescent="0.25">
      <c r="A1227" s="11">
        <f t="shared" si="19"/>
        <v>8708101</v>
      </c>
      <c r="B1227" s="17">
        <v>8708101</v>
      </c>
      <c r="C1227" s="17" t="s">
        <v>966</v>
      </c>
      <c r="D1227" s="17">
        <v>5700</v>
      </c>
      <c r="E1227" s="17">
        <v>7</v>
      </c>
      <c r="F1227" s="7" t="str">
        <f>IF(A1227=IFERROR(VLOOKUP(A1227,CATALOGO!$B$2:$B$600,1,FALSE),"Falta"),"", "Falta")</f>
        <v/>
      </c>
    </row>
    <row r="1228" spans="1:6" x14ac:dyDescent="0.25">
      <c r="A1228" s="11">
        <f t="shared" si="19"/>
        <v>8708102</v>
      </c>
      <c r="B1228" s="17">
        <v>8708102</v>
      </c>
      <c r="C1228" s="17" t="s">
        <v>962</v>
      </c>
      <c r="D1228" s="17">
        <v>9500</v>
      </c>
      <c r="E1228" s="17">
        <v>7</v>
      </c>
      <c r="F1228" s="7" t="str">
        <f>IF(A1228=IFERROR(VLOOKUP(A1228,CATALOGO!$B$2:$B$600,1,FALSE),"Falta"),"", "Falta")</f>
        <v/>
      </c>
    </row>
    <row r="1229" spans="1:6" x14ac:dyDescent="0.25">
      <c r="A1229" s="11">
        <f t="shared" si="19"/>
        <v>8708103</v>
      </c>
      <c r="B1229" s="17">
        <v>8708103</v>
      </c>
      <c r="C1229" s="17" t="s">
        <v>976</v>
      </c>
      <c r="D1229" s="17">
        <v>6100</v>
      </c>
      <c r="E1229" s="17">
        <v>19</v>
      </c>
      <c r="F1229" s="7" t="str">
        <f>IF(A1229=IFERROR(VLOOKUP(A1229,CATALOGO!$B$2:$B$600,1,FALSE),"Falta"),"", "Falta")</f>
        <v/>
      </c>
    </row>
    <row r="1230" spans="1:6" x14ac:dyDescent="0.25">
      <c r="A1230" s="11">
        <f t="shared" si="19"/>
        <v>8708104</v>
      </c>
      <c r="B1230" s="17">
        <v>8708104</v>
      </c>
      <c r="C1230" s="17" t="s">
        <v>38</v>
      </c>
      <c r="D1230" s="17">
        <v>400</v>
      </c>
      <c r="E1230" s="17">
        <v>23</v>
      </c>
      <c r="F1230" s="7" t="str">
        <f>IF(A1230=IFERROR(VLOOKUP(A1230,CATALOGO!$B$2:$B$600,1,FALSE),"Falta"),"", "Falta")</f>
        <v>Falta</v>
      </c>
    </row>
    <row r="1231" spans="1:6" x14ac:dyDescent="0.25">
      <c r="A1231" s="11">
        <f t="shared" si="19"/>
        <v>8708105</v>
      </c>
      <c r="B1231" s="17">
        <v>8708105</v>
      </c>
      <c r="C1231" s="17" t="s">
        <v>1005</v>
      </c>
      <c r="D1231" s="17">
        <v>3100</v>
      </c>
      <c r="E1231" s="17">
        <v>3</v>
      </c>
      <c r="F1231" s="7" t="str">
        <f>IF(A1231=IFERROR(VLOOKUP(A1231,CATALOGO!$B$2:$B$600,1,FALSE),"Falta"),"", "Falta")</f>
        <v/>
      </c>
    </row>
    <row r="1232" spans="1:6" x14ac:dyDescent="0.25">
      <c r="A1232" s="11">
        <f t="shared" si="19"/>
        <v>8708110</v>
      </c>
      <c r="B1232" s="17">
        <v>8708110</v>
      </c>
      <c r="C1232" s="17" t="s">
        <v>1824</v>
      </c>
      <c r="D1232" s="17">
        <v>2800</v>
      </c>
      <c r="E1232" s="17">
        <v>10</v>
      </c>
      <c r="F1232" s="7" t="str">
        <f>IF(A1232=IFERROR(VLOOKUP(A1232,CATALOGO!$B$2:$B$600,1,FALSE),"Falta"),"", "Falta")</f>
        <v>Falta</v>
      </c>
    </row>
    <row r="1233" spans="1:6" x14ac:dyDescent="0.25">
      <c r="A1233" s="11">
        <f t="shared" si="19"/>
        <v>8708111</v>
      </c>
      <c r="B1233" s="17">
        <v>8708111</v>
      </c>
      <c r="C1233" s="17" t="s">
        <v>407</v>
      </c>
      <c r="D1233" s="17">
        <v>4100</v>
      </c>
      <c r="E1233" s="17">
        <v>22</v>
      </c>
      <c r="F1233" s="7" t="str">
        <f>IF(A1233=IFERROR(VLOOKUP(A1233,CATALOGO!$B$2:$B$600,1,FALSE),"Falta"),"", "Falta")</f>
        <v>Falta</v>
      </c>
    </row>
    <row r="1234" spans="1:6" x14ac:dyDescent="0.25">
      <c r="A1234" s="11">
        <f t="shared" si="19"/>
        <v>8708112</v>
      </c>
      <c r="B1234" s="17">
        <v>8708112</v>
      </c>
      <c r="C1234" s="17" t="s">
        <v>408</v>
      </c>
      <c r="D1234" s="17">
        <v>4900</v>
      </c>
      <c r="E1234" s="17">
        <v>48</v>
      </c>
      <c r="F1234" s="7" t="str">
        <f>IF(A1234=IFERROR(VLOOKUP(A1234,CATALOGO!$B$2:$B$600,1,FALSE),"Falta"),"", "Falta")</f>
        <v>Falta</v>
      </c>
    </row>
    <row r="1235" spans="1:6" x14ac:dyDescent="0.25">
      <c r="A1235" s="11">
        <f t="shared" si="19"/>
        <v>8708113</v>
      </c>
      <c r="B1235" s="17">
        <v>8708113</v>
      </c>
      <c r="C1235" s="17" t="s">
        <v>405</v>
      </c>
      <c r="D1235" s="17">
        <v>6000</v>
      </c>
      <c r="E1235" s="17">
        <v>85</v>
      </c>
      <c r="F1235" s="7" t="str">
        <f>IF(A1235=IFERROR(VLOOKUP(A1235,CATALOGO!$B$2:$B$600,1,FALSE),"Falta"),"", "Falta")</f>
        <v>Falta</v>
      </c>
    </row>
    <row r="1236" spans="1:6" x14ac:dyDescent="0.25">
      <c r="A1236" s="11">
        <f t="shared" si="19"/>
        <v>8708114</v>
      </c>
      <c r="B1236" s="17">
        <v>8708114</v>
      </c>
      <c r="C1236" s="17" t="s">
        <v>975</v>
      </c>
      <c r="D1236" s="17">
        <v>6100</v>
      </c>
      <c r="E1236" s="17">
        <v>26</v>
      </c>
      <c r="F1236" s="7" t="str">
        <f>IF(A1236=IFERROR(VLOOKUP(A1236,CATALOGO!$B$2:$B$600,1,FALSE),"Falta"),"", "Falta")</f>
        <v/>
      </c>
    </row>
    <row r="1237" spans="1:6" x14ac:dyDescent="0.25">
      <c r="A1237" s="11">
        <f t="shared" si="19"/>
        <v>8708116</v>
      </c>
      <c r="B1237" s="17">
        <v>8708116</v>
      </c>
      <c r="C1237" s="17" t="s">
        <v>1825</v>
      </c>
      <c r="D1237" s="17">
        <v>7900</v>
      </c>
      <c r="E1237" s="17">
        <v>27</v>
      </c>
      <c r="F1237" s="7" t="str">
        <f>IF(A1237=IFERROR(VLOOKUP(A1237,CATALOGO!$B$2:$B$600,1,FALSE),"Falta"),"", "Falta")</f>
        <v>Falta</v>
      </c>
    </row>
    <row r="1238" spans="1:6" x14ac:dyDescent="0.25">
      <c r="A1238" s="11">
        <f t="shared" si="19"/>
        <v>8708117</v>
      </c>
      <c r="B1238" s="17">
        <v>8708117</v>
      </c>
      <c r="C1238" s="17" t="s">
        <v>987</v>
      </c>
      <c r="D1238" s="17">
        <v>3990</v>
      </c>
      <c r="E1238" s="17">
        <v>2</v>
      </c>
      <c r="F1238" s="7" t="str">
        <f>IF(A1238=IFERROR(VLOOKUP(A1238,CATALOGO!$B$2:$B$600,1,FALSE),"Falta"),"", "Falta")</f>
        <v/>
      </c>
    </row>
    <row r="1239" spans="1:6" x14ac:dyDescent="0.25">
      <c r="A1239" s="11">
        <f t="shared" si="19"/>
        <v>8708120</v>
      </c>
      <c r="B1239" s="17">
        <v>8708120</v>
      </c>
      <c r="C1239" s="17" t="s">
        <v>978</v>
      </c>
      <c r="D1239" s="17">
        <v>6100</v>
      </c>
      <c r="E1239" s="17">
        <v>12</v>
      </c>
      <c r="F1239" s="7" t="str">
        <f>IF(A1239=IFERROR(VLOOKUP(A1239,CATALOGO!$B$2:$B$600,1,FALSE),"Falta"),"", "Falta")</f>
        <v/>
      </c>
    </row>
    <row r="1240" spans="1:6" x14ac:dyDescent="0.25">
      <c r="A1240" s="11">
        <f t="shared" si="19"/>
        <v>8708121</v>
      </c>
      <c r="B1240" s="17">
        <v>8708121</v>
      </c>
      <c r="C1240" s="17" t="s">
        <v>994</v>
      </c>
      <c r="D1240" s="17">
        <v>4500</v>
      </c>
      <c r="E1240" s="17">
        <v>38</v>
      </c>
      <c r="F1240" s="7" t="str">
        <f>IF(A1240=IFERROR(VLOOKUP(A1240,CATALOGO!$B$2:$B$600,1,FALSE),"Falta"),"", "Falta")</f>
        <v/>
      </c>
    </row>
    <row r="1241" spans="1:6" x14ac:dyDescent="0.25">
      <c r="A1241" s="11">
        <f t="shared" si="19"/>
        <v>8708123</v>
      </c>
      <c r="B1241" s="17">
        <v>8708123</v>
      </c>
      <c r="C1241" s="17" t="s">
        <v>967</v>
      </c>
      <c r="D1241" s="17">
        <v>5700</v>
      </c>
      <c r="E1241" s="17">
        <v>7</v>
      </c>
      <c r="F1241" s="7" t="str">
        <f>IF(A1241=IFERROR(VLOOKUP(A1241,CATALOGO!$B$2:$B$600,1,FALSE),"Falta"),"", "Falta")</f>
        <v/>
      </c>
    </row>
    <row r="1242" spans="1:6" x14ac:dyDescent="0.25">
      <c r="A1242" s="11">
        <f t="shared" si="19"/>
        <v>8708124</v>
      </c>
      <c r="B1242" s="17">
        <v>8708124</v>
      </c>
      <c r="C1242" s="17" t="s">
        <v>995</v>
      </c>
      <c r="D1242" s="17">
        <v>4500</v>
      </c>
      <c r="E1242" s="17">
        <v>2</v>
      </c>
      <c r="F1242" s="7" t="str">
        <f>IF(A1242=IFERROR(VLOOKUP(A1242,CATALOGO!$B$2:$B$600,1,FALSE),"Falta"),"", "Falta")</f>
        <v>Falta</v>
      </c>
    </row>
    <row r="1243" spans="1:6" x14ac:dyDescent="0.25">
      <c r="A1243" s="11">
        <f t="shared" si="19"/>
        <v>8708125</v>
      </c>
      <c r="B1243" s="17">
        <v>8708125</v>
      </c>
      <c r="C1243" s="17" t="s">
        <v>992</v>
      </c>
      <c r="D1243" s="17">
        <v>4500</v>
      </c>
      <c r="E1243" s="17">
        <v>1</v>
      </c>
      <c r="F1243" s="7" t="str">
        <f>IF(A1243=IFERROR(VLOOKUP(A1243,CATALOGO!$B$2:$B$600,1,FALSE),"Falta"),"", "Falta")</f>
        <v>Falta</v>
      </c>
    </row>
    <row r="1244" spans="1:6" x14ac:dyDescent="0.25">
      <c r="A1244" s="11">
        <f t="shared" si="19"/>
        <v>8708126</v>
      </c>
      <c r="B1244" s="17">
        <v>8708126</v>
      </c>
      <c r="C1244" s="17" t="s">
        <v>991</v>
      </c>
      <c r="D1244" s="17">
        <v>4500</v>
      </c>
      <c r="E1244" s="17">
        <v>3</v>
      </c>
      <c r="F1244" s="7" t="str">
        <f>IF(A1244=IFERROR(VLOOKUP(A1244,CATALOGO!$B$2:$B$600,1,FALSE),"Falta"),"", "Falta")</f>
        <v>Falta</v>
      </c>
    </row>
    <row r="1245" spans="1:6" x14ac:dyDescent="0.25">
      <c r="A1245" s="11">
        <f t="shared" si="19"/>
        <v>8708127</v>
      </c>
      <c r="B1245" s="17">
        <v>8708127</v>
      </c>
      <c r="C1245" s="17" t="s">
        <v>993</v>
      </c>
      <c r="D1245" s="17">
        <v>4500</v>
      </c>
      <c r="E1245" s="17">
        <v>2</v>
      </c>
      <c r="F1245" s="7" t="str">
        <f>IF(A1245=IFERROR(VLOOKUP(A1245,CATALOGO!$B$2:$B$600,1,FALSE),"Falta"),"", "Falta")</f>
        <v/>
      </c>
    </row>
    <row r="1246" spans="1:6" x14ac:dyDescent="0.25">
      <c r="A1246" s="11">
        <f t="shared" si="19"/>
        <v>8708129</v>
      </c>
      <c r="B1246" s="17">
        <v>8708129</v>
      </c>
      <c r="C1246" s="17" t="s">
        <v>986</v>
      </c>
      <c r="D1246" s="17">
        <v>3990</v>
      </c>
      <c r="E1246" s="17">
        <v>1</v>
      </c>
      <c r="F1246" s="7" t="str">
        <f>IF(A1246=IFERROR(VLOOKUP(A1246,CATALOGO!$B$2:$B$600,1,FALSE),"Falta"),"", "Falta")</f>
        <v>Falta</v>
      </c>
    </row>
    <row r="1247" spans="1:6" x14ac:dyDescent="0.25">
      <c r="A1247" s="11">
        <f t="shared" si="19"/>
        <v>8708130</v>
      </c>
      <c r="B1247" s="17">
        <v>8708130</v>
      </c>
      <c r="C1247" s="17" t="s">
        <v>1424</v>
      </c>
      <c r="D1247" s="17">
        <v>3990</v>
      </c>
      <c r="E1247" s="17">
        <v>23</v>
      </c>
      <c r="F1247" s="7" t="str">
        <f>IF(A1247=IFERROR(VLOOKUP(A1247,CATALOGO!$B$2:$B$600,1,FALSE),"Falta"),"", "Falta")</f>
        <v>Falta</v>
      </c>
    </row>
    <row r="1248" spans="1:6" x14ac:dyDescent="0.25">
      <c r="A1248" s="11">
        <f t="shared" si="19"/>
        <v>8708196</v>
      </c>
      <c r="B1248" s="17">
        <v>8708196</v>
      </c>
      <c r="C1248" s="17" t="s">
        <v>1019</v>
      </c>
      <c r="D1248" s="17">
        <v>1515.35</v>
      </c>
      <c r="E1248" s="17">
        <v>91</v>
      </c>
      <c r="F1248" s="7" t="str">
        <f>IF(A1248=IFERROR(VLOOKUP(A1248,CATALOGO!$B$2:$B$600,1,FALSE),"Falta"),"", "Falta")</f>
        <v/>
      </c>
    </row>
    <row r="1249" spans="1:6" x14ac:dyDescent="0.25">
      <c r="A1249" s="11">
        <f t="shared" si="19"/>
        <v>8708202</v>
      </c>
      <c r="B1249" s="17">
        <v>8708202</v>
      </c>
      <c r="C1249" s="17" t="s">
        <v>1039</v>
      </c>
      <c r="D1249" s="17">
        <v>1682.19</v>
      </c>
      <c r="E1249" s="17">
        <v>1</v>
      </c>
      <c r="F1249" s="7" t="str">
        <f>IF(A1249=IFERROR(VLOOKUP(A1249,CATALOGO!$B$2:$B$600,1,FALSE),"Falta"),"", "Falta")</f>
        <v>Falta</v>
      </c>
    </row>
    <row r="1250" spans="1:6" x14ac:dyDescent="0.25">
      <c r="A1250" s="11">
        <f t="shared" si="19"/>
        <v>8708204</v>
      </c>
      <c r="B1250" s="17">
        <v>8708204</v>
      </c>
      <c r="C1250" s="17" t="s">
        <v>1014</v>
      </c>
      <c r="D1250" s="17">
        <v>1814.99</v>
      </c>
      <c r="E1250" s="17">
        <v>2</v>
      </c>
      <c r="F1250" s="7" t="str">
        <f>IF(A1250=IFERROR(VLOOKUP(A1250,CATALOGO!$B$2:$B$600,1,FALSE),"Falta"),"", "Falta")</f>
        <v>Falta</v>
      </c>
    </row>
    <row r="1251" spans="1:6" x14ac:dyDescent="0.25">
      <c r="A1251" s="11">
        <f t="shared" si="19"/>
        <v>8708205</v>
      </c>
      <c r="B1251" s="17">
        <v>8708205</v>
      </c>
      <c r="C1251" s="17" t="s">
        <v>1017</v>
      </c>
      <c r="D1251" s="17">
        <v>1835.25</v>
      </c>
      <c r="E1251" s="17">
        <v>1</v>
      </c>
      <c r="F1251" s="7" t="str">
        <f>IF(A1251=IFERROR(VLOOKUP(A1251,CATALOGO!$B$2:$B$600,1,FALSE),"Falta"),"", "Falta")</f>
        <v>Falta</v>
      </c>
    </row>
    <row r="1252" spans="1:6" x14ac:dyDescent="0.25">
      <c r="A1252" s="11">
        <f t="shared" si="19"/>
        <v>8708206</v>
      </c>
      <c r="B1252" s="17">
        <v>8708206</v>
      </c>
      <c r="C1252" s="17" t="s">
        <v>1826</v>
      </c>
      <c r="D1252" s="17">
        <v>1835.25</v>
      </c>
      <c r="E1252" s="17">
        <v>4</v>
      </c>
      <c r="F1252" s="7" t="str">
        <f>IF(A1252=IFERROR(VLOOKUP(A1252,CATALOGO!$B$2:$B$600,1,FALSE),"Falta"),"", "Falta")</f>
        <v>Falta</v>
      </c>
    </row>
    <row r="1253" spans="1:6" x14ac:dyDescent="0.25">
      <c r="A1253" s="11">
        <f t="shared" si="19"/>
        <v>8708207</v>
      </c>
      <c r="B1253" s="17">
        <v>8708207</v>
      </c>
      <c r="C1253" s="17" t="s">
        <v>1016</v>
      </c>
      <c r="D1253" s="17">
        <v>1996.5</v>
      </c>
      <c r="E1253" s="17">
        <v>9</v>
      </c>
      <c r="F1253" s="7" t="str">
        <f>IF(A1253=IFERROR(VLOOKUP(A1253,CATALOGO!$B$2:$B$600,1,FALSE),"Falta"),"", "Falta")</f>
        <v>Falta</v>
      </c>
    </row>
    <row r="1254" spans="1:6" x14ac:dyDescent="0.25">
      <c r="A1254" s="11">
        <f t="shared" si="19"/>
        <v>8708210</v>
      </c>
      <c r="B1254" s="17">
        <v>8708210</v>
      </c>
      <c r="C1254" s="17" t="s">
        <v>1023</v>
      </c>
      <c r="D1254" s="17">
        <v>1814.99</v>
      </c>
      <c r="E1254" s="17">
        <v>8</v>
      </c>
      <c r="F1254" s="7" t="str">
        <f>IF(A1254=IFERROR(VLOOKUP(A1254,CATALOGO!$B$2:$B$600,1,FALSE),"Falta"),"", "Falta")</f>
        <v>Falta</v>
      </c>
    </row>
    <row r="1255" spans="1:6" x14ac:dyDescent="0.25">
      <c r="A1255" s="11">
        <f t="shared" si="19"/>
        <v>8708211</v>
      </c>
      <c r="B1255" s="17">
        <v>8708211</v>
      </c>
      <c r="C1255" s="17" t="s">
        <v>1009</v>
      </c>
      <c r="D1255" s="17">
        <v>2177.9899999999998</v>
      </c>
      <c r="E1255" s="17">
        <v>1</v>
      </c>
      <c r="F1255" s="7" t="str">
        <f>IF(A1255=IFERROR(VLOOKUP(A1255,CATALOGO!$B$2:$B$600,1,FALSE),"Falta"),"", "Falta")</f>
        <v>Falta</v>
      </c>
    </row>
    <row r="1256" spans="1:6" x14ac:dyDescent="0.25">
      <c r="A1256" s="11">
        <f t="shared" si="19"/>
        <v>8708213</v>
      </c>
      <c r="B1256" s="17">
        <v>8708213</v>
      </c>
      <c r="C1256" s="17" t="s">
        <v>1018</v>
      </c>
      <c r="D1256" s="17">
        <v>2141.38</v>
      </c>
      <c r="E1256" s="17">
        <v>5</v>
      </c>
      <c r="F1256" s="7" t="str">
        <f>IF(A1256=IFERROR(VLOOKUP(A1256,CATALOGO!$B$2:$B$600,1,FALSE),"Falta"),"", "Falta")</f>
        <v/>
      </c>
    </row>
    <row r="1257" spans="1:6" x14ac:dyDescent="0.25">
      <c r="A1257" s="11">
        <f t="shared" si="19"/>
        <v>8708226</v>
      </c>
      <c r="B1257" s="17">
        <v>8708226</v>
      </c>
      <c r="C1257" s="17" t="s">
        <v>980</v>
      </c>
      <c r="D1257" s="17">
        <v>5900</v>
      </c>
      <c r="E1257" s="17">
        <v>8</v>
      </c>
      <c r="F1257" s="7" t="str">
        <f>IF(A1257=IFERROR(VLOOKUP(A1257,CATALOGO!$B$2:$B$600,1,FALSE),"Falta"),"", "Falta")</f>
        <v/>
      </c>
    </row>
    <row r="1258" spans="1:6" x14ac:dyDescent="0.25">
      <c r="A1258" s="11">
        <f t="shared" si="19"/>
        <v>8708227</v>
      </c>
      <c r="B1258" s="17">
        <v>8708227</v>
      </c>
      <c r="C1258" s="17" t="s">
        <v>989</v>
      </c>
      <c r="D1258" s="17">
        <v>5990</v>
      </c>
      <c r="E1258" s="17">
        <v>36</v>
      </c>
      <c r="F1258" s="7" t="str">
        <f>IF(A1258=IFERROR(VLOOKUP(A1258,CATALOGO!$B$2:$B$600,1,FALSE),"Falta"),"", "Falta")</f>
        <v/>
      </c>
    </row>
    <row r="1259" spans="1:6" x14ac:dyDescent="0.25">
      <c r="A1259" s="11">
        <f t="shared" si="19"/>
        <v>8708228</v>
      </c>
      <c r="B1259" s="17">
        <v>8708228</v>
      </c>
      <c r="C1259" s="17" t="s">
        <v>1008</v>
      </c>
      <c r="D1259" s="17">
        <v>302.5</v>
      </c>
      <c r="E1259" s="17">
        <v>1</v>
      </c>
      <c r="F1259" s="7" t="str">
        <f>IF(A1259=IFERROR(VLOOKUP(A1259,CATALOGO!$B$2:$B$600,1,FALSE),"Falta"),"", "Falta")</f>
        <v>Falta</v>
      </c>
    </row>
    <row r="1260" spans="1:6" x14ac:dyDescent="0.25">
      <c r="A1260" s="11">
        <f t="shared" si="19"/>
        <v>8708249</v>
      </c>
      <c r="B1260" s="17">
        <v>8708249</v>
      </c>
      <c r="C1260" s="17" t="s">
        <v>1426</v>
      </c>
      <c r="D1260" s="17">
        <v>3100</v>
      </c>
      <c r="E1260" s="17">
        <v>26</v>
      </c>
      <c r="F1260" s="7" t="str">
        <f>IF(A1260=IFERROR(VLOOKUP(A1260,CATALOGO!$B$2:$B$600,1,FALSE),"Falta"),"", "Falta")</f>
        <v>Falta</v>
      </c>
    </row>
    <row r="1261" spans="1:6" x14ac:dyDescent="0.25">
      <c r="A1261" s="11">
        <f t="shared" si="19"/>
        <v>8708255</v>
      </c>
      <c r="B1261" s="17">
        <v>8708255</v>
      </c>
      <c r="C1261" s="17" t="s">
        <v>5</v>
      </c>
      <c r="D1261" s="17">
        <v>990</v>
      </c>
      <c r="E1261" s="17">
        <v>1</v>
      </c>
      <c r="F1261" s="7" t="str">
        <f>IF(A1261=IFERROR(VLOOKUP(A1261,CATALOGO!$B$2:$B$600,1,FALSE),"Falta"),"", "Falta")</f>
        <v>Falta</v>
      </c>
    </row>
    <row r="1262" spans="1:6" x14ac:dyDescent="0.25">
      <c r="A1262" s="11">
        <f t="shared" si="19"/>
        <v>8708300</v>
      </c>
      <c r="B1262" s="17">
        <v>8708300</v>
      </c>
      <c r="C1262" s="17" t="s">
        <v>1417</v>
      </c>
      <c r="D1262" s="17">
        <v>6200</v>
      </c>
      <c r="E1262" s="17">
        <v>17</v>
      </c>
      <c r="F1262" s="7" t="str">
        <f>IF(A1262=IFERROR(VLOOKUP(A1262,CATALOGO!$B$2:$B$600,1,FALSE),"Falta"),"", "Falta")</f>
        <v>Falta</v>
      </c>
    </row>
    <row r="1263" spans="1:6" x14ac:dyDescent="0.25">
      <c r="A1263" s="11">
        <f t="shared" si="19"/>
        <v>8708301</v>
      </c>
      <c r="B1263" s="17">
        <v>8708301</v>
      </c>
      <c r="C1263" s="17" t="s">
        <v>1827</v>
      </c>
      <c r="D1263" s="17">
        <v>6200</v>
      </c>
      <c r="E1263" s="17">
        <v>9</v>
      </c>
      <c r="F1263" s="7" t="str">
        <f>IF(A1263=IFERROR(VLOOKUP(A1263,CATALOGO!$B$2:$B$600,1,FALSE),"Falta"),"", "Falta")</f>
        <v>Falta</v>
      </c>
    </row>
    <row r="1264" spans="1:6" x14ac:dyDescent="0.25">
      <c r="A1264" s="11">
        <f t="shared" si="19"/>
        <v>8708315</v>
      </c>
      <c r="B1264" s="17">
        <v>8708315</v>
      </c>
      <c r="C1264" s="17" t="s">
        <v>972</v>
      </c>
      <c r="D1264" s="17">
        <v>5900</v>
      </c>
      <c r="E1264" s="17">
        <v>1</v>
      </c>
      <c r="F1264" s="7" t="str">
        <f>IF(A1264=IFERROR(VLOOKUP(A1264,CATALOGO!$B$2:$B$600,1,FALSE),"Falta"),"", "Falta")</f>
        <v/>
      </c>
    </row>
    <row r="1265" spans="1:6" x14ac:dyDescent="0.25">
      <c r="A1265" s="11">
        <f t="shared" si="19"/>
        <v>8708550</v>
      </c>
      <c r="B1265" s="17">
        <v>8708550</v>
      </c>
      <c r="C1265" s="17" t="s">
        <v>1425</v>
      </c>
      <c r="D1265" s="17">
        <v>1300</v>
      </c>
      <c r="E1265" s="17">
        <v>39</v>
      </c>
      <c r="F1265" s="7" t="str">
        <f>IF(A1265=IFERROR(VLOOKUP(A1265,CATALOGO!$B$2:$B$600,1,FALSE),"Falta"),"", "Falta")</f>
        <v/>
      </c>
    </row>
    <row r="1266" spans="1:6" x14ac:dyDescent="0.25">
      <c r="A1266" s="11">
        <f t="shared" si="19"/>
        <v>8708601</v>
      </c>
      <c r="B1266" s="17">
        <v>8708601</v>
      </c>
      <c r="C1266" s="17" t="s">
        <v>981</v>
      </c>
      <c r="D1266" s="17">
        <v>2700</v>
      </c>
      <c r="E1266" s="17">
        <v>213</v>
      </c>
      <c r="F1266" s="7" t="str">
        <f>IF(A1266=IFERROR(VLOOKUP(A1266,CATALOGO!$B$2:$B$600,1,FALSE),"Falta"),"", "Falta")</f>
        <v/>
      </c>
    </row>
    <row r="1267" spans="1:6" x14ac:dyDescent="0.25">
      <c r="A1267" s="11">
        <f t="shared" si="19"/>
        <v>8708602</v>
      </c>
      <c r="B1267" s="17">
        <v>8708602</v>
      </c>
      <c r="C1267" s="17" t="s">
        <v>954</v>
      </c>
      <c r="D1267" s="17">
        <v>2800</v>
      </c>
      <c r="E1267" s="17">
        <v>120</v>
      </c>
      <c r="F1267" s="7" t="str">
        <f>IF(A1267=IFERROR(VLOOKUP(A1267,CATALOGO!$B$2:$B$600,1,FALSE),"Falta"),"", "Falta")</f>
        <v/>
      </c>
    </row>
    <row r="1268" spans="1:6" x14ac:dyDescent="0.25">
      <c r="A1268" s="11">
        <f t="shared" si="19"/>
        <v>8708603</v>
      </c>
      <c r="B1268" s="17">
        <v>8708603</v>
      </c>
      <c r="C1268" s="17" t="s">
        <v>974</v>
      </c>
      <c r="D1268" s="17">
        <v>3900</v>
      </c>
      <c r="E1268" s="17">
        <v>33</v>
      </c>
      <c r="F1268" s="7" t="str">
        <f>IF(A1268=IFERROR(VLOOKUP(A1268,CATALOGO!$B$2:$B$600,1,FALSE),"Falta"),"", "Falta")</f>
        <v/>
      </c>
    </row>
    <row r="1269" spans="1:6" x14ac:dyDescent="0.25">
      <c r="A1269" s="11">
        <f t="shared" si="19"/>
        <v>8708604</v>
      </c>
      <c r="B1269" s="17">
        <v>8708604</v>
      </c>
      <c r="C1269" s="17" t="s">
        <v>983</v>
      </c>
      <c r="D1269" s="17">
        <v>1999</v>
      </c>
      <c r="E1269" s="17">
        <v>181</v>
      </c>
      <c r="F1269" s="7" t="str">
        <f>IF(A1269=IFERROR(VLOOKUP(A1269,CATALOGO!$B$2:$B$600,1,FALSE),"Falta"),"", "Falta")</f>
        <v/>
      </c>
    </row>
    <row r="1270" spans="1:6" x14ac:dyDescent="0.25">
      <c r="A1270" s="11">
        <f t="shared" si="19"/>
        <v>8708607</v>
      </c>
      <c r="B1270" s="17">
        <v>8708607</v>
      </c>
      <c r="C1270" s="17" t="s">
        <v>965</v>
      </c>
      <c r="D1270" s="17">
        <v>5000</v>
      </c>
      <c r="E1270" s="17">
        <v>114</v>
      </c>
      <c r="F1270" s="7" t="str">
        <f>IF(A1270=IFERROR(VLOOKUP(A1270,CATALOGO!$B$2:$B$600,1,FALSE),"Falta"),"", "Falta")</f>
        <v/>
      </c>
    </row>
    <row r="1271" spans="1:6" x14ac:dyDescent="0.25">
      <c r="A1271" s="11">
        <f t="shared" si="19"/>
        <v>8708608</v>
      </c>
      <c r="B1271" s="17">
        <v>8708608</v>
      </c>
      <c r="C1271" s="17" t="s">
        <v>953</v>
      </c>
      <c r="D1271" s="17">
        <v>6200</v>
      </c>
      <c r="E1271" s="17">
        <v>323</v>
      </c>
      <c r="F1271" s="7" t="str">
        <f>IF(A1271=IFERROR(VLOOKUP(A1271,CATALOGO!$B$2:$B$600,1,FALSE),"Falta"),"", "Falta")</f>
        <v>Falta</v>
      </c>
    </row>
    <row r="1272" spans="1:6" x14ac:dyDescent="0.25">
      <c r="A1272" s="11">
        <f t="shared" si="19"/>
        <v>8708609</v>
      </c>
      <c r="B1272" s="17">
        <v>8708609</v>
      </c>
      <c r="C1272" s="17" t="s">
        <v>973</v>
      </c>
      <c r="D1272" s="17">
        <v>4800</v>
      </c>
      <c r="E1272" s="17">
        <v>53</v>
      </c>
      <c r="F1272" s="7" t="str">
        <f>IF(A1272=IFERROR(VLOOKUP(A1272,CATALOGO!$B$2:$B$600,1,FALSE),"Falta"),"", "Falta")</f>
        <v/>
      </c>
    </row>
    <row r="1273" spans="1:6" x14ac:dyDescent="0.25">
      <c r="A1273" s="11">
        <f t="shared" si="19"/>
        <v>8708610</v>
      </c>
      <c r="B1273" s="17">
        <v>8708610</v>
      </c>
      <c r="C1273" s="17" t="s">
        <v>956</v>
      </c>
      <c r="D1273" s="17">
        <v>3900</v>
      </c>
      <c r="E1273" s="17">
        <v>158</v>
      </c>
      <c r="F1273" s="7" t="str">
        <f>IF(A1273=IFERROR(VLOOKUP(A1273,CATALOGO!$B$2:$B$600,1,FALSE),"Falta"),"", "Falta")</f>
        <v/>
      </c>
    </row>
    <row r="1274" spans="1:6" x14ac:dyDescent="0.25">
      <c r="A1274" s="11">
        <f t="shared" si="19"/>
        <v>8708617</v>
      </c>
      <c r="B1274" s="17">
        <v>8708617</v>
      </c>
      <c r="C1274" s="17" t="s">
        <v>1060</v>
      </c>
      <c r="D1274" s="17">
        <v>1934.79</v>
      </c>
      <c r="E1274" s="17">
        <v>1</v>
      </c>
      <c r="F1274" s="7" t="str">
        <f>IF(A1274=IFERROR(VLOOKUP(A1274,CATALOGO!$B$2:$B$600,1,FALSE),"Falta"),"", "Falta")</f>
        <v>Falta</v>
      </c>
    </row>
    <row r="1275" spans="1:6" x14ac:dyDescent="0.25">
      <c r="A1275" s="11">
        <f t="shared" si="19"/>
        <v>8708618</v>
      </c>
      <c r="B1275" s="17">
        <v>8708618</v>
      </c>
      <c r="C1275" s="17" t="s">
        <v>961</v>
      </c>
      <c r="D1275" s="17">
        <v>2200</v>
      </c>
      <c r="E1275" s="17">
        <v>26</v>
      </c>
      <c r="F1275" s="7" t="str">
        <f>IF(A1275=IFERROR(VLOOKUP(A1275,CATALOGO!$B$2:$B$600,1,FALSE),"Falta"),"", "Falta")</f>
        <v/>
      </c>
    </row>
    <row r="1276" spans="1:6" x14ac:dyDescent="0.25">
      <c r="A1276" s="11">
        <f t="shared" si="19"/>
        <v>8708620</v>
      </c>
      <c r="B1276" s="17">
        <v>8708620</v>
      </c>
      <c r="C1276" s="17" t="s">
        <v>990</v>
      </c>
      <c r="D1276" s="17">
        <v>4700</v>
      </c>
      <c r="E1276" s="17">
        <v>142</v>
      </c>
      <c r="F1276" s="7" t="str">
        <f>IF(A1276=IFERROR(VLOOKUP(A1276,CATALOGO!$B$2:$B$600,1,FALSE),"Falta"),"", "Falta")</f>
        <v/>
      </c>
    </row>
    <row r="1277" spans="1:6" x14ac:dyDescent="0.25">
      <c r="A1277" s="11">
        <f t="shared" si="19"/>
        <v>8708625</v>
      </c>
      <c r="B1277" s="17">
        <v>8708625</v>
      </c>
      <c r="C1277" s="17" t="s">
        <v>960</v>
      </c>
      <c r="D1277" s="17">
        <v>3200</v>
      </c>
      <c r="E1277" s="17">
        <v>150</v>
      </c>
      <c r="F1277" s="7" t="str">
        <f>IF(A1277=IFERROR(VLOOKUP(A1277,CATALOGO!$B$2:$B$600,1,FALSE),"Falta"),"", "Falta")</f>
        <v/>
      </c>
    </row>
    <row r="1278" spans="1:6" x14ac:dyDescent="0.25">
      <c r="A1278" s="11">
        <f t="shared" si="19"/>
        <v>8708628</v>
      </c>
      <c r="B1278" s="17">
        <v>8708628</v>
      </c>
      <c r="C1278" s="17" t="s">
        <v>959</v>
      </c>
      <c r="D1278" s="17">
        <v>4200</v>
      </c>
      <c r="E1278" s="17">
        <v>34</v>
      </c>
      <c r="F1278" s="7" t="str">
        <f>IF(A1278=IFERROR(VLOOKUP(A1278,CATALOGO!$B$2:$B$600,1,FALSE),"Falta"),"", "Falta")</f>
        <v/>
      </c>
    </row>
    <row r="1279" spans="1:6" x14ac:dyDescent="0.25">
      <c r="A1279" s="11">
        <f t="shared" si="19"/>
        <v>8708630</v>
      </c>
      <c r="B1279" s="17">
        <v>8708630</v>
      </c>
      <c r="C1279" s="17" t="s">
        <v>410</v>
      </c>
      <c r="D1279" s="17">
        <v>4838.79</v>
      </c>
      <c r="E1279" s="17">
        <v>37</v>
      </c>
      <c r="F1279" s="7" t="str">
        <f>IF(A1279=IFERROR(VLOOKUP(A1279,CATALOGO!$B$2:$B$600,1,FALSE),"Falta"),"", "Falta")</f>
        <v>Falta</v>
      </c>
    </row>
    <row r="1280" spans="1:6" x14ac:dyDescent="0.25">
      <c r="A1280" s="11">
        <f t="shared" si="19"/>
        <v>8708631</v>
      </c>
      <c r="B1280" s="17">
        <v>8708631</v>
      </c>
      <c r="C1280" s="17" t="s">
        <v>979</v>
      </c>
      <c r="D1280" s="17">
        <v>1100</v>
      </c>
      <c r="E1280" s="17">
        <v>73</v>
      </c>
      <c r="F1280" s="7" t="str">
        <f>IF(A1280=IFERROR(VLOOKUP(A1280,CATALOGO!$B$2:$B$600,1,FALSE),"Falta"),"", "Falta")</f>
        <v/>
      </c>
    </row>
    <row r="1281" spans="1:6" x14ac:dyDescent="0.25">
      <c r="A1281" s="11">
        <f t="shared" si="19"/>
        <v>8708634</v>
      </c>
      <c r="B1281" s="17">
        <v>8708634</v>
      </c>
      <c r="C1281" s="17" t="s">
        <v>1448</v>
      </c>
      <c r="D1281" s="17">
        <v>3400</v>
      </c>
      <c r="E1281" s="17">
        <v>185</v>
      </c>
      <c r="F1281" s="7" t="str">
        <f>IF(A1281=IFERROR(VLOOKUP(A1281,CATALOGO!$B$2:$B$600,1,FALSE),"Falta"),"", "Falta")</f>
        <v/>
      </c>
    </row>
    <row r="1282" spans="1:6" x14ac:dyDescent="0.25">
      <c r="A1282" s="11">
        <f t="shared" si="19"/>
        <v>8708637</v>
      </c>
      <c r="B1282" s="17">
        <v>8708637</v>
      </c>
      <c r="C1282" s="17" t="s">
        <v>955</v>
      </c>
      <c r="D1282" s="17">
        <v>5600</v>
      </c>
      <c r="E1282" s="17">
        <v>85</v>
      </c>
      <c r="F1282" s="7" t="str">
        <f>IF(A1282=IFERROR(VLOOKUP(A1282,CATALOGO!$B$2:$B$600,1,FALSE),"Falta"),"", "Falta")</f>
        <v/>
      </c>
    </row>
    <row r="1283" spans="1:6" x14ac:dyDescent="0.25">
      <c r="A1283" s="11">
        <f t="shared" si="19"/>
        <v>8708639</v>
      </c>
      <c r="B1283" s="17">
        <v>8708639</v>
      </c>
      <c r="C1283" s="17" t="s">
        <v>1436</v>
      </c>
      <c r="D1283" s="17">
        <v>900</v>
      </c>
      <c r="E1283" s="17">
        <v>76</v>
      </c>
      <c r="F1283" s="7" t="str">
        <f>IF(A1283=IFERROR(VLOOKUP(A1283,CATALOGO!$B$2:$B$600,1,FALSE),"Falta"),"", "Falta")</f>
        <v/>
      </c>
    </row>
    <row r="1284" spans="1:6" x14ac:dyDescent="0.25">
      <c r="A1284" s="11">
        <f t="shared" si="19"/>
        <v>8708640</v>
      </c>
      <c r="B1284" s="17">
        <v>8708640</v>
      </c>
      <c r="C1284" s="17" t="s">
        <v>982</v>
      </c>
      <c r="D1284" s="17">
        <v>1500</v>
      </c>
      <c r="E1284" s="17">
        <v>75</v>
      </c>
      <c r="F1284" s="7" t="str">
        <f>IF(A1284=IFERROR(VLOOKUP(A1284,CATALOGO!$B$2:$B$600,1,FALSE),"Falta"),"", "Falta")</f>
        <v/>
      </c>
    </row>
    <row r="1285" spans="1:6" x14ac:dyDescent="0.25">
      <c r="A1285" s="11">
        <f t="shared" si="19"/>
        <v>8708643</v>
      </c>
      <c r="B1285" s="17">
        <v>8708643</v>
      </c>
      <c r="C1285" s="17" t="s">
        <v>957</v>
      </c>
      <c r="D1285" s="17">
        <v>2500</v>
      </c>
      <c r="E1285" s="17">
        <v>296</v>
      </c>
      <c r="F1285" s="7" t="str">
        <f>IF(A1285=IFERROR(VLOOKUP(A1285,CATALOGO!$B$2:$B$600,1,FALSE),"Falta"),"", "Falta")</f>
        <v/>
      </c>
    </row>
    <row r="1286" spans="1:6" x14ac:dyDescent="0.25">
      <c r="A1286" s="11">
        <f t="shared" ref="A1286:A1349" si="20">IFERROR(B1286*1,"")</f>
        <v>8708644</v>
      </c>
      <c r="B1286" s="17">
        <v>8708644</v>
      </c>
      <c r="C1286" s="17" t="s">
        <v>475</v>
      </c>
      <c r="D1286" s="17">
        <v>900</v>
      </c>
      <c r="E1286" s="17">
        <v>76</v>
      </c>
      <c r="F1286" s="7" t="str">
        <f>IF(A1286=IFERROR(VLOOKUP(A1286,CATALOGO!$B$2:$B$600,1,FALSE),"Falta"),"", "Falta")</f>
        <v/>
      </c>
    </row>
    <row r="1287" spans="1:6" x14ac:dyDescent="0.25">
      <c r="A1287" s="11">
        <f t="shared" si="20"/>
        <v>8708657</v>
      </c>
      <c r="B1287" s="17">
        <v>8708657</v>
      </c>
      <c r="C1287" s="17" t="s">
        <v>963</v>
      </c>
      <c r="D1287" s="17">
        <v>2500</v>
      </c>
      <c r="E1287" s="17">
        <v>35</v>
      </c>
      <c r="F1287" s="7" t="str">
        <f>IF(A1287=IFERROR(VLOOKUP(A1287,CATALOGO!$B$2:$B$600,1,FALSE),"Falta"),"", "Falta")</f>
        <v/>
      </c>
    </row>
    <row r="1288" spans="1:6" x14ac:dyDescent="0.25">
      <c r="A1288" s="11">
        <f t="shared" si="20"/>
        <v>8708815</v>
      </c>
      <c r="B1288" s="17">
        <v>8708815</v>
      </c>
      <c r="C1288" s="17" t="s">
        <v>1330</v>
      </c>
      <c r="D1288" s="17">
        <v>1000</v>
      </c>
      <c r="E1288" s="17">
        <v>405</v>
      </c>
      <c r="F1288" s="7" t="str">
        <f>IF(A1288=IFERROR(VLOOKUP(A1288,CATALOGO!$B$2:$B$600,1,FALSE),"Falta"),"", "Falta")</f>
        <v/>
      </c>
    </row>
    <row r="1289" spans="1:6" x14ac:dyDescent="0.25">
      <c r="A1289" s="11">
        <f t="shared" si="20"/>
        <v>8708899</v>
      </c>
      <c r="B1289" s="17">
        <v>8708899</v>
      </c>
      <c r="C1289" s="17" t="s">
        <v>1854</v>
      </c>
      <c r="D1289" s="17">
        <v>7300</v>
      </c>
      <c r="E1289" s="17">
        <v>47</v>
      </c>
      <c r="F1289" s="7" t="str">
        <f>IF(A1289=IFERROR(VLOOKUP(A1289,CATALOGO!$B$2:$B$600,1,FALSE),"Falta"),"", "Falta")</f>
        <v>Falta</v>
      </c>
    </row>
    <row r="1290" spans="1:6" x14ac:dyDescent="0.25">
      <c r="A1290" s="11">
        <f t="shared" si="20"/>
        <v>8711700</v>
      </c>
      <c r="B1290" s="17">
        <v>8711700</v>
      </c>
      <c r="C1290" s="17" t="s">
        <v>1393</v>
      </c>
      <c r="D1290" s="17">
        <v>2400</v>
      </c>
      <c r="E1290" s="17">
        <v>7</v>
      </c>
      <c r="F1290" s="7" t="str">
        <f>IF(A1290=IFERROR(VLOOKUP(A1290,CATALOGO!$B$2:$B$600,1,FALSE),"Falta"),"", "Falta")</f>
        <v/>
      </c>
    </row>
    <row r="1291" spans="1:6" x14ac:dyDescent="0.25">
      <c r="A1291" s="11">
        <f t="shared" si="20"/>
        <v>8711702</v>
      </c>
      <c r="B1291" s="17">
        <v>8711702</v>
      </c>
      <c r="C1291" s="17" t="s">
        <v>1389</v>
      </c>
      <c r="D1291" s="17">
        <v>3450</v>
      </c>
      <c r="E1291" s="17">
        <v>5</v>
      </c>
      <c r="F1291" s="7" t="str">
        <f>IF(A1291=IFERROR(VLOOKUP(A1291,CATALOGO!$B$2:$B$600,1,FALSE),"Falta"),"", "Falta")</f>
        <v>Falta</v>
      </c>
    </row>
    <row r="1292" spans="1:6" x14ac:dyDescent="0.25">
      <c r="A1292" s="11">
        <f t="shared" si="20"/>
        <v>8715803</v>
      </c>
      <c r="B1292" s="17">
        <v>8715803</v>
      </c>
      <c r="C1292" s="17" t="s">
        <v>1321</v>
      </c>
      <c r="D1292" s="17">
        <v>122.45</v>
      </c>
      <c r="E1292" s="17">
        <v>13</v>
      </c>
      <c r="F1292" s="7" t="str">
        <f>IF(A1292=IFERROR(VLOOKUP(A1292,CATALOGO!$B$2:$B$600,1,FALSE),"Falta"),"", "Falta")</f>
        <v>Falta</v>
      </c>
    </row>
    <row r="1293" spans="1:6" x14ac:dyDescent="0.25">
      <c r="A1293" s="11">
        <f t="shared" si="20"/>
        <v>8717033</v>
      </c>
      <c r="B1293" s="17">
        <v>8717033</v>
      </c>
      <c r="C1293" s="17" t="s">
        <v>705</v>
      </c>
      <c r="D1293" s="17">
        <v>648.45000000000005</v>
      </c>
      <c r="E1293" s="17">
        <v>220</v>
      </c>
      <c r="F1293" s="7" t="str">
        <f>IF(A1293=IFERROR(VLOOKUP(A1293,CATALOGO!$B$2:$B$600,1,FALSE),"Falta"),"", "Falta")</f>
        <v/>
      </c>
    </row>
    <row r="1294" spans="1:6" x14ac:dyDescent="0.25">
      <c r="A1294" s="11">
        <f t="shared" si="20"/>
        <v>9003006</v>
      </c>
      <c r="B1294" s="17">
        <v>9003006</v>
      </c>
      <c r="C1294" s="17" t="s">
        <v>880</v>
      </c>
      <c r="D1294" s="17">
        <v>267.72000000000003</v>
      </c>
      <c r="E1294" s="17">
        <v>62</v>
      </c>
      <c r="F1294" s="7" t="str">
        <f>IF(A1294=IFERROR(VLOOKUP(A1294,CATALOGO!$B$2:$B$600,1,FALSE),"Falta"),"", "Falta")</f>
        <v>Falta</v>
      </c>
    </row>
    <row r="1295" spans="1:6" x14ac:dyDescent="0.25">
      <c r="A1295" s="11">
        <f t="shared" si="20"/>
        <v>9003007</v>
      </c>
      <c r="B1295" s="17">
        <v>9003007</v>
      </c>
      <c r="C1295" s="17" t="s">
        <v>873</v>
      </c>
      <c r="D1295" s="17">
        <v>1100</v>
      </c>
      <c r="E1295" s="17">
        <v>9</v>
      </c>
      <c r="F1295" s="7" t="str">
        <f>IF(A1295=IFERROR(VLOOKUP(A1295,CATALOGO!$B$2:$B$600,1,FALSE),"Falta"),"", "Falta")</f>
        <v>Falta</v>
      </c>
    </row>
    <row r="1296" spans="1:6" x14ac:dyDescent="0.25">
      <c r="A1296" s="11">
        <f t="shared" si="20"/>
        <v>9003008</v>
      </c>
      <c r="B1296" s="17">
        <v>9003008</v>
      </c>
      <c r="C1296" s="17" t="s">
        <v>872</v>
      </c>
      <c r="D1296" s="17">
        <v>1100</v>
      </c>
      <c r="E1296" s="17">
        <v>8</v>
      </c>
      <c r="F1296" s="7" t="str">
        <f>IF(A1296=IFERROR(VLOOKUP(A1296,CATALOGO!$B$2:$B$600,1,FALSE),"Falta"),"", "Falta")</f>
        <v>Falta</v>
      </c>
    </row>
    <row r="1297" spans="1:6" x14ac:dyDescent="0.25">
      <c r="A1297" s="11">
        <f t="shared" si="20"/>
        <v>9003009</v>
      </c>
      <c r="B1297" s="17">
        <v>9003009</v>
      </c>
      <c r="C1297" s="17" t="s">
        <v>874</v>
      </c>
      <c r="D1297" s="17">
        <v>1100</v>
      </c>
      <c r="E1297" s="17">
        <v>5</v>
      </c>
      <c r="F1297" s="7" t="str">
        <f>IF(A1297=IFERROR(VLOOKUP(A1297,CATALOGO!$B$2:$B$600,1,FALSE),"Falta"),"", "Falta")</f>
        <v>Falta</v>
      </c>
    </row>
    <row r="1298" spans="1:6" x14ac:dyDescent="0.25">
      <c r="A1298" s="11">
        <f t="shared" si="20"/>
        <v>9003023</v>
      </c>
      <c r="B1298" s="17">
        <v>9003023</v>
      </c>
      <c r="C1298" s="17" t="s">
        <v>881</v>
      </c>
      <c r="D1298" s="17">
        <v>267.72000000000003</v>
      </c>
      <c r="E1298" s="17">
        <v>5</v>
      </c>
      <c r="F1298" s="7" t="str">
        <f>IF(A1298=IFERROR(VLOOKUP(A1298,CATALOGO!$B$2:$B$600,1,FALSE),"Falta"),"", "Falta")</f>
        <v>Falta</v>
      </c>
    </row>
    <row r="1299" spans="1:6" x14ac:dyDescent="0.25">
      <c r="A1299" s="11">
        <f t="shared" si="20"/>
        <v>9003024</v>
      </c>
      <c r="B1299" s="17">
        <v>9003024</v>
      </c>
      <c r="C1299" s="17" t="s">
        <v>882</v>
      </c>
      <c r="D1299" s="17">
        <v>267.72000000000003</v>
      </c>
      <c r="E1299" s="17">
        <v>5</v>
      </c>
      <c r="F1299" s="7" t="str">
        <f>IF(A1299=IFERROR(VLOOKUP(A1299,CATALOGO!$B$2:$B$600,1,FALSE),"Falta"),"", "Falta")</f>
        <v>Falta</v>
      </c>
    </row>
    <row r="1300" spans="1:6" x14ac:dyDescent="0.25">
      <c r="A1300" s="11">
        <f t="shared" si="20"/>
        <v>9003026</v>
      </c>
      <c r="B1300" s="17">
        <v>9003026</v>
      </c>
      <c r="C1300" s="17" t="s">
        <v>864</v>
      </c>
      <c r="D1300" s="17">
        <v>436.08</v>
      </c>
      <c r="E1300" s="17">
        <v>10</v>
      </c>
      <c r="F1300" s="7" t="str">
        <f>IF(A1300=IFERROR(VLOOKUP(A1300,CATALOGO!$B$2:$B$600,1,FALSE),"Falta"),"", "Falta")</f>
        <v>Falta</v>
      </c>
    </row>
    <row r="1301" spans="1:6" x14ac:dyDescent="0.25">
      <c r="A1301" s="11">
        <f t="shared" si="20"/>
        <v>9003090</v>
      </c>
      <c r="B1301" s="17">
        <v>9003090</v>
      </c>
      <c r="C1301" s="17" t="s">
        <v>1447</v>
      </c>
      <c r="D1301" s="17">
        <v>650</v>
      </c>
      <c r="E1301" s="17">
        <v>24</v>
      </c>
      <c r="F1301" s="7" t="str">
        <f>IF(A1301=IFERROR(VLOOKUP(A1301,CATALOGO!$B$2:$B$600,1,FALSE),"Falta"),"", "Falta")</f>
        <v>Falta</v>
      </c>
    </row>
    <row r="1302" spans="1:6" x14ac:dyDescent="0.25">
      <c r="A1302" s="11">
        <f t="shared" si="20"/>
        <v>9003100</v>
      </c>
      <c r="B1302" s="17">
        <v>9003100</v>
      </c>
      <c r="C1302" s="17" t="s">
        <v>869</v>
      </c>
      <c r="D1302" s="17">
        <v>650</v>
      </c>
      <c r="E1302" s="17">
        <v>39</v>
      </c>
      <c r="F1302" s="7" t="str">
        <f>IF(A1302=IFERROR(VLOOKUP(A1302,CATALOGO!$B$2:$B$600,1,FALSE),"Falta"),"", "Falta")</f>
        <v>Falta</v>
      </c>
    </row>
    <row r="1303" spans="1:6" x14ac:dyDescent="0.25">
      <c r="A1303" s="11">
        <f t="shared" si="20"/>
        <v>9003417</v>
      </c>
      <c r="B1303" s="17">
        <v>9003417</v>
      </c>
      <c r="C1303" s="17" t="s">
        <v>865</v>
      </c>
      <c r="D1303" s="17">
        <v>436.08</v>
      </c>
      <c r="E1303" s="17">
        <v>20</v>
      </c>
      <c r="F1303" s="7" t="str">
        <f>IF(A1303=IFERROR(VLOOKUP(A1303,CATALOGO!$B$2:$B$600,1,FALSE),"Falta"),"", "Falta")</f>
        <v>Falta</v>
      </c>
    </row>
    <row r="1304" spans="1:6" x14ac:dyDescent="0.25">
      <c r="A1304" s="11" t="str">
        <f t="shared" si="20"/>
        <v/>
      </c>
      <c r="B1304" s="17" t="s">
        <v>1859</v>
      </c>
      <c r="C1304" s="17" t="s">
        <v>1477</v>
      </c>
      <c r="D1304" s="17">
        <v>0</v>
      </c>
      <c r="E1304" s="17">
        <v>133</v>
      </c>
      <c r="F1304" s="7" t="str">
        <f>IF(A1304=IFERROR(VLOOKUP(A1304,CATALOGO!$B$2:$B$600,1,FALSE),"Falta"),"", "Falta")</f>
        <v>Falta</v>
      </c>
    </row>
    <row r="1305" spans="1:6" x14ac:dyDescent="0.25">
      <c r="A1305" s="11" t="str">
        <f t="shared" si="20"/>
        <v/>
      </c>
      <c r="B1305" s="17" t="s">
        <v>1859</v>
      </c>
      <c r="C1305" s="17" t="s">
        <v>1502</v>
      </c>
      <c r="D1305" s="17">
        <v>0</v>
      </c>
      <c r="E1305" s="17">
        <v>96</v>
      </c>
      <c r="F1305" s="7" t="str">
        <f>IF(A1305=IFERROR(VLOOKUP(A1305,CATALOGO!$B$2:$B$600,1,FALSE),"Falta"),"", "Falta")</f>
        <v>Falta</v>
      </c>
    </row>
    <row r="1306" spans="1:6" x14ac:dyDescent="0.25">
      <c r="A1306" s="11" t="str">
        <f t="shared" si="20"/>
        <v/>
      </c>
      <c r="B1306" s="17" t="s">
        <v>1859</v>
      </c>
      <c r="C1306" s="17" t="s">
        <v>1505</v>
      </c>
      <c r="D1306" s="17">
        <v>0</v>
      </c>
      <c r="E1306" s="17">
        <v>5</v>
      </c>
      <c r="F1306" s="7" t="str">
        <f>IF(A1306=IFERROR(VLOOKUP(A1306,CATALOGO!$B$2:$B$600,1,FALSE),"Falta"),"", "Falta")</f>
        <v>Falta</v>
      </c>
    </row>
    <row r="1307" spans="1:6" x14ac:dyDescent="0.25">
      <c r="A1307" s="11" t="str">
        <f t="shared" si="20"/>
        <v/>
      </c>
      <c r="B1307" s="17" t="s">
        <v>1859</v>
      </c>
      <c r="C1307" s="17" t="s">
        <v>1747</v>
      </c>
      <c r="D1307" s="17">
        <v>0</v>
      </c>
      <c r="E1307" s="17">
        <v>25</v>
      </c>
      <c r="F1307" s="7" t="str">
        <f>IF(A1307=IFERROR(VLOOKUP(A1307,CATALOGO!$B$2:$B$600,1,FALSE),"Falta"),"", "Falta")</f>
        <v>Falta</v>
      </c>
    </row>
    <row r="1308" spans="1:6" x14ac:dyDescent="0.25">
      <c r="A1308" s="11" t="str">
        <f t="shared" si="20"/>
        <v/>
      </c>
      <c r="B1308" s="17" t="s">
        <v>1859</v>
      </c>
      <c r="C1308" s="17" t="s">
        <v>1765</v>
      </c>
      <c r="D1308" s="17">
        <v>0</v>
      </c>
      <c r="E1308" s="17">
        <v>68</v>
      </c>
      <c r="F1308" s="7" t="str">
        <f>IF(A1308=IFERROR(VLOOKUP(A1308,CATALOGO!$B$2:$B$600,1,FALSE),"Falta"),"", "Falta")</f>
        <v>Falta</v>
      </c>
    </row>
    <row r="1309" spans="1:6" x14ac:dyDescent="0.25">
      <c r="A1309" s="11" t="str">
        <f t="shared" si="20"/>
        <v/>
      </c>
      <c r="B1309" s="17" t="s">
        <v>1859</v>
      </c>
      <c r="C1309" s="17" t="s">
        <v>1767</v>
      </c>
      <c r="D1309" s="17">
        <v>0</v>
      </c>
      <c r="E1309" s="17">
        <v>183</v>
      </c>
      <c r="F1309" s="7" t="str">
        <f>IF(A1309=IFERROR(VLOOKUP(A1309,CATALOGO!$B$2:$B$600,1,FALSE),"Falta"),"", "Falta")</f>
        <v>Falta</v>
      </c>
    </row>
    <row r="1310" spans="1:6" x14ac:dyDescent="0.25">
      <c r="A1310" s="11" t="str">
        <f t="shared" si="20"/>
        <v/>
      </c>
      <c r="B1310" s="17" t="s">
        <v>1859</v>
      </c>
      <c r="C1310" s="17" t="s">
        <v>1768</v>
      </c>
      <c r="D1310" s="17">
        <v>0</v>
      </c>
      <c r="E1310" s="17">
        <v>117</v>
      </c>
      <c r="F1310" s="7" t="str">
        <f>IF(A1310=IFERROR(VLOOKUP(A1310,CATALOGO!$B$2:$B$600,1,FALSE),"Falta"),"", "Falta")</f>
        <v>Falta</v>
      </c>
    </row>
    <row r="1311" spans="1:6" x14ac:dyDescent="0.25">
      <c r="A1311" s="11" t="str">
        <f t="shared" si="20"/>
        <v/>
      </c>
      <c r="B1311" s="17" t="s">
        <v>1859</v>
      </c>
      <c r="C1311" s="17" t="s">
        <v>1769</v>
      </c>
      <c r="D1311" s="17">
        <v>0</v>
      </c>
      <c r="E1311" s="17">
        <v>18</v>
      </c>
      <c r="F1311" s="7" t="str">
        <f>IF(A1311=IFERROR(VLOOKUP(A1311,CATALOGO!$B$2:$B$600,1,FALSE),"Falta"),"", "Falta")</f>
        <v>Falta</v>
      </c>
    </row>
    <row r="1312" spans="1:6" x14ac:dyDescent="0.25">
      <c r="A1312" s="11" t="str">
        <f t="shared" si="20"/>
        <v/>
      </c>
      <c r="B1312" s="17" t="s">
        <v>1859</v>
      </c>
      <c r="C1312" s="17" t="s">
        <v>1759</v>
      </c>
      <c r="D1312" s="17">
        <v>0</v>
      </c>
      <c r="E1312" s="17">
        <v>14</v>
      </c>
      <c r="F1312" s="7" t="str">
        <f>IF(A1312=IFERROR(VLOOKUP(A1312,CATALOGO!$B$2:$B$600,1,FALSE),"Falta"),"", "Falta")</f>
        <v>Falta</v>
      </c>
    </row>
    <row r="1313" spans="1:6" x14ac:dyDescent="0.25">
      <c r="A1313" s="11" t="str">
        <f t="shared" si="20"/>
        <v/>
      </c>
      <c r="B1313" s="17" t="s">
        <v>1859</v>
      </c>
      <c r="C1313" s="17" t="s">
        <v>1748</v>
      </c>
      <c r="D1313" s="17">
        <v>0</v>
      </c>
      <c r="E1313" s="17">
        <v>15</v>
      </c>
      <c r="F1313" s="7" t="str">
        <f>IF(A1313=IFERROR(VLOOKUP(A1313,CATALOGO!$B$2:$B$600,1,FALSE),"Falta"),"", "Falta")</f>
        <v>Falta</v>
      </c>
    </row>
    <row r="1314" spans="1:6" x14ac:dyDescent="0.25">
      <c r="A1314" s="11" t="str">
        <f t="shared" si="20"/>
        <v/>
      </c>
      <c r="B1314" s="17" t="s">
        <v>1859</v>
      </c>
      <c r="C1314" s="17" t="s">
        <v>1761</v>
      </c>
      <c r="D1314" s="17">
        <v>0</v>
      </c>
      <c r="E1314" s="17">
        <v>513</v>
      </c>
      <c r="F1314" s="7" t="str">
        <f>IF(A1314=IFERROR(VLOOKUP(A1314,CATALOGO!$B$2:$B$600,1,FALSE),"Falta"),"", "Falta")</f>
        <v>Falta</v>
      </c>
    </row>
    <row r="1315" spans="1:6" x14ac:dyDescent="0.25">
      <c r="A1315" s="11" t="str">
        <f t="shared" si="20"/>
        <v/>
      </c>
      <c r="B1315" s="17" t="s">
        <v>1859</v>
      </c>
      <c r="C1315" s="17" t="s">
        <v>1763</v>
      </c>
      <c r="D1315" s="17">
        <v>0</v>
      </c>
      <c r="E1315" s="17">
        <v>806</v>
      </c>
      <c r="F1315" s="7" t="str">
        <f>IF(A1315=IFERROR(VLOOKUP(A1315,CATALOGO!$B$2:$B$600,1,FALSE),"Falta"),"", "Falta")</f>
        <v>Falta</v>
      </c>
    </row>
    <row r="1316" spans="1:6" x14ac:dyDescent="0.25">
      <c r="A1316" s="11" t="str">
        <f t="shared" si="20"/>
        <v/>
      </c>
      <c r="B1316" s="17" t="s">
        <v>1859</v>
      </c>
      <c r="C1316" s="17" t="s">
        <v>1859</v>
      </c>
      <c r="D1316" s="17">
        <v>0</v>
      </c>
      <c r="E1316" s="17">
        <v>0</v>
      </c>
      <c r="F1316" s="7" t="str">
        <f>IF(A1316=IFERROR(VLOOKUP(A1316,CATALOGO!$B$2:$B$600,1,FALSE),"Falta"),"", "Falta")</f>
        <v>Falta</v>
      </c>
    </row>
    <row r="1317" spans="1:6" x14ac:dyDescent="0.25">
      <c r="A1317" s="11" t="str">
        <f t="shared" si="20"/>
        <v/>
      </c>
      <c r="B1317" s="17" t="s">
        <v>1859</v>
      </c>
      <c r="C1317" s="17" t="s">
        <v>1885</v>
      </c>
      <c r="D1317" s="17">
        <v>0</v>
      </c>
      <c r="E1317" s="17">
        <v>0</v>
      </c>
      <c r="F1317" s="7" t="str">
        <f>IF(A1317=IFERROR(VLOOKUP(A1317,CATALOGO!$B$2:$B$600,1,FALSE),"Falta"),"", "Falta")</f>
        <v>Falta</v>
      </c>
    </row>
    <row r="1318" spans="1:6" x14ac:dyDescent="0.25">
      <c r="A1318" s="11" t="str">
        <f t="shared" si="20"/>
        <v/>
      </c>
      <c r="B1318" s="17" t="s">
        <v>1859</v>
      </c>
      <c r="C1318" s="17" t="s">
        <v>278</v>
      </c>
      <c r="D1318" s="17">
        <v>2057</v>
      </c>
      <c r="E1318" s="17">
        <v>16</v>
      </c>
      <c r="F1318" s="7" t="str">
        <f>IF(A1318=IFERROR(VLOOKUP(A1318,CATALOGO!$B$2:$B$600,1,FALSE),"Falta"),"", "Falta")</f>
        <v>Falta</v>
      </c>
    </row>
    <row r="1319" spans="1:6" x14ac:dyDescent="0.25">
      <c r="A1319" s="11" t="str">
        <f t="shared" si="20"/>
        <v/>
      </c>
      <c r="B1319" s="17" t="s">
        <v>1859</v>
      </c>
      <c r="C1319" s="17" t="s">
        <v>279</v>
      </c>
      <c r="D1319" s="17">
        <v>2117.5</v>
      </c>
      <c r="E1319" s="17">
        <v>10</v>
      </c>
      <c r="F1319" s="7" t="str">
        <f>IF(A1319=IFERROR(VLOOKUP(A1319,CATALOGO!$B$2:$B$600,1,FALSE),"Falta"),"", "Falta")</f>
        <v>Falta</v>
      </c>
    </row>
    <row r="1320" spans="1:6" x14ac:dyDescent="0.25">
      <c r="A1320" s="11" t="str">
        <f t="shared" si="20"/>
        <v/>
      </c>
      <c r="B1320" s="17" t="s">
        <v>1859</v>
      </c>
      <c r="C1320" s="17" t="s">
        <v>1859</v>
      </c>
      <c r="D1320" s="17">
        <v>0</v>
      </c>
      <c r="E1320" s="17">
        <v>0</v>
      </c>
      <c r="F1320" s="7" t="str">
        <f>IF(A1320=IFERROR(VLOOKUP(A1320,CATALOGO!$B$2:$B$600,1,FALSE),"Falta"),"", "Falta")</f>
        <v>Falta</v>
      </c>
    </row>
    <row r="1321" spans="1:6" x14ac:dyDescent="0.25">
      <c r="A1321" s="11" t="str">
        <f t="shared" si="20"/>
        <v/>
      </c>
      <c r="B1321" s="17" t="s">
        <v>1859</v>
      </c>
      <c r="C1321" s="17" t="s">
        <v>1886</v>
      </c>
      <c r="D1321" s="17">
        <v>0</v>
      </c>
      <c r="E1321" s="17">
        <v>0</v>
      </c>
      <c r="F1321" s="7" t="str">
        <f>IF(A1321=IFERROR(VLOOKUP(A1321,CATALOGO!$B$2:$B$600,1,FALSE),"Falta"),"", "Falta")</f>
        <v>Falta</v>
      </c>
    </row>
    <row r="1322" spans="1:6" x14ac:dyDescent="0.25">
      <c r="A1322" s="11" t="str">
        <f t="shared" si="20"/>
        <v/>
      </c>
      <c r="B1322" s="17" t="s">
        <v>1859</v>
      </c>
      <c r="C1322" s="17" t="s">
        <v>1859</v>
      </c>
      <c r="D1322" s="17">
        <v>0</v>
      </c>
      <c r="E1322" s="17">
        <v>0</v>
      </c>
      <c r="F1322" s="7" t="str">
        <f>IF(A1322=IFERROR(VLOOKUP(A1322,CATALOGO!$B$2:$B$600,1,FALSE),"Falta"),"", "Falta")</f>
        <v>Falta</v>
      </c>
    </row>
    <row r="1323" spans="1:6" x14ac:dyDescent="0.25">
      <c r="A1323" s="11" t="str">
        <f t="shared" si="20"/>
        <v/>
      </c>
      <c r="B1323" s="17" t="s">
        <v>1859</v>
      </c>
      <c r="C1323" s="17" t="s">
        <v>1887</v>
      </c>
      <c r="D1323" s="17">
        <v>0</v>
      </c>
      <c r="E1323" s="17">
        <v>0</v>
      </c>
      <c r="F1323" s="7" t="str">
        <f>IF(A1323=IFERROR(VLOOKUP(A1323,CATALOGO!$B$2:$B$600,1,FALSE),"Falta"),"", "Falta")</f>
        <v>Falta</v>
      </c>
    </row>
    <row r="1324" spans="1:6" x14ac:dyDescent="0.25">
      <c r="A1324" s="11" t="str">
        <f t="shared" si="20"/>
        <v/>
      </c>
      <c r="B1324" s="17" t="s">
        <v>1859</v>
      </c>
      <c r="C1324" s="17" t="s">
        <v>1859</v>
      </c>
      <c r="D1324" s="17">
        <v>0</v>
      </c>
      <c r="E1324" s="17">
        <v>0</v>
      </c>
      <c r="F1324" s="7" t="str">
        <f>IF(A1324=IFERROR(VLOOKUP(A1324,CATALOGO!$B$2:$B$600,1,FALSE),"Falta"),"", "Falta")</f>
        <v>Falta</v>
      </c>
    </row>
    <row r="1325" spans="1:6" x14ac:dyDescent="0.25">
      <c r="A1325" s="11" t="str">
        <f t="shared" si="20"/>
        <v/>
      </c>
      <c r="B1325" s="17" t="s">
        <v>1859</v>
      </c>
      <c r="C1325" s="17" t="s">
        <v>1888</v>
      </c>
      <c r="D1325" s="17">
        <v>0</v>
      </c>
      <c r="E1325" s="17">
        <v>0</v>
      </c>
      <c r="F1325" s="7" t="str">
        <f>IF(A1325=IFERROR(VLOOKUP(A1325,CATALOGO!$B$2:$B$600,1,FALSE),"Falta"),"", "Falta")</f>
        <v>Falta</v>
      </c>
    </row>
    <row r="1326" spans="1:6" x14ac:dyDescent="0.25">
      <c r="A1326" s="11" t="str">
        <f t="shared" si="20"/>
        <v/>
      </c>
      <c r="B1326" s="17" t="s">
        <v>1859</v>
      </c>
      <c r="C1326" s="17" t="s">
        <v>1859</v>
      </c>
      <c r="D1326" s="17">
        <v>0</v>
      </c>
      <c r="E1326" s="17">
        <v>0</v>
      </c>
      <c r="F1326" s="7" t="str">
        <f>IF(A1326=IFERROR(VLOOKUP(A1326,CATALOGO!$B$2:$B$600,1,FALSE),"Falta"),"", "Falta")</f>
        <v>Falta</v>
      </c>
    </row>
    <row r="1327" spans="1:6" x14ac:dyDescent="0.25">
      <c r="A1327" s="11" t="str">
        <f t="shared" si="20"/>
        <v/>
      </c>
      <c r="B1327" s="17" t="s">
        <v>1859</v>
      </c>
      <c r="C1327" s="17" t="s">
        <v>1889</v>
      </c>
      <c r="D1327" s="17">
        <v>0</v>
      </c>
      <c r="E1327" s="17">
        <v>0</v>
      </c>
      <c r="F1327" s="7" t="str">
        <f>IF(A1327=IFERROR(VLOOKUP(A1327,CATALOGO!$B$2:$B$600,1,FALSE),"Falta"),"", "Falta")</f>
        <v>Falta</v>
      </c>
    </row>
    <row r="1328" spans="1:6" x14ac:dyDescent="0.25">
      <c r="A1328" s="11" t="str">
        <f t="shared" si="20"/>
        <v/>
      </c>
      <c r="B1328" s="17" t="s">
        <v>1859</v>
      </c>
      <c r="C1328" s="17" t="s">
        <v>1890</v>
      </c>
      <c r="D1328" s="17">
        <v>0</v>
      </c>
      <c r="E1328" s="17">
        <v>0</v>
      </c>
      <c r="F1328" s="7" t="str">
        <f>IF(A1328=IFERROR(VLOOKUP(A1328,CATALOGO!$B$2:$B$600,1,FALSE),"Falta"),"", "Falta")</f>
        <v>Falta</v>
      </c>
    </row>
    <row r="1329" spans="1:6" x14ac:dyDescent="0.25">
      <c r="A1329" s="11" t="str">
        <f t="shared" si="20"/>
        <v/>
      </c>
      <c r="B1329" s="17" t="s">
        <v>1859</v>
      </c>
      <c r="C1329" s="17" t="s">
        <v>1891</v>
      </c>
      <c r="D1329" s="17">
        <v>0</v>
      </c>
      <c r="E1329" s="17">
        <v>0</v>
      </c>
      <c r="F1329" s="7" t="str">
        <f>IF(A1329=IFERROR(VLOOKUP(A1329,CATALOGO!$B$2:$B$600,1,FALSE),"Falta"),"", "Falta")</f>
        <v>Falta</v>
      </c>
    </row>
    <row r="1330" spans="1:6" x14ac:dyDescent="0.25">
      <c r="A1330" s="11" t="str">
        <f t="shared" si="20"/>
        <v/>
      </c>
      <c r="B1330" s="17" t="s">
        <v>1859</v>
      </c>
      <c r="C1330" s="17" t="s">
        <v>1892</v>
      </c>
      <c r="D1330" s="17">
        <v>747.48</v>
      </c>
      <c r="E1330" s="17">
        <v>0</v>
      </c>
      <c r="F1330" s="7" t="str">
        <f>IF(A1330=IFERROR(VLOOKUP(A1330,CATALOGO!$B$2:$B$600,1,FALSE),"Falta"),"", "Falta")</f>
        <v>Falta</v>
      </c>
    </row>
    <row r="1331" spans="1:6" x14ac:dyDescent="0.25">
      <c r="A1331" s="11" t="str">
        <f t="shared" si="20"/>
        <v/>
      </c>
      <c r="B1331" s="17" t="s">
        <v>1859</v>
      </c>
      <c r="C1331" s="17" t="s">
        <v>1893</v>
      </c>
      <c r="D1331" s="17">
        <v>0</v>
      </c>
      <c r="E1331" s="17">
        <v>0</v>
      </c>
      <c r="F1331" s="7" t="str">
        <f>IF(A1331=IFERROR(VLOOKUP(A1331,CATALOGO!$B$2:$B$600,1,FALSE),"Falta"),"", "Falta")</f>
        <v>Falta</v>
      </c>
    </row>
    <row r="1332" spans="1:6" x14ac:dyDescent="0.25">
      <c r="A1332" s="11" t="str">
        <f t="shared" si="20"/>
        <v/>
      </c>
      <c r="B1332" s="17" t="s">
        <v>1859</v>
      </c>
      <c r="C1332" s="17" t="s">
        <v>1859</v>
      </c>
      <c r="D1332" s="17">
        <v>0</v>
      </c>
      <c r="E1332" s="17">
        <v>0</v>
      </c>
      <c r="F1332" s="7" t="str">
        <f>IF(A1332=IFERROR(VLOOKUP(A1332,CATALOGO!$B$2:$B$600,1,FALSE),"Falta"),"", "Falta")</f>
        <v>Falta</v>
      </c>
    </row>
    <row r="1333" spans="1:6" x14ac:dyDescent="0.25">
      <c r="A1333" s="11" t="str">
        <f t="shared" si="20"/>
        <v/>
      </c>
      <c r="B1333" s="17" t="s">
        <v>1859</v>
      </c>
      <c r="C1333" s="17" t="s">
        <v>1894</v>
      </c>
      <c r="D1333" s="17">
        <v>0</v>
      </c>
      <c r="E1333" s="17">
        <v>0</v>
      </c>
      <c r="F1333" s="7" t="str">
        <f>IF(A1333=IFERROR(VLOOKUP(A1333,CATALOGO!$B$2:$B$600,1,FALSE),"Falta"),"", "Falta")</f>
        <v>Falta</v>
      </c>
    </row>
    <row r="1334" spans="1:6" x14ac:dyDescent="0.25">
      <c r="A1334" s="11" t="str">
        <f t="shared" si="20"/>
        <v/>
      </c>
      <c r="B1334" s="17" t="s">
        <v>1859</v>
      </c>
      <c r="C1334" s="17" t="s">
        <v>1859</v>
      </c>
      <c r="D1334" s="17">
        <v>0</v>
      </c>
      <c r="E1334" s="17">
        <v>0</v>
      </c>
      <c r="F1334" s="7" t="str">
        <f>IF(A1334=IFERROR(VLOOKUP(A1334,CATALOGO!$B$2:$B$600,1,FALSE),"Falta"),"", "Falta")</f>
        <v>Falta</v>
      </c>
    </row>
    <row r="1335" spans="1:6" x14ac:dyDescent="0.25">
      <c r="A1335" s="11" t="str">
        <f t="shared" si="20"/>
        <v/>
      </c>
      <c r="B1335" s="17" t="s">
        <v>1859</v>
      </c>
      <c r="C1335" s="17" t="s">
        <v>1895</v>
      </c>
      <c r="D1335" s="17">
        <v>0</v>
      </c>
      <c r="E1335" s="17">
        <v>0</v>
      </c>
      <c r="F1335" s="7" t="str">
        <f>IF(A1335=IFERROR(VLOOKUP(A1335,CATALOGO!$B$2:$B$600,1,FALSE),"Falta"),"", "Falta")</f>
        <v>Falta</v>
      </c>
    </row>
    <row r="1336" spans="1:6" x14ac:dyDescent="0.25">
      <c r="A1336" s="11" t="str">
        <f t="shared" si="20"/>
        <v/>
      </c>
      <c r="B1336" s="17" t="s">
        <v>1859</v>
      </c>
      <c r="C1336" s="17" t="s">
        <v>220</v>
      </c>
      <c r="D1336" s="17">
        <v>1936</v>
      </c>
      <c r="E1336" s="17">
        <v>1</v>
      </c>
      <c r="F1336" s="7" t="str">
        <f>IF(A1336=IFERROR(VLOOKUP(A1336,CATALOGO!$B$2:$B$600,1,FALSE),"Falta"),"", "Falta")</f>
        <v>Falta</v>
      </c>
    </row>
    <row r="1337" spans="1:6" x14ac:dyDescent="0.25">
      <c r="A1337" s="11" t="str">
        <f t="shared" si="20"/>
        <v/>
      </c>
      <c r="B1337" s="17" t="s">
        <v>1859</v>
      </c>
      <c r="C1337" s="17" t="s">
        <v>1859</v>
      </c>
      <c r="D1337" s="17">
        <v>0</v>
      </c>
      <c r="E1337" s="17">
        <v>0</v>
      </c>
      <c r="F1337" s="7" t="str">
        <f>IF(A1337=IFERROR(VLOOKUP(A1337,CATALOGO!$B$2:$B$600,1,FALSE),"Falta"),"", "Falta")</f>
        <v>Falta</v>
      </c>
    </row>
    <row r="1338" spans="1:6" x14ac:dyDescent="0.25">
      <c r="A1338" s="11" t="str">
        <f t="shared" si="20"/>
        <v/>
      </c>
      <c r="B1338" s="17" t="s">
        <v>1859</v>
      </c>
      <c r="C1338" s="17" t="s">
        <v>1896</v>
      </c>
      <c r="D1338" s="17">
        <v>0</v>
      </c>
      <c r="E1338" s="17">
        <v>0</v>
      </c>
      <c r="F1338" s="7" t="str">
        <f>IF(A1338=IFERROR(VLOOKUP(A1338,CATALOGO!$B$2:$B$600,1,FALSE),"Falta"),"", "Falta")</f>
        <v>Falta</v>
      </c>
    </row>
    <row r="1339" spans="1:6" x14ac:dyDescent="0.25">
      <c r="A1339" s="11" t="str">
        <f t="shared" si="20"/>
        <v/>
      </c>
      <c r="B1339" s="17" t="s">
        <v>1859</v>
      </c>
      <c r="C1339" s="17" t="s">
        <v>1859</v>
      </c>
      <c r="D1339" s="17">
        <v>0</v>
      </c>
      <c r="E1339" s="17">
        <v>0</v>
      </c>
      <c r="F1339" s="7" t="str">
        <f>IF(A1339=IFERROR(VLOOKUP(A1339,CATALOGO!$B$2:$B$600,1,FALSE),"Falta"),"", "Falta")</f>
        <v>Falta</v>
      </c>
    </row>
    <row r="1340" spans="1:6" x14ac:dyDescent="0.25">
      <c r="A1340" s="11" t="str">
        <f t="shared" si="20"/>
        <v/>
      </c>
      <c r="B1340" s="17" t="s">
        <v>1859</v>
      </c>
      <c r="C1340" s="17" t="s">
        <v>1897</v>
      </c>
      <c r="D1340" s="17">
        <v>0</v>
      </c>
      <c r="E1340" s="17">
        <v>0</v>
      </c>
      <c r="F1340" s="7" t="str">
        <f>IF(A1340=IFERROR(VLOOKUP(A1340,CATALOGO!$B$2:$B$600,1,FALSE),"Falta"),"", "Falta")</f>
        <v>Falta</v>
      </c>
    </row>
    <row r="1341" spans="1:6" x14ac:dyDescent="0.25">
      <c r="A1341" s="11" t="str">
        <f t="shared" si="20"/>
        <v/>
      </c>
      <c r="B1341" s="17" t="s">
        <v>1859</v>
      </c>
      <c r="C1341" s="17" t="s">
        <v>207</v>
      </c>
      <c r="D1341" s="17">
        <v>1870</v>
      </c>
      <c r="E1341" s="17">
        <v>19</v>
      </c>
      <c r="F1341" s="7" t="str">
        <f>IF(A1341=IFERROR(VLOOKUP(A1341,CATALOGO!$B$2:$B$600,1,FALSE),"Falta"),"", "Falta")</f>
        <v>Falta</v>
      </c>
    </row>
    <row r="1342" spans="1:6" x14ac:dyDescent="0.25">
      <c r="A1342" s="11" t="str">
        <f t="shared" si="20"/>
        <v/>
      </c>
      <c r="B1342" s="17" t="s">
        <v>1859</v>
      </c>
      <c r="C1342" s="17" t="s">
        <v>208</v>
      </c>
      <c r="D1342" s="17">
        <v>1980</v>
      </c>
      <c r="E1342" s="17">
        <v>2</v>
      </c>
      <c r="F1342" s="7" t="str">
        <f>IF(A1342=IFERROR(VLOOKUP(A1342,CATALOGO!$B$2:$B$600,1,FALSE),"Falta"),"", "Falta")</f>
        <v>Falta</v>
      </c>
    </row>
    <row r="1343" spans="1:6" x14ac:dyDescent="0.25">
      <c r="A1343" s="11" t="str">
        <f t="shared" si="20"/>
        <v/>
      </c>
      <c r="B1343" s="17" t="s">
        <v>1859</v>
      </c>
      <c r="C1343" s="17" t="s">
        <v>1861</v>
      </c>
      <c r="D1343" s="17">
        <v>0</v>
      </c>
      <c r="E1343" s="17">
        <v>0</v>
      </c>
      <c r="F1343" s="7" t="str">
        <f>IF(A1343=IFERROR(VLOOKUP(A1343,CATALOGO!$B$2:$B$600,1,FALSE),"Falta"),"", "Falta")</f>
        <v>Falta</v>
      </c>
    </row>
    <row r="1344" spans="1:6" x14ac:dyDescent="0.25">
      <c r="A1344" s="11" t="str">
        <f t="shared" si="20"/>
        <v/>
      </c>
      <c r="B1344" s="17" t="s">
        <v>1859</v>
      </c>
      <c r="C1344" s="17" t="s">
        <v>1861</v>
      </c>
      <c r="D1344" s="17">
        <v>0</v>
      </c>
      <c r="E1344" s="17">
        <v>0</v>
      </c>
      <c r="F1344" s="7" t="str">
        <f>IF(A1344=IFERROR(VLOOKUP(A1344,CATALOGO!$B$2:$B$600,1,FALSE),"Falta"),"", "Falta")</f>
        <v>Falta</v>
      </c>
    </row>
    <row r="1345" spans="1:6" x14ac:dyDescent="0.25">
      <c r="A1345" s="11" t="str">
        <f t="shared" si="20"/>
        <v/>
      </c>
      <c r="B1345" s="17" t="s">
        <v>1859</v>
      </c>
      <c r="C1345" s="17" t="s">
        <v>1861</v>
      </c>
      <c r="D1345" s="17">
        <v>0</v>
      </c>
      <c r="E1345" s="17">
        <v>0</v>
      </c>
      <c r="F1345" s="7" t="str">
        <f>IF(A1345=IFERROR(VLOOKUP(A1345,CATALOGO!$B$2:$B$600,1,FALSE),"Falta"),"", "Falta")</f>
        <v>Falta</v>
      </c>
    </row>
    <row r="1346" spans="1:6" x14ac:dyDescent="0.25">
      <c r="A1346" s="11" t="str">
        <f t="shared" si="20"/>
        <v/>
      </c>
      <c r="B1346" s="17" t="s">
        <v>1859</v>
      </c>
      <c r="C1346" s="17" t="s">
        <v>1481</v>
      </c>
      <c r="D1346" s="17">
        <v>1875.5</v>
      </c>
      <c r="E1346" s="17">
        <v>0</v>
      </c>
      <c r="F1346" s="7" t="str">
        <f>IF(A1346=IFERROR(VLOOKUP(A1346,CATALOGO!$B$2:$B$600,1,FALSE),"Falta"),"", "Falta")</f>
        <v>Falta</v>
      </c>
    </row>
    <row r="1347" spans="1:6" x14ac:dyDescent="0.25">
      <c r="A1347" s="11" t="str">
        <f t="shared" si="20"/>
        <v/>
      </c>
      <c r="B1347" s="17" t="s">
        <v>1859</v>
      </c>
      <c r="C1347" s="17" t="s">
        <v>202</v>
      </c>
      <c r="D1347" s="17">
        <v>1996.5</v>
      </c>
      <c r="E1347" s="17">
        <v>0</v>
      </c>
      <c r="F1347" s="7" t="str">
        <f>IF(A1347=IFERROR(VLOOKUP(A1347,CATALOGO!$B$2:$B$600,1,FALSE),"Falta"),"", "Falta")</f>
        <v>Falta</v>
      </c>
    </row>
    <row r="1348" spans="1:6" x14ac:dyDescent="0.25">
      <c r="A1348" s="11" t="str">
        <f t="shared" si="20"/>
        <v/>
      </c>
      <c r="B1348" s="17" t="s">
        <v>1859</v>
      </c>
      <c r="C1348" s="17" t="s">
        <v>203</v>
      </c>
      <c r="D1348" s="17">
        <v>2057</v>
      </c>
      <c r="E1348" s="17">
        <v>0</v>
      </c>
      <c r="F1348" s="7" t="str">
        <f>IF(A1348=IFERROR(VLOOKUP(A1348,CATALOGO!$B$2:$B$600,1,FALSE),"Falta"),"", "Falta")</f>
        <v>Falta</v>
      </c>
    </row>
    <row r="1349" spans="1:6" x14ac:dyDescent="0.25">
      <c r="A1349" s="11" t="str">
        <f t="shared" si="20"/>
        <v/>
      </c>
      <c r="B1349" s="17" t="s">
        <v>1859</v>
      </c>
      <c r="C1349" s="17" t="s">
        <v>1482</v>
      </c>
      <c r="D1349" s="17">
        <v>2350</v>
      </c>
      <c r="E1349" s="17">
        <v>10</v>
      </c>
      <c r="F1349" s="7" t="str">
        <f>IF(A1349=IFERROR(VLOOKUP(A1349,CATALOGO!$B$2:$B$600,1,FALSE),"Falta"),"", "Falta")</f>
        <v>Falta</v>
      </c>
    </row>
    <row r="1350" spans="1:6" x14ac:dyDescent="0.25">
      <c r="A1350" s="11" t="str">
        <f t="shared" ref="A1350:A1413" si="21">IFERROR(B1350*1,"")</f>
        <v/>
      </c>
      <c r="B1350" s="17" t="s">
        <v>1859</v>
      </c>
      <c r="C1350" s="17" t="s">
        <v>1859</v>
      </c>
      <c r="D1350" s="17">
        <v>0</v>
      </c>
      <c r="E1350" s="17">
        <v>0</v>
      </c>
      <c r="F1350" s="7" t="str">
        <f>IF(A1350=IFERROR(VLOOKUP(A1350,CATALOGO!$B$2:$B$600,1,FALSE),"Falta"),"", "Falta")</f>
        <v>Falta</v>
      </c>
    </row>
    <row r="1351" spans="1:6" x14ac:dyDescent="0.25">
      <c r="A1351" s="11" t="str">
        <f t="shared" si="21"/>
        <v/>
      </c>
      <c r="B1351" s="17" t="s">
        <v>1859</v>
      </c>
      <c r="C1351" s="17" t="s">
        <v>1898</v>
      </c>
      <c r="D1351" s="17">
        <v>0</v>
      </c>
      <c r="E1351" s="17">
        <v>0</v>
      </c>
      <c r="F1351" s="7" t="str">
        <f>IF(A1351=IFERROR(VLOOKUP(A1351,CATALOGO!$B$2:$B$600,1,FALSE),"Falta"),"", "Falta")</f>
        <v>Falta</v>
      </c>
    </row>
    <row r="1352" spans="1:6" x14ac:dyDescent="0.25">
      <c r="A1352" s="11" t="str">
        <f t="shared" si="21"/>
        <v/>
      </c>
      <c r="B1352" s="17" t="s">
        <v>1859</v>
      </c>
      <c r="C1352" s="17" t="s">
        <v>253</v>
      </c>
      <c r="D1352" s="17">
        <v>2300</v>
      </c>
      <c r="E1352" s="17">
        <v>0</v>
      </c>
      <c r="F1352" s="7" t="str">
        <f>IF(A1352=IFERROR(VLOOKUP(A1352,CATALOGO!$B$2:$B$600,1,FALSE),"Falta"),"", "Falta")</f>
        <v>Falta</v>
      </c>
    </row>
    <row r="1353" spans="1:6" x14ac:dyDescent="0.25">
      <c r="A1353" s="11" t="str">
        <f t="shared" si="21"/>
        <v/>
      </c>
      <c r="B1353" s="17" t="s">
        <v>1859</v>
      </c>
      <c r="C1353" s="17" t="s">
        <v>1859</v>
      </c>
      <c r="D1353" s="17">
        <v>0</v>
      </c>
      <c r="E1353" s="17">
        <v>0</v>
      </c>
      <c r="F1353" s="7" t="str">
        <f>IF(A1353=IFERROR(VLOOKUP(A1353,CATALOGO!$B$2:$B$600,1,FALSE),"Falta"),"", "Falta")</f>
        <v>Falta</v>
      </c>
    </row>
    <row r="1354" spans="1:6" x14ac:dyDescent="0.25">
      <c r="A1354" s="11" t="str">
        <f t="shared" si="21"/>
        <v/>
      </c>
      <c r="B1354" s="17" t="s">
        <v>1859</v>
      </c>
      <c r="C1354" s="17" t="s">
        <v>1899</v>
      </c>
      <c r="D1354" s="17">
        <v>0</v>
      </c>
      <c r="E1354" s="17">
        <v>0</v>
      </c>
      <c r="F1354" s="7" t="str">
        <f>IF(A1354=IFERROR(VLOOKUP(A1354,CATALOGO!$B$2:$B$600,1,FALSE),"Falta"),"", "Falta")</f>
        <v>Falta</v>
      </c>
    </row>
    <row r="1355" spans="1:6" x14ac:dyDescent="0.25">
      <c r="A1355" s="11" t="str">
        <f t="shared" si="21"/>
        <v/>
      </c>
      <c r="B1355" s="17" t="s">
        <v>1859</v>
      </c>
      <c r="C1355" s="17" t="s">
        <v>251</v>
      </c>
      <c r="D1355" s="17">
        <v>1999.99</v>
      </c>
      <c r="E1355" s="17">
        <v>25</v>
      </c>
      <c r="F1355" s="7" t="str">
        <f>IF(A1355=IFERROR(VLOOKUP(A1355,CATALOGO!$B$2:$B$600,1,FALSE),"Falta"),"", "Falta")</f>
        <v>Falta</v>
      </c>
    </row>
    <row r="1356" spans="1:6" x14ac:dyDescent="0.25">
      <c r="A1356" s="11" t="str">
        <f t="shared" si="21"/>
        <v/>
      </c>
      <c r="B1356" s="17" t="s">
        <v>1859</v>
      </c>
      <c r="C1356" s="17" t="s">
        <v>252</v>
      </c>
      <c r="D1356" s="17">
        <v>2057</v>
      </c>
      <c r="E1356" s="17">
        <v>17</v>
      </c>
      <c r="F1356" s="7" t="str">
        <f>IF(A1356=IFERROR(VLOOKUP(A1356,CATALOGO!$B$2:$B$600,1,FALSE),"Falta"),"", "Falta")</f>
        <v>Falta</v>
      </c>
    </row>
    <row r="1357" spans="1:6" x14ac:dyDescent="0.25">
      <c r="A1357" s="11" t="str">
        <f t="shared" si="21"/>
        <v/>
      </c>
      <c r="B1357" s="17" t="s">
        <v>1859</v>
      </c>
      <c r="C1357" s="17" t="s">
        <v>1483</v>
      </c>
      <c r="D1357" s="17">
        <v>2177.9899999999998</v>
      </c>
      <c r="E1357" s="17">
        <v>10</v>
      </c>
      <c r="F1357" s="7" t="str">
        <f>IF(A1357=IFERROR(VLOOKUP(A1357,CATALOGO!$B$2:$B$600,1,FALSE),"Falta"),"", "Falta")</f>
        <v>Falta</v>
      </c>
    </row>
    <row r="1358" spans="1:6" x14ac:dyDescent="0.25">
      <c r="A1358" s="11" t="str">
        <f t="shared" si="21"/>
        <v/>
      </c>
      <c r="B1358" s="17" t="s">
        <v>1859</v>
      </c>
      <c r="C1358" s="17" t="s">
        <v>216</v>
      </c>
      <c r="D1358" s="17">
        <v>2057</v>
      </c>
      <c r="E1358" s="17">
        <v>83</v>
      </c>
      <c r="F1358" s="7" t="str">
        <f>IF(A1358=IFERROR(VLOOKUP(A1358,CATALOGO!$B$2:$B$600,1,FALSE),"Falta"),"", "Falta")</f>
        <v>Falta</v>
      </c>
    </row>
    <row r="1359" spans="1:6" x14ac:dyDescent="0.25">
      <c r="A1359" s="11" t="str">
        <f t="shared" si="21"/>
        <v/>
      </c>
      <c r="B1359" s="17" t="s">
        <v>1859</v>
      </c>
      <c r="C1359" s="17" t="s">
        <v>217</v>
      </c>
      <c r="D1359" s="17">
        <v>2117.5</v>
      </c>
      <c r="E1359" s="17">
        <v>12</v>
      </c>
      <c r="F1359" s="7" t="str">
        <f>IF(A1359=IFERROR(VLOOKUP(A1359,CATALOGO!$B$2:$B$600,1,FALSE),"Falta"),"", "Falta")</f>
        <v>Falta</v>
      </c>
    </row>
    <row r="1360" spans="1:6" x14ac:dyDescent="0.25">
      <c r="A1360" s="11" t="str">
        <f t="shared" si="21"/>
        <v/>
      </c>
      <c r="B1360" s="17" t="s">
        <v>1859</v>
      </c>
      <c r="C1360" s="17" t="s">
        <v>1439</v>
      </c>
      <c r="D1360" s="17">
        <v>2178</v>
      </c>
      <c r="E1360" s="17">
        <v>12</v>
      </c>
      <c r="F1360" s="7" t="str">
        <f>IF(A1360=IFERROR(VLOOKUP(A1360,CATALOGO!$B$2:$B$600,1,FALSE),"Falta"),"", "Falta")</f>
        <v>Falta</v>
      </c>
    </row>
    <row r="1361" spans="1:6" x14ac:dyDescent="0.25">
      <c r="A1361" s="11" t="str">
        <f t="shared" si="21"/>
        <v/>
      </c>
      <c r="B1361" s="17" t="s">
        <v>1859</v>
      </c>
      <c r="C1361" s="17" t="s">
        <v>1859</v>
      </c>
      <c r="D1361" s="17">
        <v>0</v>
      </c>
      <c r="E1361" s="17">
        <v>0</v>
      </c>
      <c r="F1361" s="7" t="str">
        <f>IF(A1361=IFERROR(VLOOKUP(A1361,CATALOGO!$B$2:$B$600,1,FALSE),"Falta"),"", "Falta")</f>
        <v>Falta</v>
      </c>
    </row>
    <row r="1362" spans="1:6" x14ac:dyDescent="0.25">
      <c r="A1362" s="11" t="str">
        <f t="shared" si="21"/>
        <v/>
      </c>
      <c r="B1362" s="17" t="s">
        <v>1859</v>
      </c>
      <c r="C1362" s="17" t="s">
        <v>1900</v>
      </c>
      <c r="D1362" s="17">
        <v>0</v>
      </c>
      <c r="E1362" s="17">
        <v>0</v>
      </c>
      <c r="F1362" s="7" t="str">
        <f>IF(A1362=IFERROR(VLOOKUP(A1362,CATALOGO!$B$2:$B$600,1,FALSE),"Falta"),"", "Falta")</f>
        <v>Falta</v>
      </c>
    </row>
    <row r="1363" spans="1:6" x14ac:dyDescent="0.25">
      <c r="A1363" s="11" t="str">
        <f t="shared" si="21"/>
        <v/>
      </c>
      <c r="B1363" s="17" t="s">
        <v>1859</v>
      </c>
      <c r="C1363" s="17" t="s">
        <v>218</v>
      </c>
      <c r="D1363" s="17">
        <v>1996.5</v>
      </c>
      <c r="E1363" s="17">
        <v>0</v>
      </c>
      <c r="F1363" s="7" t="str">
        <f>IF(A1363=IFERROR(VLOOKUP(A1363,CATALOGO!$B$2:$B$600,1,FALSE),"Falta"),"", "Falta")</f>
        <v>Falta</v>
      </c>
    </row>
    <row r="1364" spans="1:6" x14ac:dyDescent="0.25">
      <c r="A1364" s="11" t="str">
        <f t="shared" si="21"/>
        <v/>
      </c>
      <c r="B1364" s="17" t="s">
        <v>1859</v>
      </c>
      <c r="C1364" s="17" t="s">
        <v>219</v>
      </c>
      <c r="D1364" s="17">
        <v>2057</v>
      </c>
      <c r="E1364" s="17">
        <v>0</v>
      </c>
      <c r="F1364" s="7" t="str">
        <f>IF(A1364=IFERROR(VLOOKUP(A1364,CATALOGO!$B$2:$B$600,1,FALSE),"Falta"),"", "Falta")</f>
        <v>Falta</v>
      </c>
    </row>
    <row r="1365" spans="1:6" x14ac:dyDescent="0.25">
      <c r="A1365" s="11" t="str">
        <f t="shared" si="21"/>
        <v/>
      </c>
      <c r="B1365" s="17" t="s">
        <v>1859</v>
      </c>
      <c r="C1365" s="17" t="s">
        <v>213</v>
      </c>
      <c r="D1365" s="17">
        <v>1810.15</v>
      </c>
      <c r="E1365" s="17">
        <v>39</v>
      </c>
      <c r="F1365" s="7" t="str">
        <f>IF(A1365=IFERROR(VLOOKUP(A1365,CATALOGO!$B$2:$B$600,1,FALSE),"Falta"),"", "Falta")</f>
        <v>Falta</v>
      </c>
    </row>
    <row r="1366" spans="1:6" x14ac:dyDescent="0.25">
      <c r="A1366" s="11" t="str">
        <f t="shared" si="21"/>
        <v/>
      </c>
      <c r="B1366" s="17" t="s">
        <v>1859</v>
      </c>
      <c r="C1366" s="17" t="s">
        <v>214</v>
      </c>
      <c r="D1366" s="17">
        <v>1876.7</v>
      </c>
      <c r="E1366" s="17">
        <v>0</v>
      </c>
      <c r="F1366" s="7" t="str">
        <f>IF(A1366=IFERROR(VLOOKUP(A1366,CATALOGO!$B$2:$B$600,1,FALSE),"Falta"),"", "Falta")</f>
        <v>Falta</v>
      </c>
    </row>
    <row r="1367" spans="1:6" x14ac:dyDescent="0.25">
      <c r="A1367" s="11" t="str">
        <f t="shared" si="21"/>
        <v/>
      </c>
      <c r="B1367" s="17" t="s">
        <v>1859</v>
      </c>
      <c r="C1367" s="17" t="s">
        <v>215</v>
      </c>
      <c r="D1367" s="17">
        <v>1943.25</v>
      </c>
      <c r="E1367" s="17">
        <v>0</v>
      </c>
      <c r="F1367" s="7" t="str">
        <f>IF(A1367=IFERROR(VLOOKUP(A1367,CATALOGO!$B$2:$B$600,1,FALSE),"Falta"),"", "Falta")</f>
        <v>Falta</v>
      </c>
    </row>
    <row r="1368" spans="1:6" x14ac:dyDescent="0.25">
      <c r="A1368" s="11" t="str">
        <f t="shared" si="21"/>
        <v/>
      </c>
      <c r="B1368" s="17" t="s">
        <v>1859</v>
      </c>
      <c r="C1368" s="17" t="s">
        <v>1901</v>
      </c>
      <c r="D1368" s="17">
        <v>0</v>
      </c>
      <c r="E1368" s="17">
        <v>0</v>
      </c>
      <c r="F1368" s="7" t="str">
        <f>IF(A1368=IFERROR(VLOOKUP(A1368,CATALOGO!$B$2:$B$600,1,FALSE),"Falta"),"", "Falta")</f>
        <v>Falta</v>
      </c>
    </row>
    <row r="1369" spans="1:6" x14ac:dyDescent="0.25">
      <c r="A1369" s="11" t="str">
        <f t="shared" si="21"/>
        <v/>
      </c>
      <c r="B1369" s="17" t="s">
        <v>1859</v>
      </c>
      <c r="C1369" s="17" t="s">
        <v>1901</v>
      </c>
      <c r="D1369" s="17">
        <v>0</v>
      </c>
      <c r="E1369" s="17">
        <v>0</v>
      </c>
      <c r="F1369" s="7" t="str">
        <f>IF(A1369=IFERROR(VLOOKUP(A1369,CATALOGO!$B$2:$B$600,1,FALSE),"Falta"),"", "Falta")</f>
        <v>Falta</v>
      </c>
    </row>
    <row r="1370" spans="1:6" x14ac:dyDescent="0.25">
      <c r="A1370" s="11" t="str">
        <f t="shared" si="21"/>
        <v/>
      </c>
      <c r="B1370" s="17" t="s">
        <v>1859</v>
      </c>
      <c r="C1370" s="17" t="s">
        <v>1901</v>
      </c>
      <c r="D1370" s="17">
        <v>0</v>
      </c>
      <c r="E1370" s="17">
        <v>0</v>
      </c>
      <c r="F1370" s="7" t="str">
        <f>IF(A1370=IFERROR(VLOOKUP(A1370,CATALOGO!$B$2:$B$600,1,FALSE),"Falta"),"", "Falta")</f>
        <v>Falta</v>
      </c>
    </row>
    <row r="1371" spans="1:6" x14ac:dyDescent="0.25">
      <c r="A1371" s="11" t="str">
        <f t="shared" si="21"/>
        <v/>
      </c>
      <c r="B1371" s="17" t="s">
        <v>1859</v>
      </c>
      <c r="C1371" s="17" t="s">
        <v>1902</v>
      </c>
      <c r="D1371" s="17">
        <v>1996.49</v>
      </c>
      <c r="E1371" s="17">
        <v>0</v>
      </c>
      <c r="F1371" s="7" t="str">
        <f>IF(A1371=IFERROR(VLOOKUP(A1371,CATALOGO!$B$2:$B$600,1,FALSE),"Falta"),"", "Falta")</f>
        <v>Falta</v>
      </c>
    </row>
    <row r="1372" spans="1:6" x14ac:dyDescent="0.25">
      <c r="A1372" s="11" t="str">
        <f t="shared" si="21"/>
        <v/>
      </c>
      <c r="B1372" s="17" t="s">
        <v>1859</v>
      </c>
      <c r="C1372" s="17" t="s">
        <v>1903</v>
      </c>
      <c r="D1372" s="17">
        <v>2056.9899999999998</v>
      </c>
      <c r="E1372" s="17">
        <v>0</v>
      </c>
      <c r="F1372" s="7" t="str">
        <f>IF(A1372=IFERROR(VLOOKUP(A1372,CATALOGO!$B$2:$B$600,1,FALSE),"Falta"),"", "Falta")</f>
        <v>Falta</v>
      </c>
    </row>
    <row r="1373" spans="1:6" x14ac:dyDescent="0.25">
      <c r="A1373" s="11" t="str">
        <f t="shared" si="21"/>
        <v/>
      </c>
      <c r="B1373" s="17" t="s">
        <v>1859</v>
      </c>
      <c r="C1373" s="17" t="s">
        <v>1904</v>
      </c>
      <c r="D1373" s="17">
        <v>2117.4899999999998</v>
      </c>
      <c r="E1373" s="17">
        <v>0</v>
      </c>
      <c r="F1373" s="7" t="str">
        <f>IF(A1373=IFERROR(VLOOKUP(A1373,CATALOGO!$B$2:$B$600,1,FALSE),"Falta"),"", "Falta")</f>
        <v>Falta</v>
      </c>
    </row>
    <row r="1374" spans="1:6" x14ac:dyDescent="0.25">
      <c r="A1374" s="11" t="str">
        <f t="shared" si="21"/>
        <v/>
      </c>
      <c r="B1374" s="17" t="s">
        <v>1859</v>
      </c>
      <c r="C1374" s="17" t="s">
        <v>1905</v>
      </c>
      <c r="D1374" s="17">
        <v>1996.49</v>
      </c>
      <c r="E1374" s="17">
        <v>0</v>
      </c>
      <c r="F1374" s="7" t="str">
        <f>IF(A1374=IFERROR(VLOOKUP(A1374,CATALOGO!$B$2:$B$600,1,FALSE),"Falta"),"", "Falta")</f>
        <v>Falta</v>
      </c>
    </row>
    <row r="1375" spans="1:6" x14ac:dyDescent="0.25">
      <c r="A1375" s="11" t="str">
        <f t="shared" si="21"/>
        <v/>
      </c>
      <c r="B1375" s="17" t="s">
        <v>1859</v>
      </c>
      <c r="C1375" s="17" t="s">
        <v>1906</v>
      </c>
      <c r="D1375" s="17">
        <v>2056.9899999999998</v>
      </c>
      <c r="E1375" s="17">
        <v>0</v>
      </c>
      <c r="F1375" s="7" t="str">
        <f>IF(A1375=IFERROR(VLOOKUP(A1375,CATALOGO!$B$2:$B$600,1,FALSE),"Falta"),"", "Falta")</f>
        <v>Falta</v>
      </c>
    </row>
    <row r="1376" spans="1:6" x14ac:dyDescent="0.25">
      <c r="A1376" s="11" t="str">
        <f t="shared" si="21"/>
        <v/>
      </c>
      <c r="B1376" s="17" t="s">
        <v>1859</v>
      </c>
      <c r="C1376" s="17" t="s">
        <v>198</v>
      </c>
      <c r="D1376" s="17">
        <v>1996.49</v>
      </c>
      <c r="E1376" s="17">
        <v>15</v>
      </c>
      <c r="F1376" s="7" t="str">
        <f>IF(A1376=IFERROR(VLOOKUP(A1376,CATALOGO!$B$2:$B$600,1,FALSE),"Falta"),"", "Falta")</f>
        <v>Falta</v>
      </c>
    </row>
    <row r="1377" spans="1:6" x14ac:dyDescent="0.25">
      <c r="A1377" s="11" t="str">
        <f t="shared" si="21"/>
        <v/>
      </c>
      <c r="B1377" s="17" t="s">
        <v>1859</v>
      </c>
      <c r="C1377" s="17" t="s">
        <v>199</v>
      </c>
      <c r="D1377" s="17">
        <v>2056.9899999999998</v>
      </c>
      <c r="E1377" s="17">
        <v>0</v>
      </c>
      <c r="F1377" s="7" t="str">
        <f>IF(A1377=IFERROR(VLOOKUP(A1377,CATALOGO!$B$2:$B$600,1,FALSE),"Falta"),"", "Falta")</f>
        <v>Falta</v>
      </c>
    </row>
    <row r="1378" spans="1:6" x14ac:dyDescent="0.25">
      <c r="A1378" s="11" t="str">
        <f t="shared" si="21"/>
        <v/>
      </c>
      <c r="B1378" s="17" t="s">
        <v>1859</v>
      </c>
      <c r="C1378" s="17" t="s">
        <v>1484</v>
      </c>
      <c r="D1378" s="17">
        <v>1996.49</v>
      </c>
      <c r="E1378" s="17">
        <v>1</v>
      </c>
      <c r="F1378" s="7" t="str">
        <f>IF(A1378=IFERROR(VLOOKUP(A1378,CATALOGO!$B$2:$B$600,1,FALSE),"Falta"),"", "Falta")</f>
        <v>Falta</v>
      </c>
    </row>
    <row r="1379" spans="1:6" x14ac:dyDescent="0.25">
      <c r="A1379" s="11" t="str">
        <f t="shared" si="21"/>
        <v/>
      </c>
      <c r="B1379" s="17" t="s">
        <v>1859</v>
      </c>
      <c r="C1379" s="17" t="s">
        <v>1485</v>
      </c>
      <c r="D1379" s="17">
        <v>2056.9899999999998</v>
      </c>
      <c r="E1379" s="17">
        <v>0</v>
      </c>
      <c r="F1379" s="7" t="str">
        <f>IF(A1379=IFERROR(VLOOKUP(A1379,CATALOGO!$B$2:$B$600,1,FALSE),"Falta"),"", "Falta")</f>
        <v>Falta</v>
      </c>
    </row>
    <row r="1380" spans="1:6" x14ac:dyDescent="0.25">
      <c r="A1380" s="11" t="str">
        <f t="shared" si="21"/>
        <v/>
      </c>
      <c r="B1380" s="17" t="s">
        <v>1859</v>
      </c>
      <c r="C1380" s="17" t="s">
        <v>1859</v>
      </c>
      <c r="D1380" s="17">
        <v>0</v>
      </c>
      <c r="E1380" s="17">
        <v>0</v>
      </c>
      <c r="F1380" s="7" t="str">
        <f>IF(A1380=IFERROR(VLOOKUP(A1380,CATALOGO!$B$2:$B$600,1,FALSE),"Falta"),"", "Falta")</f>
        <v>Falta</v>
      </c>
    </row>
    <row r="1381" spans="1:6" x14ac:dyDescent="0.25">
      <c r="A1381" s="11" t="str">
        <f t="shared" si="21"/>
        <v/>
      </c>
      <c r="B1381" s="17" t="s">
        <v>1859</v>
      </c>
      <c r="C1381" s="17" t="s">
        <v>1907</v>
      </c>
      <c r="D1381" s="17">
        <v>0</v>
      </c>
      <c r="E1381" s="17">
        <v>0</v>
      </c>
      <c r="F1381" s="7" t="str">
        <f>IF(A1381=IFERROR(VLOOKUP(A1381,CATALOGO!$B$2:$B$600,1,FALSE),"Falta"),"", "Falta")</f>
        <v>Falta</v>
      </c>
    </row>
    <row r="1382" spans="1:6" x14ac:dyDescent="0.25">
      <c r="A1382" s="11" t="str">
        <f t="shared" si="21"/>
        <v/>
      </c>
      <c r="B1382" s="17" t="s">
        <v>1859</v>
      </c>
      <c r="C1382" s="17" t="s">
        <v>1859</v>
      </c>
      <c r="D1382" s="17">
        <v>0</v>
      </c>
      <c r="E1382" s="17">
        <v>0</v>
      </c>
      <c r="F1382" s="7" t="str">
        <f>IF(A1382=IFERROR(VLOOKUP(A1382,CATALOGO!$B$2:$B$600,1,FALSE),"Falta"),"", "Falta")</f>
        <v>Falta</v>
      </c>
    </row>
    <row r="1383" spans="1:6" x14ac:dyDescent="0.25">
      <c r="A1383" s="11" t="str">
        <f t="shared" si="21"/>
        <v/>
      </c>
      <c r="B1383" s="17" t="s">
        <v>1859</v>
      </c>
      <c r="C1383" s="17" t="s">
        <v>1908</v>
      </c>
      <c r="D1383" s="17">
        <v>0</v>
      </c>
      <c r="E1383" s="17">
        <v>0</v>
      </c>
      <c r="F1383" s="7" t="str">
        <f>IF(A1383=IFERROR(VLOOKUP(A1383,CATALOGO!$B$2:$B$600,1,FALSE),"Falta"),"", "Falta")</f>
        <v>Falta</v>
      </c>
    </row>
    <row r="1384" spans="1:6" x14ac:dyDescent="0.25">
      <c r="A1384" s="11" t="str">
        <f t="shared" si="21"/>
        <v/>
      </c>
      <c r="B1384" s="17" t="s">
        <v>1859</v>
      </c>
      <c r="C1384" s="17" t="s">
        <v>1859</v>
      </c>
      <c r="D1384" s="17">
        <v>0</v>
      </c>
      <c r="E1384" s="17">
        <v>0</v>
      </c>
      <c r="F1384" s="7" t="str">
        <f>IF(A1384=IFERROR(VLOOKUP(A1384,CATALOGO!$B$2:$B$600,1,FALSE),"Falta"),"", "Falta")</f>
        <v>Falta</v>
      </c>
    </row>
    <row r="1385" spans="1:6" x14ac:dyDescent="0.25">
      <c r="A1385" s="11" t="str">
        <f t="shared" si="21"/>
        <v/>
      </c>
      <c r="B1385" s="17" t="s">
        <v>1859</v>
      </c>
      <c r="C1385" s="17" t="s">
        <v>1909</v>
      </c>
      <c r="D1385" s="17">
        <v>0</v>
      </c>
      <c r="E1385" s="17">
        <v>0</v>
      </c>
      <c r="F1385" s="7" t="str">
        <f>IF(A1385=IFERROR(VLOOKUP(A1385,CATALOGO!$B$2:$B$600,1,FALSE),"Falta"),"", "Falta")</f>
        <v>Falta</v>
      </c>
    </row>
    <row r="1386" spans="1:6" x14ac:dyDescent="0.25">
      <c r="A1386" s="11" t="str">
        <f t="shared" si="21"/>
        <v/>
      </c>
      <c r="B1386" s="17" t="s">
        <v>1859</v>
      </c>
      <c r="C1386" s="17" t="s">
        <v>1859</v>
      </c>
      <c r="D1386" s="17">
        <v>0</v>
      </c>
      <c r="E1386" s="17">
        <v>0</v>
      </c>
      <c r="F1386" s="7" t="str">
        <f>IF(A1386=IFERROR(VLOOKUP(A1386,CATALOGO!$B$2:$B$600,1,FALSE),"Falta"),"", "Falta")</f>
        <v>Falta</v>
      </c>
    </row>
    <row r="1387" spans="1:6" x14ac:dyDescent="0.25">
      <c r="A1387" s="11" t="str">
        <f t="shared" si="21"/>
        <v/>
      </c>
      <c r="B1387" s="17" t="s">
        <v>1859</v>
      </c>
      <c r="C1387" s="17" t="s">
        <v>1910</v>
      </c>
      <c r="D1387" s="17">
        <v>0</v>
      </c>
      <c r="E1387" s="17">
        <v>0</v>
      </c>
      <c r="F1387" s="7" t="str">
        <f>IF(A1387=IFERROR(VLOOKUP(A1387,CATALOGO!$B$2:$B$600,1,FALSE),"Falta"),"", "Falta")</f>
        <v>Falta</v>
      </c>
    </row>
    <row r="1388" spans="1:6" x14ac:dyDescent="0.25">
      <c r="A1388" s="11" t="str">
        <f t="shared" si="21"/>
        <v/>
      </c>
      <c r="B1388" s="17" t="s">
        <v>1859</v>
      </c>
      <c r="C1388" s="17" t="s">
        <v>1859</v>
      </c>
      <c r="D1388" s="17">
        <v>0</v>
      </c>
      <c r="E1388" s="17">
        <v>0</v>
      </c>
      <c r="F1388" s="7" t="str">
        <f>IF(A1388=IFERROR(VLOOKUP(A1388,CATALOGO!$B$2:$B$600,1,FALSE),"Falta"),"", "Falta")</f>
        <v>Falta</v>
      </c>
    </row>
    <row r="1389" spans="1:6" x14ac:dyDescent="0.25">
      <c r="A1389" s="11" t="str">
        <f t="shared" si="21"/>
        <v/>
      </c>
      <c r="B1389" s="17" t="s">
        <v>1859</v>
      </c>
      <c r="C1389" s="17" t="s">
        <v>1911</v>
      </c>
      <c r="D1389" s="17">
        <v>0</v>
      </c>
      <c r="E1389" s="17">
        <v>0</v>
      </c>
      <c r="F1389" s="7" t="str">
        <f>IF(A1389=IFERROR(VLOOKUP(A1389,CATALOGO!$B$2:$B$600,1,FALSE),"Falta"),"", "Falta")</f>
        <v>Falta</v>
      </c>
    </row>
    <row r="1390" spans="1:6" x14ac:dyDescent="0.25">
      <c r="A1390" s="11" t="str">
        <f t="shared" si="21"/>
        <v/>
      </c>
      <c r="B1390" s="17" t="s">
        <v>1859</v>
      </c>
      <c r="C1390" s="17" t="s">
        <v>1859</v>
      </c>
      <c r="D1390" s="17">
        <v>0</v>
      </c>
      <c r="E1390" s="17">
        <v>0</v>
      </c>
      <c r="F1390" s="7" t="str">
        <f>IF(A1390=IFERROR(VLOOKUP(A1390,CATALOGO!$B$2:$B$600,1,FALSE),"Falta"),"", "Falta")</f>
        <v>Falta</v>
      </c>
    </row>
    <row r="1391" spans="1:6" x14ac:dyDescent="0.25">
      <c r="A1391" s="11" t="str">
        <f t="shared" si="21"/>
        <v/>
      </c>
      <c r="B1391" s="17" t="s">
        <v>1859</v>
      </c>
      <c r="C1391" s="17" t="s">
        <v>1912</v>
      </c>
      <c r="D1391" s="17">
        <v>0</v>
      </c>
      <c r="E1391" s="17">
        <v>0</v>
      </c>
      <c r="F1391" s="7" t="str">
        <f>IF(A1391=IFERROR(VLOOKUP(A1391,CATALOGO!$B$2:$B$600,1,FALSE),"Falta"),"", "Falta")</f>
        <v>Falta</v>
      </c>
    </row>
    <row r="1392" spans="1:6" x14ac:dyDescent="0.25">
      <c r="A1392" s="11" t="str">
        <f t="shared" si="21"/>
        <v/>
      </c>
      <c r="B1392" s="17" t="s">
        <v>1859</v>
      </c>
      <c r="C1392" s="17" t="s">
        <v>1859</v>
      </c>
      <c r="D1392" s="17">
        <v>0</v>
      </c>
      <c r="E1392" s="17">
        <v>0</v>
      </c>
      <c r="F1392" s="7" t="str">
        <f>IF(A1392=IFERROR(VLOOKUP(A1392,CATALOGO!$B$2:$B$600,1,FALSE),"Falta"),"", "Falta")</f>
        <v>Falta</v>
      </c>
    </row>
    <row r="1393" spans="1:6" x14ac:dyDescent="0.25">
      <c r="A1393" s="11" t="str">
        <f t="shared" si="21"/>
        <v/>
      </c>
      <c r="B1393" s="17" t="s">
        <v>1859</v>
      </c>
      <c r="C1393" s="17" t="s">
        <v>1913</v>
      </c>
      <c r="D1393" s="17">
        <v>0</v>
      </c>
      <c r="E1393" s="17">
        <v>0</v>
      </c>
      <c r="F1393" s="7" t="str">
        <f>IF(A1393=IFERROR(VLOOKUP(A1393,CATALOGO!$B$2:$B$600,1,FALSE),"Falta"),"", "Falta")</f>
        <v>Falta</v>
      </c>
    </row>
    <row r="1394" spans="1:6" x14ac:dyDescent="0.25">
      <c r="A1394" s="11" t="str">
        <f t="shared" si="21"/>
        <v/>
      </c>
      <c r="B1394" s="17" t="s">
        <v>1859</v>
      </c>
      <c r="C1394" s="17" t="s">
        <v>1859</v>
      </c>
      <c r="D1394" s="17">
        <v>0</v>
      </c>
      <c r="E1394" s="17">
        <v>0</v>
      </c>
      <c r="F1394" s="7" t="str">
        <f>IF(A1394=IFERROR(VLOOKUP(A1394,CATALOGO!$B$2:$B$600,1,FALSE),"Falta"),"", "Falta")</f>
        <v>Falta</v>
      </c>
    </row>
    <row r="1395" spans="1:6" x14ac:dyDescent="0.25">
      <c r="A1395" s="11" t="str">
        <f t="shared" si="21"/>
        <v/>
      </c>
      <c r="B1395" s="17" t="s">
        <v>1859</v>
      </c>
      <c r="C1395" s="17" t="s">
        <v>1914</v>
      </c>
      <c r="D1395" s="17">
        <v>0</v>
      </c>
      <c r="E1395" s="17">
        <v>0</v>
      </c>
      <c r="F1395" s="7" t="str">
        <f>IF(A1395=IFERROR(VLOOKUP(A1395,CATALOGO!$B$2:$B$600,1,FALSE),"Falta"),"", "Falta")</f>
        <v>Falta</v>
      </c>
    </row>
    <row r="1396" spans="1:6" x14ac:dyDescent="0.25">
      <c r="A1396" s="11" t="str">
        <f t="shared" si="21"/>
        <v/>
      </c>
      <c r="B1396" s="17" t="s">
        <v>1859</v>
      </c>
      <c r="C1396" s="17" t="s">
        <v>204</v>
      </c>
      <c r="D1396" s="17">
        <v>1760</v>
      </c>
      <c r="E1396" s="17">
        <v>3</v>
      </c>
      <c r="F1396" s="7" t="str">
        <f>IF(A1396=IFERROR(VLOOKUP(A1396,CATALOGO!$B$2:$B$600,1,FALSE),"Falta"),"", "Falta")</f>
        <v>Falta</v>
      </c>
    </row>
    <row r="1397" spans="1:6" x14ac:dyDescent="0.25">
      <c r="A1397" s="11" t="str">
        <f t="shared" si="21"/>
        <v/>
      </c>
      <c r="B1397" s="17" t="s">
        <v>1859</v>
      </c>
      <c r="C1397" s="17" t="s">
        <v>1859</v>
      </c>
      <c r="D1397" s="17">
        <v>0</v>
      </c>
      <c r="E1397" s="17">
        <v>0</v>
      </c>
      <c r="F1397" s="7" t="str">
        <f>IF(A1397=IFERROR(VLOOKUP(A1397,CATALOGO!$B$2:$B$600,1,FALSE),"Falta"),"", "Falta")</f>
        <v>Falta</v>
      </c>
    </row>
    <row r="1398" spans="1:6" x14ac:dyDescent="0.25">
      <c r="A1398" s="11" t="str">
        <f t="shared" si="21"/>
        <v/>
      </c>
      <c r="B1398" s="17" t="s">
        <v>1859</v>
      </c>
      <c r="C1398" s="17" t="s">
        <v>1915</v>
      </c>
      <c r="D1398" s="17">
        <v>0</v>
      </c>
      <c r="E1398" s="17">
        <v>0</v>
      </c>
      <c r="F1398" s="7" t="str">
        <f>IF(A1398=IFERROR(VLOOKUP(A1398,CATALOGO!$B$2:$B$600,1,FALSE),"Falta"),"", "Falta")</f>
        <v>Falta</v>
      </c>
    </row>
    <row r="1399" spans="1:6" x14ac:dyDescent="0.25">
      <c r="A1399" s="11" t="str">
        <f t="shared" si="21"/>
        <v/>
      </c>
      <c r="B1399" s="17" t="s">
        <v>1859</v>
      </c>
      <c r="C1399" s="17" t="s">
        <v>1859</v>
      </c>
      <c r="D1399" s="17">
        <v>0</v>
      </c>
      <c r="E1399" s="17">
        <v>0</v>
      </c>
      <c r="F1399" s="7" t="str">
        <f>IF(A1399=IFERROR(VLOOKUP(A1399,CATALOGO!$B$2:$B$600,1,FALSE),"Falta"),"", "Falta")</f>
        <v>Falta</v>
      </c>
    </row>
    <row r="1400" spans="1:6" x14ac:dyDescent="0.25">
      <c r="A1400" s="11" t="str">
        <f t="shared" si="21"/>
        <v/>
      </c>
      <c r="B1400" s="17" t="s">
        <v>1859</v>
      </c>
      <c r="C1400" s="17" t="s">
        <v>1916</v>
      </c>
      <c r="D1400" s="17">
        <v>0</v>
      </c>
      <c r="E1400" s="17">
        <v>0</v>
      </c>
      <c r="F1400" s="7" t="str">
        <f>IF(A1400=IFERROR(VLOOKUP(A1400,CATALOGO!$B$2:$B$600,1,FALSE),"Falta"),"", "Falta")</f>
        <v>Falta</v>
      </c>
    </row>
    <row r="1401" spans="1:6" x14ac:dyDescent="0.25">
      <c r="A1401" s="11" t="str">
        <f t="shared" si="21"/>
        <v/>
      </c>
      <c r="B1401" s="17" t="s">
        <v>1859</v>
      </c>
      <c r="C1401" s="17" t="s">
        <v>1859</v>
      </c>
      <c r="D1401" s="17">
        <v>0</v>
      </c>
      <c r="E1401" s="17">
        <v>0</v>
      </c>
      <c r="F1401" s="7" t="str">
        <f>IF(A1401=IFERROR(VLOOKUP(A1401,CATALOGO!$B$2:$B$600,1,FALSE),"Falta"),"", "Falta")</f>
        <v>Falta</v>
      </c>
    </row>
    <row r="1402" spans="1:6" x14ac:dyDescent="0.25">
      <c r="A1402" s="11" t="str">
        <f t="shared" si="21"/>
        <v/>
      </c>
      <c r="B1402" s="17" t="s">
        <v>1859</v>
      </c>
      <c r="C1402" s="17" t="s">
        <v>1917</v>
      </c>
      <c r="D1402" s="17">
        <v>0</v>
      </c>
      <c r="E1402" s="17">
        <v>0</v>
      </c>
      <c r="F1402" s="7" t="str">
        <f>IF(A1402=IFERROR(VLOOKUP(A1402,CATALOGO!$B$2:$B$600,1,FALSE),"Falta"),"", "Falta")</f>
        <v>Falta</v>
      </c>
    </row>
    <row r="1403" spans="1:6" x14ac:dyDescent="0.25">
      <c r="A1403" s="11" t="str">
        <f t="shared" si="21"/>
        <v/>
      </c>
      <c r="B1403" s="17" t="s">
        <v>1859</v>
      </c>
      <c r="C1403" s="17" t="s">
        <v>1859</v>
      </c>
      <c r="D1403" s="17">
        <v>0</v>
      </c>
      <c r="E1403" s="17">
        <v>0</v>
      </c>
      <c r="F1403" s="7" t="str">
        <f>IF(A1403=IFERROR(VLOOKUP(A1403,CATALOGO!$B$2:$B$600,1,FALSE),"Falta"),"", "Falta")</f>
        <v>Falta</v>
      </c>
    </row>
    <row r="1404" spans="1:6" x14ac:dyDescent="0.25">
      <c r="A1404" s="11" t="str">
        <f t="shared" si="21"/>
        <v/>
      </c>
      <c r="B1404" s="17" t="s">
        <v>1859</v>
      </c>
      <c r="C1404" s="17" t="s">
        <v>1918</v>
      </c>
      <c r="D1404" s="17">
        <v>0</v>
      </c>
      <c r="E1404" s="17">
        <v>0</v>
      </c>
      <c r="F1404" s="7" t="str">
        <f>IF(A1404=IFERROR(VLOOKUP(A1404,CATALOGO!$B$2:$B$600,1,FALSE),"Falta"),"", "Falta")</f>
        <v>Falta</v>
      </c>
    </row>
    <row r="1405" spans="1:6" x14ac:dyDescent="0.25">
      <c r="A1405" s="11" t="str">
        <f t="shared" si="21"/>
        <v/>
      </c>
      <c r="B1405" s="17" t="s">
        <v>1859</v>
      </c>
      <c r="C1405" s="17" t="s">
        <v>1859</v>
      </c>
      <c r="D1405" s="17">
        <v>0</v>
      </c>
      <c r="E1405" s="17">
        <v>0</v>
      </c>
      <c r="F1405" s="7" t="str">
        <f>IF(A1405=IFERROR(VLOOKUP(A1405,CATALOGO!$B$2:$B$600,1,FALSE),"Falta"),"", "Falta")</f>
        <v>Falta</v>
      </c>
    </row>
    <row r="1406" spans="1:6" x14ac:dyDescent="0.25">
      <c r="A1406" s="11" t="str">
        <f t="shared" si="21"/>
        <v/>
      </c>
      <c r="B1406" s="17" t="s">
        <v>1859</v>
      </c>
      <c r="C1406" s="17" t="s">
        <v>1919</v>
      </c>
      <c r="D1406" s="17">
        <v>0</v>
      </c>
      <c r="E1406" s="17">
        <v>0</v>
      </c>
      <c r="F1406" s="7" t="str">
        <f>IF(A1406=IFERROR(VLOOKUP(A1406,CATALOGO!$B$2:$B$600,1,FALSE),"Falta"),"", "Falta")</f>
        <v>Falta</v>
      </c>
    </row>
    <row r="1407" spans="1:6" x14ac:dyDescent="0.25">
      <c r="A1407" s="11" t="str">
        <f t="shared" si="21"/>
        <v/>
      </c>
      <c r="B1407" s="17" t="s">
        <v>1859</v>
      </c>
      <c r="C1407" s="17" t="s">
        <v>1859</v>
      </c>
      <c r="D1407" s="17">
        <v>0</v>
      </c>
      <c r="E1407" s="17">
        <v>0</v>
      </c>
      <c r="F1407" s="7" t="str">
        <f>IF(A1407=IFERROR(VLOOKUP(A1407,CATALOGO!$B$2:$B$600,1,FALSE),"Falta"),"", "Falta")</f>
        <v>Falta</v>
      </c>
    </row>
    <row r="1408" spans="1:6" x14ac:dyDescent="0.25">
      <c r="A1408" s="11" t="str">
        <f t="shared" si="21"/>
        <v/>
      </c>
      <c r="B1408" s="17" t="s">
        <v>1859</v>
      </c>
      <c r="C1408" s="17" t="s">
        <v>1920</v>
      </c>
      <c r="D1408" s="17">
        <v>0</v>
      </c>
      <c r="E1408" s="17">
        <v>0</v>
      </c>
      <c r="F1408" s="7" t="str">
        <f>IF(A1408=IFERROR(VLOOKUP(A1408,CATALOGO!$B$2:$B$600,1,FALSE),"Falta"),"", "Falta")</f>
        <v>Falta</v>
      </c>
    </row>
    <row r="1409" spans="1:6" x14ac:dyDescent="0.25">
      <c r="A1409" s="11" t="str">
        <f t="shared" si="21"/>
        <v/>
      </c>
      <c r="B1409" s="17" t="s">
        <v>1859</v>
      </c>
      <c r="C1409" s="17" t="s">
        <v>1859</v>
      </c>
      <c r="D1409" s="17">
        <v>0</v>
      </c>
      <c r="E1409" s="17">
        <v>0</v>
      </c>
      <c r="F1409" s="7" t="str">
        <f>IF(A1409=IFERROR(VLOOKUP(A1409,CATALOGO!$B$2:$B$600,1,FALSE),"Falta"),"", "Falta")</f>
        <v>Falta</v>
      </c>
    </row>
    <row r="1410" spans="1:6" x14ac:dyDescent="0.25">
      <c r="A1410" s="11" t="str">
        <f t="shared" si="21"/>
        <v/>
      </c>
      <c r="B1410" s="17" t="s">
        <v>1859</v>
      </c>
      <c r="C1410" s="17" t="s">
        <v>1921</v>
      </c>
      <c r="D1410" s="17">
        <v>0</v>
      </c>
      <c r="E1410" s="17">
        <v>0</v>
      </c>
      <c r="F1410" s="7" t="str">
        <f>IF(A1410=IFERROR(VLOOKUP(A1410,CATALOGO!$B$2:$B$600,1,FALSE),"Falta"),"", "Falta")</f>
        <v>Falta</v>
      </c>
    </row>
    <row r="1411" spans="1:6" x14ac:dyDescent="0.25">
      <c r="A1411" s="11" t="str">
        <f t="shared" si="21"/>
        <v/>
      </c>
      <c r="B1411" s="17" t="s">
        <v>1859</v>
      </c>
      <c r="C1411" s="17" t="s">
        <v>1859</v>
      </c>
      <c r="D1411" s="17">
        <v>0</v>
      </c>
      <c r="E1411" s="17">
        <v>0</v>
      </c>
      <c r="F1411" s="7" t="str">
        <f>IF(A1411=IFERROR(VLOOKUP(A1411,CATALOGO!$B$2:$B$600,1,FALSE),"Falta"),"", "Falta")</f>
        <v>Falta</v>
      </c>
    </row>
    <row r="1412" spans="1:6" x14ac:dyDescent="0.25">
      <c r="A1412" s="11" t="str">
        <f t="shared" si="21"/>
        <v/>
      </c>
      <c r="B1412" s="17" t="s">
        <v>1859</v>
      </c>
      <c r="C1412" s="17" t="s">
        <v>1922</v>
      </c>
      <c r="D1412" s="17">
        <v>0</v>
      </c>
      <c r="E1412" s="17">
        <v>0</v>
      </c>
      <c r="F1412" s="7" t="str">
        <f>IF(A1412=IFERROR(VLOOKUP(A1412,CATALOGO!$B$2:$B$600,1,FALSE),"Falta"),"", "Falta")</f>
        <v>Falta</v>
      </c>
    </row>
    <row r="1413" spans="1:6" x14ac:dyDescent="0.25">
      <c r="A1413" s="11" t="str">
        <f t="shared" si="21"/>
        <v/>
      </c>
      <c r="B1413" s="17" t="s">
        <v>1859</v>
      </c>
      <c r="C1413" s="17" t="s">
        <v>1923</v>
      </c>
      <c r="D1413" s="17">
        <v>2076.35</v>
      </c>
      <c r="E1413" s="17">
        <v>0</v>
      </c>
      <c r="F1413" s="7" t="str">
        <f>IF(A1413=IFERROR(VLOOKUP(A1413,CATALOGO!$B$2:$B$600,1,FALSE),"Falta"),"", "Falta")</f>
        <v>Falta</v>
      </c>
    </row>
    <row r="1414" spans="1:6" x14ac:dyDescent="0.25">
      <c r="A1414" s="11" t="str">
        <f t="shared" ref="A1414:A1477" si="22">IFERROR(B1414*1,"")</f>
        <v/>
      </c>
      <c r="B1414" s="17" t="s">
        <v>1859</v>
      </c>
      <c r="C1414" s="17" t="s">
        <v>1859</v>
      </c>
      <c r="D1414" s="17">
        <v>0</v>
      </c>
      <c r="E1414" s="17">
        <v>0</v>
      </c>
      <c r="F1414" s="7" t="str">
        <f>IF(A1414=IFERROR(VLOOKUP(A1414,CATALOGO!$B$2:$B$600,1,FALSE),"Falta"),"", "Falta")</f>
        <v>Falta</v>
      </c>
    </row>
    <row r="1415" spans="1:6" x14ac:dyDescent="0.25">
      <c r="A1415" s="11" t="str">
        <f t="shared" si="22"/>
        <v/>
      </c>
      <c r="B1415" s="17" t="s">
        <v>1859</v>
      </c>
      <c r="C1415" s="17" t="s">
        <v>1924</v>
      </c>
      <c r="D1415" s="17">
        <v>0</v>
      </c>
      <c r="E1415" s="17">
        <v>0</v>
      </c>
      <c r="F1415" s="7" t="str">
        <f>IF(A1415=IFERROR(VLOOKUP(A1415,CATALOGO!$B$2:$B$600,1,FALSE),"Falta"),"", "Falta")</f>
        <v>Falta</v>
      </c>
    </row>
    <row r="1416" spans="1:6" x14ac:dyDescent="0.25">
      <c r="A1416" s="11" t="str">
        <f t="shared" si="22"/>
        <v/>
      </c>
      <c r="B1416" s="17" t="s">
        <v>1859</v>
      </c>
      <c r="C1416" s="17" t="s">
        <v>1859</v>
      </c>
      <c r="D1416" s="17">
        <v>0</v>
      </c>
      <c r="E1416" s="17">
        <v>0</v>
      </c>
      <c r="F1416" s="7" t="str">
        <f>IF(A1416=IFERROR(VLOOKUP(A1416,CATALOGO!$B$2:$B$600,1,FALSE),"Falta"),"", "Falta")</f>
        <v>Falta</v>
      </c>
    </row>
    <row r="1417" spans="1:6" x14ac:dyDescent="0.25">
      <c r="A1417" s="11" t="str">
        <f t="shared" si="22"/>
        <v/>
      </c>
      <c r="B1417" s="17" t="s">
        <v>1859</v>
      </c>
      <c r="C1417" s="17" t="s">
        <v>1925</v>
      </c>
      <c r="D1417" s="17">
        <v>0</v>
      </c>
      <c r="E1417" s="17">
        <v>0</v>
      </c>
      <c r="F1417" s="7" t="str">
        <f>IF(A1417=IFERROR(VLOOKUP(A1417,CATALOGO!$B$2:$B$600,1,FALSE),"Falta"),"", "Falta")</f>
        <v>Falta</v>
      </c>
    </row>
    <row r="1418" spans="1:6" x14ac:dyDescent="0.25">
      <c r="A1418" s="11" t="str">
        <f t="shared" si="22"/>
        <v/>
      </c>
      <c r="B1418" s="17" t="s">
        <v>1859</v>
      </c>
      <c r="C1418" s="17" t="s">
        <v>1859</v>
      </c>
      <c r="D1418" s="17">
        <v>0</v>
      </c>
      <c r="E1418" s="17">
        <v>0</v>
      </c>
      <c r="F1418" s="7" t="str">
        <f>IF(A1418=IFERROR(VLOOKUP(A1418,CATALOGO!$B$2:$B$600,1,FALSE),"Falta"),"", "Falta")</f>
        <v>Falta</v>
      </c>
    </row>
    <row r="1419" spans="1:6" x14ac:dyDescent="0.25">
      <c r="A1419" s="11" t="str">
        <f t="shared" si="22"/>
        <v/>
      </c>
      <c r="B1419" s="17" t="s">
        <v>1859</v>
      </c>
      <c r="C1419" s="17" t="s">
        <v>1926</v>
      </c>
      <c r="D1419" s="17">
        <v>0</v>
      </c>
      <c r="E1419" s="17">
        <v>0</v>
      </c>
      <c r="F1419" s="7" t="str">
        <f>IF(A1419=IFERROR(VLOOKUP(A1419,CATALOGO!$B$2:$B$600,1,FALSE),"Falta"),"", "Falta")</f>
        <v>Falta</v>
      </c>
    </row>
    <row r="1420" spans="1:6" x14ac:dyDescent="0.25">
      <c r="A1420" s="11" t="str">
        <f t="shared" si="22"/>
        <v/>
      </c>
      <c r="B1420" s="17" t="s">
        <v>1859</v>
      </c>
      <c r="C1420" s="17" t="s">
        <v>1859</v>
      </c>
      <c r="D1420" s="17">
        <v>0</v>
      </c>
      <c r="E1420" s="17">
        <v>0</v>
      </c>
      <c r="F1420" s="7" t="str">
        <f>IF(A1420=IFERROR(VLOOKUP(A1420,CATALOGO!$B$2:$B$600,1,FALSE),"Falta"),"", "Falta")</f>
        <v>Falta</v>
      </c>
    </row>
    <row r="1421" spans="1:6" x14ac:dyDescent="0.25">
      <c r="A1421" s="11" t="str">
        <f t="shared" si="22"/>
        <v/>
      </c>
      <c r="B1421" s="17" t="s">
        <v>1859</v>
      </c>
      <c r="C1421" s="17" t="s">
        <v>1927</v>
      </c>
      <c r="D1421" s="17">
        <v>0</v>
      </c>
      <c r="E1421" s="17">
        <v>0</v>
      </c>
      <c r="F1421" s="7" t="str">
        <f>IF(A1421=IFERROR(VLOOKUP(A1421,CATALOGO!$B$2:$B$600,1,FALSE),"Falta"),"", "Falta")</f>
        <v>Falta</v>
      </c>
    </row>
    <row r="1422" spans="1:6" x14ac:dyDescent="0.25">
      <c r="A1422" s="11" t="str">
        <f t="shared" si="22"/>
        <v/>
      </c>
      <c r="B1422" s="17" t="s">
        <v>1859</v>
      </c>
      <c r="C1422" s="17" t="s">
        <v>1859</v>
      </c>
      <c r="D1422" s="17">
        <v>0</v>
      </c>
      <c r="E1422" s="17">
        <v>0</v>
      </c>
      <c r="F1422" s="7" t="str">
        <f>IF(A1422=IFERROR(VLOOKUP(A1422,CATALOGO!$B$2:$B$600,1,FALSE),"Falta"),"", "Falta")</f>
        <v>Falta</v>
      </c>
    </row>
    <row r="1423" spans="1:6" x14ac:dyDescent="0.25">
      <c r="A1423" s="11" t="str">
        <f t="shared" si="22"/>
        <v/>
      </c>
      <c r="B1423" s="17" t="s">
        <v>1859</v>
      </c>
      <c r="C1423" s="17" t="s">
        <v>1928</v>
      </c>
      <c r="D1423" s="17">
        <v>0</v>
      </c>
      <c r="E1423" s="17">
        <v>0</v>
      </c>
      <c r="F1423" s="7" t="str">
        <f>IF(A1423=IFERROR(VLOOKUP(A1423,CATALOGO!$B$2:$B$600,1,FALSE),"Falta"),"", "Falta")</f>
        <v>Falta</v>
      </c>
    </row>
    <row r="1424" spans="1:6" x14ac:dyDescent="0.25">
      <c r="A1424" s="11" t="str">
        <f t="shared" si="22"/>
        <v/>
      </c>
      <c r="B1424" s="17" t="s">
        <v>1859</v>
      </c>
      <c r="C1424" s="17" t="s">
        <v>1859</v>
      </c>
      <c r="D1424" s="17">
        <v>0</v>
      </c>
      <c r="E1424" s="17">
        <v>0</v>
      </c>
      <c r="F1424" s="7" t="str">
        <f>IF(A1424=IFERROR(VLOOKUP(A1424,CATALOGO!$B$2:$B$600,1,FALSE),"Falta"),"", "Falta")</f>
        <v>Falta</v>
      </c>
    </row>
    <row r="1425" spans="1:6" x14ac:dyDescent="0.25">
      <c r="A1425" s="11" t="str">
        <f t="shared" si="22"/>
        <v/>
      </c>
      <c r="B1425" s="17" t="s">
        <v>1859</v>
      </c>
      <c r="C1425" s="17" t="s">
        <v>1929</v>
      </c>
      <c r="D1425" s="17">
        <v>0</v>
      </c>
      <c r="E1425" s="17">
        <v>0</v>
      </c>
      <c r="F1425" s="7" t="str">
        <f>IF(A1425=IFERROR(VLOOKUP(A1425,CATALOGO!$B$2:$B$600,1,FALSE),"Falta"),"", "Falta")</f>
        <v>Falta</v>
      </c>
    </row>
    <row r="1426" spans="1:6" x14ac:dyDescent="0.25">
      <c r="A1426" s="11" t="str">
        <f t="shared" si="22"/>
        <v/>
      </c>
      <c r="B1426" s="17" t="s">
        <v>1859</v>
      </c>
      <c r="C1426" s="17" t="s">
        <v>1859</v>
      </c>
      <c r="D1426" s="17">
        <v>0</v>
      </c>
      <c r="E1426" s="17">
        <v>0</v>
      </c>
      <c r="F1426" s="7" t="str">
        <f>IF(A1426=IFERROR(VLOOKUP(A1426,CATALOGO!$B$2:$B$600,1,FALSE),"Falta"),"", "Falta")</f>
        <v>Falta</v>
      </c>
    </row>
    <row r="1427" spans="1:6" x14ac:dyDescent="0.25">
      <c r="A1427" s="11" t="str">
        <f t="shared" si="22"/>
        <v/>
      </c>
      <c r="B1427" s="17" t="s">
        <v>1859</v>
      </c>
      <c r="C1427" s="17" t="s">
        <v>1930</v>
      </c>
      <c r="D1427" s="17">
        <v>0</v>
      </c>
      <c r="E1427" s="17">
        <v>0</v>
      </c>
      <c r="F1427" s="7" t="str">
        <f>IF(A1427=IFERROR(VLOOKUP(A1427,CATALOGO!$B$2:$B$600,1,FALSE),"Falta"),"", "Falta")</f>
        <v>Falta</v>
      </c>
    </row>
    <row r="1428" spans="1:6" x14ac:dyDescent="0.25">
      <c r="A1428" s="11" t="str">
        <f t="shared" si="22"/>
        <v/>
      </c>
      <c r="B1428" s="17" t="s">
        <v>1859</v>
      </c>
      <c r="C1428" s="17" t="s">
        <v>1859</v>
      </c>
      <c r="D1428" s="17">
        <v>0</v>
      </c>
      <c r="E1428" s="17">
        <v>0</v>
      </c>
      <c r="F1428" s="7" t="str">
        <f>IF(A1428=IFERROR(VLOOKUP(A1428,CATALOGO!$B$2:$B$600,1,FALSE),"Falta"),"", "Falta")</f>
        <v>Falta</v>
      </c>
    </row>
    <row r="1429" spans="1:6" x14ac:dyDescent="0.25">
      <c r="A1429" s="11" t="str">
        <f t="shared" si="22"/>
        <v/>
      </c>
      <c r="B1429" s="17" t="s">
        <v>1859</v>
      </c>
      <c r="C1429" s="17" t="s">
        <v>1931</v>
      </c>
      <c r="D1429" s="17">
        <v>0</v>
      </c>
      <c r="E1429" s="17">
        <v>0</v>
      </c>
      <c r="F1429" s="7" t="str">
        <f>IF(A1429=IFERROR(VLOOKUP(A1429,CATALOGO!$B$2:$B$600,1,FALSE),"Falta"),"", "Falta")</f>
        <v>Falta</v>
      </c>
    </row>
    <row r="1430" spans="1:6" x14ac:dyDescent="0.25">
      <c r="A1430" s="11" t="str">
        <f t="shared" si="22"/>
        <v/>
      </c>
      <c r="B1430" s="17" t="s">
        <v>1859</v>
      </c>
      <c r="C1430" s="17" t="s">
        <v>286</v>
      </c>
      <c r="D1430" s="17">
        <v>1996.49</v>
      </c>
      <c r="E1430" s="17">
        <v>3</v>
      </c>
      <c r="F1430" s="7" t="str">
        <f>IF(A1430=IFERROR(VLOOKUP(A1430,CATALOGO!$B$2:$B$600,1,FALSE),"Falta"),"", "Falta")</f>
        <v>Falta</v>
      </c>
    </row>
    <row r="1431" spans="1:6" x14ac:dyDescent="0.25">
      <c r="A1431" s="11" t="str">
        <f t="shared" si="22"/>
        <v/>
      </c>
      <c r="B1431" s="17" t="s">
        <v>1859</v>
      </c>
      <c r="C1431" s="17" t="s">
        <v>1486</v>
      </c>
      <c r="D1431" s="17">
        <v>2056.9899999999998</v>
      </c>
      <c r="E1431" s="17">
        <v>1</v>
      </c>
      <c r="F1431" s="7" t="str">
        <f>IF(A1431=IFERROR(VLOOKUP(A1431,CATALOGO!$B$2:$B$600,1,FALSE),"Falta"),"", "Falta")</f>
        <v>Falta</v>
      </c>
    </row>
    <row r="1432" spans="1:6" x14ac:dyDescent="0.25">
      <c r="A1432" s="11" t="str">
        <f t="shared" si="22"/>
        <v/>
      </c>
      <c r="B1432" s="17" t="s">
        <v>1859</v>
      </c>
      <c r="C1432" s="17" t="s">
        <v>1859</v>
      </c>
      <c r="D1432" s="17">
        <v>0</v>
      </c>
      <c r="E1432" s="17">
        <v>0</v>
      </c>
      <c r="F1432" s="7" t="str">
        <f>IF(A1432=IFERROR(VLOOKUP(A1432,CATALOGO!$B$2:$B$600,1,FALSE),"Falta"),"", "Falta")</f>
        <v>Falta</v>
      </c>
    </row>
    <row r="1433" spans="1:6" x14ac:dyDescent="0.25">
      <c r="A1433" s="11" t="str">
        <f t="shared" si="22"/>
        <v/>
      </c>
      <c r="B1433" s="17" t="s">
        <v>1859</v>
      </c>
      <c r="C1433" s="17" t="s">
        <v>1932</v>
      </c>
      <c r="D1433" s="17">
        <v>0</v>
      </c>
      <c r="E1433" s="17">
        <v>0</v>
      </c>
      <c r="F1433" s="7" t="str">
        <f>IF(A1433=IFERROR(VLOOKUP(A1433,CATALOGO!$B$2:$B$600,1,FALSE),"Falta"),"", "Falta")</f>
        <v>Falta</v>
      </c>
    </row>
    <row r="1434" spans="1:6" x14ac:dyDescent="0.25">
      <c r="A1434" s="11" t="str">
        <f t="shared" si="22"/>
        <v/>
      </c>
      <c r="B1434" s="17" t="s">
        <v>1859</v>
      </c>
      <c r="C1434" s="17" t="s">
        <v>1859</v>
      </c>
      <c r="D1434" s="17">
        <v>0</v>
      </c>
      <c r="E1434" s="17">
        <v>0</v>
      </c>
      <c r="F1434" s="7" t="str">
        <f>IF(A1434=IFERROR(VLOOKUP(A1434,CATALOGO!$B$2:$B$600,1,FALSE),"Falta"),"", "Falta")</f>
        <v>Falta</v>
      </c>
    </row>
    <row r="1435" spans="1:6" x14ac:dyDescent="0.25">
      <c r="A1435" s="11" t="str">
        <f t="shared" si="22"/>
        <v/>
      </c>
      <c r="B1435" s="17" t="s">
        <v>1859</v>
      </c>
      <c r="C1435" s="17" t="s">
        <v>1933</v>
      </c>
      <c r="D1435" s="17">
        <v>0</v>
      </c>
      <c r="E1435" s="17">
        <v>0</v>
      </c>
      <c r="F1435" s="7" t="str">
        <f>IF(A1435=IFERROR(VLOOKUP(A1435,CATALOGO!$B$2:$B$600,1,FALSE),"Falta"),"", "Falta")</f>
        <v>Falta</v>
      </c>
    </row>
    <row r="1436" spans="1:6" x14ac:dyDescent="0.25">
      <c r="A1436" s="11" t="str">
        <f t="shared" si="22"/>
        <v/>
      </c>
      <c r="B1436" s="17" t="s">
        <v>1859</v>
      </c>
      <c r="C1436" s="17" t="s">
        <v>1859</v>
      </c>
      <c r="D1436" s="17">
        <v>0</v>
      </c>
      <c r="E1436" s="17">
        <v>0</v>
      </c>
      <c r="F1436" s="7" t="str">
        <f>IF(A1436=IFERROR(VLOOKUP(A1436,CATALOGO!$B$2:$B$600,1,FALSE),"Falta"),"", "Falta")</f>
        <v>Falta</v>
      </c>
    </row>
    <row r="1437" spans="1:6" x14ac:dyDescent="0.25">
      <c r="A1437" s="11" t="str">
        <f t="shared" si="22"/>
        <v/>
      </c>
      <c r="B1437" s="17" t="s">
        <v>1859</v>
      </c>
      <c r="C1437" s="17" t="s">
        <v>1934</v>
      </c>
      <c r="D1437" s="17">
        <v>0</v>
      </c>
      <c r="E1437" s="17">
        <v>0</v>
      </c>
      <c r="F1437" s="7" t="str">
        <f>IF(A1437=IFERROR(VLOOKUP(A1437,CATALOGO!$B$2:$B$600,1,FALSE),"Falta"),"", "Falta")</f>
        <v>Falta</v>
      </c>
    </row>
    <row r="1438" spans="1:6" x14ac:dyDescent="0.25">
      <c r="A1438" s="11" t="str">
        <f t="shared" si="22"/>
        <v/>
      </c>
      <c r="B1438" s="17" t="s">
        <v>1859</v>
      </c>
      <c r="C1438" s="17" t="s">
        <v>1859</v>
      </c>
      <c r="D1438" s="17">
        <v>0</v>
      </c>
      <c r="E1438" s="17">
        <v>0</v>
      </c>
      <c r="F1438" s="7" t="str">
        <f>IF(A1438=IFERROR(VLOOKUP(A1438,CATALOGO!$B$2:$B$600,1,FALSE),"Falta"),"", "Falta")</f>
        <v>Falta</v>
      </c>
    </row>
    <row r="1439" spans="1:6" x14ac:dyDescent="0.25">
      <c r="A1439" s="11" t="str">
        <f t="shared" si="22"/>
        <v/>
      </c>
      <c r="B1439" s="17" t="s">
        <v>1859</v>
      </c>
      <c r="C1439" s="17" t="s">
        <v>1935</v>
      </c>
      <c r="D1439" s="17">
        <v>0</v>
      </c>
      <c r="E1439" s="17">
        <v>0</v>
      </c>
      <c r="F1439" s="7" t="str">
        <f>IF(A1439=IFERROR(VLOOKUP(A1439,CATALOGO!$B$2:$B$600,1,FALSE),"Falta"),"", "Falta")</f>
        <v>Falta</v>
      </c>
    </row>
    <row r="1440" spans="1:6" x14ac:dyDescent="0.25">
      <c r="A1440" s="11" t="str">
        <f t="shared" si="22"/>
        <v/>
      </c>
      <c r="B1440" s="17" t="s">
        <v>1859</v>
      </c>
      <c r="C1440" s="17" t="s">
        <v>1859</v>
      </c>
      <c r="D1440" s="17">
        <v>0</v>
      </c>
      <c r="E1440" s="17">
        <v>0</v>
      </c>
      <c r="F1440" s="7" t="str">
        <f>IF(A1440=IFERROR(VLOOKUP(A1440,CATALOGO!$B$2:$B$600,1,FALSE),"Falta"),"", "Falta")</f>
        <v>Falta</v>
      </c>
    </row>
    <row r="1441" spans="1:6" x14ac:dyDescent="0.25">
      <c r="A1441" s="11" t="str">
        <f t="shared" si="22"/>
        <v/>
      </c>
      <c r="B1441" s="17" t="s">
        <v>1859</v>
      </c>
      <c r="C1441" s="17" t="s">
        <v>1936</v>
      </c>
      <c r="D1441" s="17">
        <v>0</v>
      </c>
      <c r="E1441" s="17">
        <v>0</v>
      </c>
      <c r="F1441" s="7" t="str">
        <f>IF(A1441=IFERROR(VLOOKUP(A1441,CATALOGO!$B$2:$B$600,1,FALSE),"Falta"),"", "Falta")</f>
        <v>Falta</v>
      </c>
    </row>
    <row r="1442" spans="1:6" x14ac:dyDescent="0.25">
      <c r="A1442" s="11" t="str">
        <f t="shared" si="22"/>
        <v/>
      </c>
      <c r="B1442" s="17" t="s">
        <v>1859</v>
      </c>
      <c r="C1442" s="17" t="s">
        <v>280</v>
      </c>
      <c r="D1442" s="17">
        <v>1996.49</v>
      </c>
      <c r="E1442" s="17">
        <v>0</v>
      </c>
      <c r="F1442" s="7" t="str">
        <f>IF(A1442=IFERROR(VLOOKUP(A1442,CATALOGO!$B$2:$B$600,1,FALSE),"Falta"),"", "Falta")</f>
        <v>Falta</v>
      </c>
    </row>
    <row r="1443" spans="1:6" x14ac:dyDescent="0.25">
      <c r="A1443" s="11" t="str">
        <f t="shared" si="22"/>
        <v/>
      </c>
      <c r="B1443" s="17" t="s">
        <v>1859</v>
      </c>
      <c r="C1443" s="17" t="s">
        <v>281</v>
      </c>
      <c r="D1443" s="17">
        <v>2238.4899999999998</v>
      </c>
      <c r="E1443" s="17">
        <v>0</v>
      </c>
      <c r="F1443" s="7" t="str">
        <f>IF(A1443=IFERROR(VLOOKUP(A1443,CATALOGO!$B$2:$B$600,1,FALSE),"Falta"),"", "Falta")</f>
        <v>Falta</v>
      </c>
    </row>
    <row r="1444" spans="1:6" x14ac:dyDescent="0.25">
      <c r="A1444" s="11" t="str">
        <f t="shared" si="22"/>
        <v/>
      </c>
      <c r="B1444" s="17" t="s">
        <v>1859</v>
      </c>
      <c r="C1444" s="17" t="s">
        <v>282</v>
      </c>
      <c r="D1444" s="17">
        <v>2298.9899999999998</v>
      </c>
      <c r="E1444" s="17">
        <v>0</v>
      </c>
      <c r="F1444" s="7" t="str">
        <f>IF(A1444=IFERROR(VLOOKUP(A1444,CATALOGO!$B$2:$B$600,1,FALSE),"Falta"),"", "Falta")</f>
        <v>Falta</v>
      </c>
    </row>
    <row r="1445" spans="1:6" x14ac:dyDescent="0.25">
      <c r="A1445" s="11" t="str">
        <f t="shared" si="22"/>
        <v/>
      </c>
      <c r="B1445" s="17" t="s">
        <v>1859</v>
      </c>
      <c r="C1445" s="17" t="s">
        <v>222</v>
      </c>
      <c r="D1445" s="17">
        <v>1996.49</v>
      </c>
      <c r="E1445" s="17">
        <v>78</v>
      </c>
      <c r="F1445" s="7" t="str">
        <f>IF(A1445=IFERROR(VLOOKUP(A1445,CATALOGO!$B$2:$B$600,1,FALSE),"Falta"),"", "Falta")</f>
        <v>Falta</v>
      </c>
    </row>
    <row r="1446" spans="1:6" x14ac:dyDescent="0.25">
      <c r="A1446" s="11" t="str">
        <f t="shared" si="22"/>
        <v/>
      </c>
      <c r="B1446" s="17" t="s">
        <v>1859</v>
      </c>
      <c r="C1446" s="17" t="s">
        <v>224</v>
      </c>
      <c r="D1446" s="17">
        <v>2117.4899999999998</v>
      </c>
      <c r="E1446" s="17">
        <v>0</v>
      </c>
      <c r="F1446" s="7" t="str">
        <f>IF(A1446=IFERROR(VLOOKUP(A1446,CATALOGO!$B$2:$B$600,1,FALSE),"Falta"),"", "Falta")</f>
        <v>Falta</v>
      </c>
    </row>
    <row r="1447" spans="1:6" x14ac:dyDescent="0.25">
      <c r="A1447" s="11" t="str">
        <f t="shared" si="22"/>
        <v/>
      </c>
      <c r="B1447" s="17" t="s">
        <v>1859</v>
      </c>
      <c r="C1447" s="17" t="s">
        <v>1859</v>
      </c>
      <c r="D1447" s="17">
        <v>0</v>
      </c>
      <c r="E1447" s="17">
        <v>0</v>
      </c>
      <c r="F1447" s="7" t="str">
        <f>IF(A1447=IFERROR(VLOOKUP(A1447,CATALOGO!$B$2:$B$600,1,FALSE),"Falta"),"", "Falta")</f>
        <v>Falta</v>
      </c>
    </row>
    <row r="1448" spans="1:6" x14ac:dyDescent="0.25">
      <c r="A1448" s="11" t="str">
        <f t="shared" si="22"/>
        <v/>
      </c>
      <c r="B1448" s="17" t="s">
        <v>1859</v>
      </c>
      <c r="C1448" s="17" t="s">
        <v>1937</v>
      </c>
      <c r="D1448" s="17">
        <v>0</v>
      </c>
      <c r="E1448" s="17">
        <v>0</v>
      </c>
      <c r="F1448" s="7" t="str">
        <f>IF(A1448=IFERROR(VLOOKUP(A1448,CATALOGO!$B$2:$B$600,1,FALSE),"Falta"),"", "Falta")</f>
        <v>Falta</v>
      </c>
    </row>
    <row r="1449" spans="1:6" x14ac:dyDescent="0.25">
      <c r="A1449" s="11" t="str">
        <f t="shared" si="22"/>
        <v/>
      </c>
      <c r="B1449" s="17" t="s">
        <v>1859</v>
      </c>
      <c r="C1449" s="17" t="s">
        <v>1859</v>
      </c>
      <c r="D1449" s="17">
        <v>0</v>
      </c>
      <c r="E1449" s="17">
        <v>0</v>
      </c>
      <c r="F1449" s="7" t="str">
        <f>IF(A1449=IFERROR(VLOOKUP(A1449,CATALOGO!$B$2:$B$600,1,FALSE),"Falta"),"", "Falta")</f>
        <v>Falta</v>
      </c>
    </row>
    <row r="1450" spans="1:6" x14ac:dyDescent="0.25">
      <c r="A1450" s="11" t="str">
        <f t="shared" si="22"/>
        <v/>
      </c>
      <c r="B1450" s="17" t="s">
        <v>1859</v>
      </c>
      <c r="C1450" s="17" t="s">
        <v>1938</v>
      </c>
      <c r="D1450" s="17">
        <v>0</v>
      </c>
      <c r="E1450" s="17">
        <v>0</v>
      </c>
      <c r="F1450" s="7" t="str">
        <f>IF(A1450=IFERROR(VLOOKUP(A1450,CATALOGO!$B$2:$B$600,1,FALSE),"Falta"),"", "Falta")</f>
        <v>Falta</v>
      </c>
    </row>
    <row r="1451" spans="1:6" x14ac:dyDescent="0.25">
      <c r="A1451" s="11" t="str">
        <f t="shared" si="22"/>
        <v/>
      </c>
      <c r="B1451" s="17" t="s">
        <v>1859</v>
      </c>
      <c r="C1451" s="17" t="s">
        <v>229</v>
      </c>
      <c r="D1451" s="17">
        <v>1935.99</v>
      </c>
      <c r="E1451" s="17">
        <v>29</v>
      </c>
      <c r="F1451" s="7" t="str">
        <f>IF(A1451=IFERROR(VLOOKUP(A1451,CATALOGO!$B$2:$B$600,1,FALSE),"Falta"),"", "Falta")</f>
        <v>Falta</v>
      </c>
    </row>
    <row r="1452" spans="1:6" x14ac:dyDescent="0.25">
      <c r="A1452" s="11" t="str">
        <f t="shared" si="22"/>
        <v/>
      </c>
      <c r="B1452" s="17" t="s">
        <v>1859</v>
      </c>
      <c r="C1452" s="17" t="s">
        <v>230</v>
      </c>
      <c r="D1452" s="17">
        <v>1996.49</v>
      </c>
      <c r="E1452" s="17">
        <v>40</v>
      </c>
      <c r="F1452" s="7" t="str">
        <f>IF(A1452=IFERROR(VLOOKUP(A1452,CATALOGO!$B$2:$B$600,1,FALSE),"Falta"),"", "Falta")</f>
        <v>Falta</v>
      </c>
    </row>
    <row r="1453" spans="1:6" x14ac:dyDescent="0.25">
      <c r="A1453" s="11" t="str">
        <f t="shared" si="22"/>
        <v/>
      </c>
      <c r="B1453" s="17" t="s">
        <v>1859</v>
      </c>
      <c r="C1453" s="17" t="s">
        <v>231</v>
      </c>
      <c r="D1453" s="17">
        <v>2056.9899999999998</v>
      </c>
      <c r="E1453" s="17">
        <v>0</v>
      </c>
      <c r="F1453" s="7" t="str">
        <f>IF(A1453=IFERROR(VLOOKUP(A1453,CATALOGO!$B$2:$B$600,1,FALSE),"Falta"),"", "Falta")</f>
        <v>Falta</v>
      </c>
    </row>
    <row r="1454" spans="1:6" x14ac:dyDescent="0.25">
      <c r="A1454" s="11" t="str">
        <f t="shared" si="22"/>
        <v/>
      </c>
      <c r="B1454" s="17" t="s">
        <v>1859</v>
      </c>
      <c r="C1454" s="17" t="s">
        <v>1859</v>
      </c>
      <c r="D1454" s="17">
        <v>0</v>
      </c>
      <c r="E1454" s="17">
        <v>0</v>
      </c>
      <c r="F1454" s="7" t="str">
        <f>IF(A1454=IFERROR(VLOOKUP(A1454,CATALOGO!$B$2:$B$600,1,FALSE),"Falta"),"", "Falta")</f>
        <v>Falta</v>
      </c>
    </row>
    <row r="1455" spans="1:6" x14ac:dyDescent="0.25">
      <c r="A1455" s="11" t="str">
        <f t="shared" si="22"/>
        <v/>
      </c>
      <c r="B1455" s="17" t="s">
        <v>1859</v>
      </c>
      <c r="C1455" s="17" t="s">
        <v>1939</v>
      </c>
      <c r="D1455" s="17">
        <v>0</v>
      </c>
      <c r="E1455" s="17">
        <v>0</v>
      </c>
      <c r="F1455" s="7" t="str">
        <f>IF(A1455=IFERROR(VLOOKUP(A1455,CATALOGO!$B$2:$B$600,1,FALSE),"Falta"),"", "Falta")</f>
        <v>Falta</v>
      </c>
    </row>
    <row r="1456" spans="1:6" x14ac:dyDescent="0.25">
      <c r="A1456" s="11" t="str">
        <f t="shared" si="22"/>
        <v/>
      </c>
      <c r="B1456" s="17" t="s">
        <v>1859</v>
      </c>
      <c r="C1456" s="17" t="s">
        <v>194</v>
      </c>
      <c r="D1456" s="17">
        <v>1935.99</v>
      </c>
      <c r="E1456" s="17">
        <v>17</v>
      </c>
      <c r="F1456" s="7" t="str">
        <f>IF(A1456=IFERROR(VLOOKUP(A1456,CATALOGO!$B$2:$B$600,1,FALSE),"Falta"),"", "Falta")</f>
        <v>Falta</v>
      </c>
    </row>
    <row r="1457" spans="1:6" x14ac:dyDescent="0.25">
      <c r="A1457" s="11" t="str">
        <f t="shared" si="22"/>
        <v/>
      </c>
      <c r="B1457" s="17" t="s">
        <v>1859</v>
      </c>
      <c r="C1457" s="17" t="s">
        <v>195</v>
      </c>
      <c r="D1457" s="17">
        <v>1996.49</v>
      </c>
      <c r="E1457" s="17">
        <v>7</v>
      </c>
      <c r="F1457" s="7" t="str">
        <f>IF(A1457=IFERROR(VLOOKUP(A1457,CATALOGO!$B$2:$B$600,1,FALSE),"Falta"),"", "Falta")</f>
        <v>Falta</v>
      </c>
    </row>
    <row r="1458" spans="1:6" x14ac:dyDescent="0.25">
      <c r="A1458" s="11" t="str">
        <f t="shared" si="22"/>
        <v/>
      </c>
      <c r="B1458" s="17" t="s">
        <v>1859</v>
      </c>
      <c r="C1458" s="17" t="s">
        <v>196</v>
      </c>
      <c r="D1458" s="17">
        <v>2056.9899999999998</v>
      </c>
      <c r="E1458" s="17">
        <v>4</v>
      </c>
      <c r="F1458" s="7" t="str">
        <f>IF(A1458=IFERROR(VLOOKUP(A1458,CATALOGO!$B$2:$B$600,1,FALSE),"Falta"),"", "Falta")</f>
        <v>Falta</v>
      </c>
    </row>
    <row r="1459" spans="1:6" x14ac:dyDescent="0.25">
      <c r="A1459" s="11" t="str">
        <f t="shared" si="22"/>
        <v/>
      </c>
      <c r="B1459" s="17" t="s">
        <v>1859</v>
      </c>
      <c r="C1459" s="17" t="s">
        <v>243</v>
      </c>
      <c r="D1459" s="17">
        <v>1996.49</v>
      </c>
      <c r="E1459" s="17">
        <v>20</v>
      </c>
      <c r="F1459" s="7" t="str">
        <f>IF(A1459=IFERROR(VLOOKUP(A1459,CATALOGO!$B$2:$B$600,1,FALSE),"Falta"),"", "Falta")</f>
        <v>Falta</v>
      </c>
    </row>
    <row r="1460" spans="1:6" x14ac:dyDescent="0.25">
      <c r="A1460" s="11" t="str">
        <f t="shared" si="22"/>
        <v/>
      </c>
      <c r="B1460" s="17" t="s">
        <v>1859</v>
      </c>
      <c r="C1460" s="17" t="s">
        <v>1487</v>
      </c>
      <c r="D1460" s="17">
        <v>2056.9899999999998</v>
      </c>
      <c r="E1460" s="17">
        <v>0</v>
      </c>
      <c r="F1460" s="7" t="str">
        <f>IF(A1460=IFERROR(VLOOKUP(A1460,CATALOGO!$B$2:$B$600,1,FALSE),"Falta"),"", "Falta")</f>
        <v>Falta</v>
      </c>
    </row>
    <row r="1461" spans="1:6" x14ac:dyDescent="0.25">
      <c r="A1461" s="11" t="str">
        <f t="shared" si="22"/>
        <v/>
      </c>
      <c r="B1461" s="17" t="s">
        <v>1859</v>
      </c>
      <c r="C1461" s="17" t="s">
        <v>1859</v>
      </c>
      <c r="D1461" s="17">
        <v>0</v>
      </c>
      <c r="E1461" s="17">
        <v>0</v>
      </c>
      <c r="F1461" s="7" t="str">
        <f>IF(A1461=IFERROR(VLOOKUP(A1461,CATALOGO!$B$2:$B$600,1,FALSE),"Falta"),"", "Falta")</f>
        <v>Falta</v>
      </c>
    </row>
    <row r="1462" spans="1:6" x14ac:dyDescent="0.25">
      <c r="A1462" s="11" t="str">
        <f t="shared" si="22"/>
        <v/>
      </c>
      <c r="B1462" s="17" t="s">
        <v>1859</v>
      </c>
      <c r="C1462" s="17" t="s">
        <v>1940</v>
      </c>
      <c r="D1462" s="17">
        <v>0</v>
      </c>
      <c r="E1462" s="17">
        <v>0</v>
      </c>
      <c r="F1462" s="7" t="str">
        <f>IF(A1462=IFERROR(VLOOKUP(A1462,CATALOGO!$B$2:$B$600,1,FALSE),"Falta"),"", "Falta")</f>
        <v>Falta</v>
      </c>
    </row>
    <row r="1463" spans="1:6" x14ac:dyDescent="0.25">
      <c r="A1463" s="11" t="str">
        <f t="shared" si="22"/>
        <v/>
      </c>
      <c r="B1463" s="17" t="s">
        <v>1859</v>
      </c>
      <c r="C1463" s="17" t="s">
        <v>227</v>
      </c>
      <c r="D1463" s="17">
        <v>1935.99</v>
      </c>
      <c r="E1463" s="17">
        <v>0</v>
      </c>
      <c r="F1463" s="7" t="str">
        <f>IF(A1463=IFERROR(VLOOKUP(A1463,CATALOGO!$B$2:$B$600,1,FALSE),"Falta"),"", "Falta")</f>
        <v>Falta</v>
      </c>
    </row>
    <row r="1464" spans="1:6" x14ac:dyDescent="0.25">
      <c r="A1464" s="11" t="str">
        <f t="shared" si="22"/>
        <v/>
      </c>
      <c r="B1464" s="17" t="s">
        <v>1859</v>
      </c>
      <c r="C1464" s="17" t="s">
        <v>228</v>
      </c>
      <c r="D1464" s="17">
        <v>2056.9899999999998</v>
      </c>
      <c r="E1464" s="17">
        <v>2</v>
      </c>
      <c r="F1464" s="7" t="str">
        <f>IF(A1464=IFERROR(VLOOKUP(A1464,CATALOGO!$B$2:$B$600,1,FALSE),"Falta"),"", "Falta")</f>
        <v>Falta</v>
      </c>
    </row>
    <row r="1465" spans="1:6" x14ac:dyDescent="0.25">
      <c r="A1465" s="11" t="str">
        <f t="shared" si="22"/>
        <v/>
      </c>
      <c r="B1465" s="17" t="s">
        <v>1859</v>
      </c>
      <c r="C1465" s="17" t="s">
        <v>1859</v>
      </c>
      <c r="D1465" s="17">
        <v>0</v>
      </c>
      <c r="E1465" s="17">
        <v>0</v>
      </c>
      <c r="F1465" s="7" t="str">
        <f>IF(A1465=IFERROR(VLOOKUP(A1465,CATALOGO!$B$2:$B$600,1,FALSE),"Falta"),"", "Falta")</f>
        <v>Falta</v>
      </c>
    </row>
    <row r="1466" spans="1:6" x14ac:dyDescent="0.25">
      <c r="A1466" s="11" t="str">
        <f t="shared" si="22"/>
        <v/>
      </c>
      <c r="B1466" s="17" t="s">
        <v>1859</v>
      </c>
      <c r="C1466" s="17" t="s">
        <v>1941</v>
      </c>
      <c r="D1466" s="17">
        <v>0</v>
      </c>
      <c r="E1466" s="17">
        <v>0</v>
      </c>
      <c r="F1466" s="7" t="str">
        <f>IF(A1466=IFERROR(VLOOKUP(A1466,CATALOGO!$B$2:$B$600,1,FALSE),"Falta"),"", "Falta")</f>
        <v>Falta</v>
      </c>
    </row>
    <row r="1467" spans="1:6" x14ac:dyDescent="0.25">
      <c r="A1467" s="11" t="str">
        <f t="shared" si="22"/>
        <v/>
      </c>
      <c r="B1467" s="17" t="s">
        <v>1859</v>
      </c>
      <c r="C1467" s="17" t="s">
        <v>1859</v>
      </c>
      <c r="D1467" s="17">
        <v>0</v>
      </c>
      <c r="E1467" s="17">
        <v>0</v>
      </c>
      <c r="F1467" s="7" t="str">
        <f>IF(A1467=IFERROR(VLOOKUP(A1467,CATALOGO!$B$2:$B$600,1,FALSE),"Falta"),"", "Falta")</f>
        <v>Falta</v>
      </c>
    </row>
    <row r="1468" spans="1:6" x14ac:dyDescent="0.25">
      <c r="A1468" s="11" t="str">
        <f t="shared" si="22"/>
        <v/>
      </c>
      <c r="B1468" s="17" t="s">
        <v>1859</v>
      </c>
      <c r="C1468" s="17" t="s">
        <v>1942</v>
      </c>
      <c r="D1468" s="17">
        <v>0</v>
      </c>
      <c r="E1468" s="17">
        <v>0</v>
      </c>
      <c r="F1468" s="7" t="str">
        <f>IF(A1468=IFERROR(VLOOKUP(A1468,CATALOGO!$B$2:$B$600,1,FALSE),"Falta"),"", "Falta")</f>
        <v>Falta</v>
      </c>
    </row>
    <row r="1469" spans="1:6" x14ac:dyDescent="0.25">
      <c r="A1469" s="11" t="str">
        <f t="shared" si="22"/>
        <v/>
      </c>
      <c r="B1469" s="17" t="s">
        <v>1859</v>
      </c>
      <c r="C1469" s="17" t="s">
        <v>239</v>
      </c>
      <c r="D1469" s="17">
        <v>1935.99</v>
      </c>
      <c r="E1469" s="17">
        <v>13</v>
      </c>
      <c r="F1469" s="7" t="str">
        <f>IF(A1469=IFERROR(VLOOKUP(A1469,CATALOGO!$B$2:$B$600,1,FALSE),"Falta"),"", "Falta")</f>
        <v>Falta</v>
      </c>
    </row>
    <row r="1470" spans="1:6" x14ac:dyDescent="0.25">
      <c r="A1470" s="11" t="str">
        <f t="shared" si="22"/>
        <v/>
      </c>
      <c r="B1470" s="17" t="s">
        <v>1859</v>
      </c>
      <c r="C1470" s="17" t="s">
        <v>240</v>
      </c>
      <c r="D1470" s="17">
        <v>1996.49</v>
      </c>
      <c r="E1470" s="17">
        <v>0</v>
      </c>
      <c r="F1470" s="7" t="str">
        <f>IF(A1470=IFERROR(VLOOKUP(A1470,CATALOGO!$B$2:$B$600,1,FALSE),"Falta"),"", "Falta")</f>
        <v>Falta</v>
      </c>
    </row>
    <row r="1471" spans="1:6" x14ac:dyDescent="0.25">
      <c r="A1471" s="11" t="str">
        <f t="shared" si="22"/>
        <v/>
      </c>
      <c r="B1471" s="17" t="s">
        <v>1859</v>
      </c>
      <c r="C1471" s="17" t="s">
        <v>241</v>
      </c>
      <c r="D1471" s="17">
        <v>2056.9899999999998</v>
      </c>
      <c r="E1471" s="17">
        <v>0</v>
      </c>
      <c r="F1471" s="7" t="str">
        <f>IF(A1471=IFERROR(VLOOKUP(A1471,CATALOGO!$B$2:$B$600,1,FALSE),"Falta"),"", "Falta")</f>
        <v>Falta</v>
      </c>
    </row>
    <row r="1472" spans="1:6" x14ac:dyDescent="0.25">
      <c r="A1472" s="11" t="str">
        <f t="shared" si="22"/>
        <v/>
      </c>
      <c r="B1472" s="17" t="s">
        <v>1859</v>
      </c>
      <c r="C1472" s="17" t="s">
        <v>1859</v>
      </c>
      <c r="D1472" s="17">
        <v>0</v>
      </c>
      <c r="E1472" s="17">
        <v>0</v>
      </c>
      <c r="F1472" s="7" t="str">
        <f>IF(A1472=IFERROR(VLOOKUP(A1472,CATALOGO!$B$2:$B$600,1,FALSE),"Falta"),"", "Falta")</f>
        <v>Falta</v>
      </c>
    </row>
    <row r="1473" spans="1:6" x14ac:dyDescent="0.25">
      <c r="A1473" s="11" t="str">
        <f t="shared" si="22"/>
        <v/>
      </c>
      <c r="B1473" s="17" t="s">
        <v>1859</v>
      </c>
      <c r="C1473" s="17" t="s">
        <v>1943</v>
      </c>
      <c r="D1473" s="17">
        <v>0</v>
      </c>
      <c r="E1473" s="17">
        <v>3</v>
      </c>
      <c r="F1473" s="7" t="str">
        <f>IF(A1473=IFERROR(VLOOKUP(A1473,CATALOGO!$B$2:$B$600,1,FALSE),"Falta"),"", "Falta")</f>
        <v>Falta</v>
      </c>
    </row>
    <row r="1474" spans="1:6" x14ac:dyDescent="0.25">
      <c r="A1474" s="11" t="str">
        <f t="shared" si="22"/>
        <v/>
      </c>
      <c r="B1474" s="17" t="s">
        <v>1859</v>
      </c>
      <c r="C1474" s="17" t="s">
        <v>1859</v>
      </c>
      <c r="D1474" s="17">
        <v>0</v>
      </c>
      <c r="E1474" s="17">
        <v>0</v>
      </c>
      <c r="F1474" s="7" t="str">
        <f>IF(A1474=IFERROR(VLOOKUP(A1474,CATALOGO!$B$2:$B$600,1,FALSE),"Falta"),"", "Falta")</f>
        <v>Falta</v>
      </c>
    </row>
    <row r="1475" spans="1:6" x14ac:dyDescent="0.25">
      <c r="A1475" s="11" t="str">
        <f t="shared" si="22"/>
        <v/>
      </c>
      <c r="B1475" s="17" t="s">
        <v>1859</v>
      </c>
      <c r="C1475" s="17" t="s">
        <v>1944</v>
      </c>
      <c r="D1475" s="17">
        <v>0</v>
      </c>
      <c r="E1475" s="17">
        <v>1</v>
      </c>
      <c r="F1475" s="7" t="str">
        <f>IF(A1475=IFERROR(VLOOKUP(A1475,CATALOGO!$B$2:$B$600,1,FALSE),"Falta"),"", "Falta")</f>
        <v>Falta</v>
      </c>
    </row>
    <row r="1476" spans="1:6" x14ac:dyDescent="0.25">
      <c r="A1476" s="11" t="str">
        <f t="shared" si="22"/>
        <v/>
      </c>
      <c r="B1476" s="17" t="s">
        <v>1859</v>
      </c>
      <c r="C1476" s="17" t="s">
        <v>1859</v>
      </c>
      <c r="D1476" s="17">
        <v>0</v>
      </c>
      <c r="E1476" s="17">
        <v>0</v>
      </c>
      <c r="F1476" s="7" t="str">
        <f>IF(A1476=IFERROR(VLOOKUP(A1476,CATALOGO!$B$2:$B$600,1,FALSE),"Falta"),"", "Falta")</f>
        <v>Falta</v>
      </c>
    </row>
    <row r="1477" spans="1:6" x14ac:dyDescent="0.25">
      <c r="A1477" s="11" t="str">
        <f t="shared" si="22"/>
        <v/>
      </c>
      <c r="B1477" s="17" t="s">
        <v>1859</v>
      </c>
      <c r="C1477" s="17" t="s">
        <v>1945</v>
      </c>
      <c r="D1477" s="17">
        <v>0</v>
      </c>
      <c r="E1477" s="17">
        <v>0</v>
      </c>
      <c r="F1477" s="7" t="str">
        <f>IF(A1477=IFERROR(VLOOKUP(A1477,CATALOGO!$B$2:$B$600,1,FALSE),"Falta"),"", "Falta")</f>
        <v>Falta</v>
      </c>
    </row>
    <row r="1478" spans="1:6" x14ac:dyDescent="0.25">
      <c r="A1478" s="11" t="str">
        <f t="shared" ref="A1478:A1541" si="23">IFERROR(B1478*1,"")</f>
        <v/>
      </c>
      <c r="B1478" s="17" t="s">
        <v>1859</v>
      </c>
      <c r="C1478" s="17" t="s">
        <v>256</v>
      </c>
      <c r="D1478" s="17">
        <v>2177.9899999999998</v>
      </c>
      <c r="E1478" s="17">
        <v>14</v>
      </c>
      <c r="F1478" s="7" t="str">
        <f>IF(A1478=IFERROR(VLOOKUP(A1478,CATALOGO!$B$2:$B$600,1,FALSE),"Falta"),"", "Falta")</f>
        <v>Falta</v>
      </c>
    </row>
    <row r="1479" spans="1:6" x14ac:dyDescent="0.25">
      <c r="A1479" s="11" t="str">
        <f t="shared" si="23"/>
        <v/>
      </c>
      <c r="B1479" s="17" t="s">
        <v>1859</v>
      </c>
      <c r="C1479" s="17" t="s">
        <v>257</v>
      </c>
      <c r="D1479" s="17">
        <v>2350</v>
      </c>
      <c r="E1479" s="17">
        <v>2</v>
      </c>
      <c r="F1479" s="7" t="str">
        <f>IF(A1479=IFERROR(VLOOKUP(A1479,CATALOGO!$B$2:$B$600,1,FALSE),"Falta"),"", "Falta")</f>
        <v>Falta</v>
      </c>
    </row>
    <row r="1480" spans="1:6" x14ac:dyDescent="0.25">
      <c r="A1480" s="11" t="str">
        <f t="shared" si="23"/>
        <v/>
      </c>
      <c r="B1480" s="17" t="s">
        <v>1859</v>
      </c>
      <c r="C1480" s="17" t="s">
        <v>258</v>
      </c>
      <c r="D1480" s="17">
        <v>2400</v>
      </c>
      <c r="E1480" s="17">
        <v>0</v>
      </c>
      <c r="F1480" s="7" t="str">
        <f>IF(A1480=IFERROR(VLOOKUP(A1480,CATALOGO!$B$2:$B$600,1,FALSE),"Falta"),"", "Falta")</f>
        <v>Falta</v>
      </c>
    </row>
    <row r="1481" spans="1:6" x14ac:dyDescent="0.25">
      <c r="A1481" s="11" t="str">
        <f t="shared" si="23"/>
        <v/>
      </c>
      <c r="B1481" s="17" t="s">
        <v>1859</v>
      </c>
      <c r="C1481" s="17" t="s">
        <v>223</v>
      </c>
      <c r="D1481" s="17">
        <v>2056.9899999999998</v>
      </c>
      <c r="E1481" s="17">
        <v>7</v>
      </c>
      <c r="F1481" s="7" t="str">
        <f>IF(A1481=IFERROR(VLOOKUP(A1481,CATALOGO!$B$2:$B$600,1,FALSE),"Falta"),"", "Falta")</f>
        <v>Falta</v>
      </c>
    </row>
    <row r="1482" spans="1:6" x14ac:dyDescent="0.25">
      <c r="A1482" s="11" t="str">
        <f t="shared" si="23"/>
        <v/>
      </c>
      <c r="B1482" s="17" t="s">
        <v>1859</v>
      </c>
      <c r="C1482" s="17" t="s">
        <v>221</v>
      </c>
      <c r="D1482" s="17">
        <v>1935.99</v>
      </c>
      <c r="E1482" s="17">
        <v>353</v>
      </c>
      <c r="F1482" s="7" t="str">
        <f>IF(A1482=IFERROR(VLOOKUP(A1482,CATALOGO!$B$2:$B$600,1,FALSE),"Falta"),"", "Falta")</f>
        <v>Falta</v>
      </c>
    </row>
    <row r="1483" spans="1:6" x14ac:dyDescent="0.25">
      <c r="A1483" s="11" t="str">
        <f t="shared" si="23"/>
        <v/>
      </c>
      <c r="B1483" s="17" t="s">
        <v>1859</v>
      </c>
      <c r="C1483" s="17" t="s">
        <v>1859</v>
      </c>
      <c r="D1483" s="17">
        <v>0</v>
      </c>
      <c r="E1483" s="17">
        <v>0</v>
      </c>
      <c r="F1483" s="7" t="str">
        <f>IF(A1483=IFERROR(VLOOKUP(A1483,CATALOGO!$B$2:$B$600,1,FALSE),"Falta"),"", "Falta")</f>
        <v>Falta</v>
      </c>
    </row>
    <row r="1484" spans="1:6" x14ac:dyDescent="0.25">
      <c r="A1484" s="11" t="str">
        <f t="shared" si="23"/>
        <v/>
      </c>
      <c r="B1484" s="17" t="s">
        <v>1859</v>
      </c>
      <c r="C1484" s="17" t="s">
        <v>1882</v>
      </c>
      <c r="D1484" s="17">
        <v>0</v>
      </c>
      <c r="E1484" s="17">
        <v>0</v>
      </c>
      <c r="F1484" s="7" t="str">
        <f>IF(A1484=IFERROR(VLOOKUP(A1484,CATALOGO!$B$2:$B$600,1,FALSE),"Falta"),"", "Falta")</f>
        <v>Falta</v>
      </c>
    </row>
    <row r="1485" spans="1:6" x14ac:dyDescent="0.25">
      <c r="A1485" s="11" t="str">
        <f t="shared" si="23"/>
        <v/>
      </c>
      <c r="B1485" s="17" t="s">
        <v>1859</v>
      </c>
      <c r="C1485" s="17" t="s">
        <v>1946</v>
      </c>
      <c r="D1485" s="17">
        <v>1332.49</v>
      </c>
      <c r="E1485" s="17">
        <v>0</v>
      </c>
      <c r="F1485" s="7" t="str">
        <f>IF(A1485=IFERROR(VLOOKUP(A1485,CATALOGO!$B$2:$B$600,1,FALSE),"Falta"),"", "Falta")</f>
        <v>Falta</v>
      </c>
    </row>
    <row r="1486" spans="1:6" x14ac:dyDescent="0.25">
      <c r="A1486" s="11" t="str">
        <f t="shared" si="23"/>
        <v/>
      </c>
      <c r="B1486" s="17" t="s">
        <v>1859</v>
      </c>
      <c r="C1486" s="17" t="s">
        <v>1859</v>
      </c>
      <c r="D1486" s="17">
        <v>0</v>
      </c>
      <c r="E1486" s="17">
        <v>0</v>
      </c>
      <c r="F1486" s="7" t="str">
        <f>IF(A1486=IFERROR(VLOOKUP(A1486,CATALOGO!$B$2:$B$600,1,FALSE),"Falta"),"", "Falta")</f>
        <v>Falta</v>
      </c>
    </row>
    <row r="1487" spans="1:6" x14ac:dyDescent="0.25">
      <c r="A1487" s="11" t="str">
        <f t="shared" si="23"/>
        <v/>
      </c>
      <c r="B1487" s="17" t="s">
        <v>1859</v>
      </c>
      <c r="C1487" s="17" t="s">
        <v>1947</v>
      </c>
      <c r="D1487" s="17">
        <v>0</v>
      </c>
      <c r="E1487" s="17">
        <v>0</v>
      </c>
      <c r="F1487" s="7" t="str">
        <f>IF(A1487=IFERROR(VLOOKUP(A1487,CATALOGO!$B$2:$B$600,1,FALSE),"Falta"),"", "Falta")</f>
        <v>Falta</v>
      </c>
    </row>
    <row r="1488" spans="1:6" x14ac:dyDescent="0.25">
      <c r="A1488" s="11" t="str">
        <f t="shared" si="23"/>
        <v/>
      </c>
      <c r="B1488" s="17" t="s">
        <v>1859</v>
      </c>
      <c r="C1488" s="17" t="s">
        <v>254</v>
      </c>
      <c r="D1488" s="17">
        <v>1999.99</v>
      </c>
      <c r="E1488" s="17">
        <v>134</v>
      </c>
      <c r="F1488" s="7" t="str">
        <f>IF(A1488=IFERROR(VLOOKUP(A1488,CATALOGO!$B$2:$B$600,1,FALSE),"Falta"),"", "Falta")</f>
        <v>Falta</v>
      </c>
    </row>
    <row r="1489" spans="1:6" x14ac:dyDescent="0.25">
      <c r="A1489" s="11" t="str">
        <f t="shared" si="23"/>
        <v/>
      </c>
      <c r="B1489" s="17" t="s">
        <v>1859</v>
      </c>
      <c r="C1489" s="17" t="s">
        <v>1859</v>
      </c>
      <c r="D1489" s="17">
        <v>0</v>
      </c>
      <c r="E1489" s="17">
        <v>0</v>
      </c>
      <c r="F1489" s="7" t="str">
        <f>IF(A1489=IFERROR(VLOOKUP(A1489,CATALOGO!$B$2:$B$600,1,FALSE),"Falta"),"", "Falta")</f>
        <v>Falta</v>
      </c>
    </row>
    <row r="1490" spans="1:6" x14ac:dyDescent="0.25">
      <c r="A1490" s="11" t="str">
        <f t="shared" si="23"/>
        <v/>
      </c>
      <c r="B1490" s="17" t="s">
        <v>1859</v>
      </c>
      <c r="C1490" s="17" t="s">
        <v>1948</v>
      </c>
      <c r="D1490" s="17">
        <v>0</v>
      </c>
      <c r="E1490" s="17">
        <v>0</v>
      </c>
      <c r="F1490" s="7" t="str">
        <f>IF(A1490=IFERROR(VLOOKUP(A1490,CATALOGO!$B$2:$B$600,1,FALSE),"Falta"),"", "Falta")</f>
        <v>Falta</v>
      </c>
    </row>
    <row r="1491" spans="1:6" x14ac:dyDescent="0.25">
      <c r="A1491" s="11" t="str">
        <f t="shared" si="23"/>
        <v/>
      </c>
      <c r="B1491" s="17" t="s">
        <v>1859</v>
      </c>
      <c r="C1491" s="17" t="s">
        <v>255</v>
      </c>
      <c r="D1491" s="17">
        <v>2056</v>
      </c>
      <c r="E1491" s="17">
        <v>27</v>
      </c>
      <c r="F1491" s="7" t="str">
        <f>IF(A1491=IFERROR(VLOOKUP(A1491,CATALOGO!$B$2:$B$600,1,FALSE),"Falta"),"", "Falta")</f>
        <v>Falta</v>
      </c>
    </row>
    <row r="1492" spans="1:6" x14ac:dyDescent="0.25">
      <c r="A1492" s="11" t="str">
        <f t="shared" si="23"/>
        <v/>
      </c>
      <c r="B1492" s="17" t="s">
        <v>1859</v>
      </c>
      <c r="C1492" s="17" t="s">
        <v>1488</v>
      </c>
      <c r="D1492" s="17">
        <v>1999.99</v>
      </c>
      <c r="E1492" s="17">
        <v>145</v>
      </c>
      <c r="F1492" s="7" t="str">
        <f>IF(A1492=IFERROR(VLOOKUP(A1492,CATALOGO!$B$2:$B$600,1,FALSE),"Falta"),"", "Falta")</f>
        <v>Falta</v>
      </c>
    </row>
    <row r="1493" spans="1:6" x14ac:dyDescent="0.25">
      <c r="A1493" s="11" t="str">
        <f t="shared" si="23"/>
        <v/>
      </c>
      <c r="B1493" s="17" t="s">
        <v>1859</v>
      </c>
      <c r="C1493" s="17" t="s">
        <v>197</v>
      </c>
      <c r="D1493" s="17">
        <v>1935.99</v>
      </c>
      <c r="E1493" s="17">
        <v>119</v>
      </c>
      <c r="F1493" s="7" t="str">
        <f>IF(A1493=IFERROR(VLOOKUP(A1493,CATALOGO!$B$2:$B$600,1,FALSE),"Falta"),"", "Falta")</f>
        <v>Falta</v>
      </c>
    </row>
    <row r="1494" spans="1:6" x14ac:dyDescent="0.25">
      <c r="A1494" s="11" t="str">
        <f t="shared" si="23"/>
        <v/>
      </c>
      <c r="B1494" s="17" t="s">
        <v>1859</v>
      </c>
      <c r="C1494" s="17" t="s">
        <v>1489</v>
      </c>
      <c r="D1494" s="17">
        <v>2056.9899999999998</v>
      </c>
      <c r="E1494" s="17">
        <v>41</v>
      </c>
      <c r="F1494" s="7" t="str">
        <f>IF(A1494=IFERROR(VLOOKUP(A1494,CATALOGO!$B$2:$B$600,1,FALSE),"Falta"),"", "Falta")</f>
        <v>Falta</v>
      </c>
    </row>
    <row r="1495" spans="1:6" x14ac:dyDescent="0.25">
      <c r="A1495" s="11" t="str">
        <f t="shared" si="23"/>
        <v/>
      </c>
      <c r="B1495" s="17" t="s">
        <v>1859</v>
      </c>
      <c r="C1495" s="17" t="s">
        <v>244</v>
      </c>
      <c r="D1495" s="17">
        <v>2117.4899999999998</v>
      </c>
      <c r="E1495" s="17">
        <v>25</v>
      </c>
      <c r="F1495" s="7" t="str">
        <f>IF(A1495=IFERROR(VLOOKUP(A1495,CATALOGO!$B$2:$B$600,1,FALSE),"Falta"),"", "Falta")</f>
        <v>Falta</v>
      </c>
    </row>
    <row r="1496" spans="1:6" x14ac:dyDescent="0.25">
      <c r="A1496" s="11" t="str">
        <f t="shared" si="23"/>
        <v/>
      </c>
      <c r="B1496" s="17" t="s">
        <v>1859</v>
      </c>
      <c r="C1496" s="17" t="s">
        <v>209</v>
      </c>
      <c r="D1496" s="17">
        <v>1935.99</v>
      </c>
      <c r="E1496" s="17">
        <v>7</v>
      </c>
      <c r="F1496" s="7" t="str">
        <f>IF(A1496=IFERROR(VLOOKUP(A1496,CATALOGO!$B$2:$B$600,1,FALSE),"Falta"),"", "Falta")</f>
        <v>Falta</v>
      </c>
    </row>
    <row r="1497" spans="1:6" x14ac:dyDescent="0.25">
      <c r="A1497" s="11" t="str">
        <f t="shared" si="23"/>
        <v/>
      </c>
      <c r="B1497" s="17" t="s">
        <v>1859</v>
      </c>
      <c r="C1497" s="17" t="s">
        <v>210</v>
      </c>
      <c r="D1497" s="17">
        <v>1996.49</v>
      </c>
      <c r="E1497" s="17">
        <v>16</v>
      </c>
      <c r="F1497" s="7" t="str">
        <f>IF(A1497=IFERROR(VLOOKUP(A1497,CATALOGO!$B$2:$B$600,1,FALSE),"Falta"),"", "Falta")</f>
        <v>Falta</v>
      </c>
    </row>
    <row r="1498" spans="1:6" x14ac:dyDescent="0.25">
      <c r="A1498" s="11" t="str">
        <f t="shared" si="23"/>
        <v/>
      </c>
      <c r="B1498" s="17" t="s">
        <v>1859</v>
      </c>
      <c r="C1498" s="17" t="s">
        <v>211</v>
      </c>
      <c r="D1498" s="17">
        <v>2056.9899999999998</v>
      </c>
      <c r="E1498" s="17">
        <v>1</v>
      </c>
      <c r="F1498" s="7" t="str">
        <f>IF(A1498=IFERROR(VLOOKUP(A1498,CATALOGO!$B$2:$B$600,1,FALSE),"Falta"),"", "Falta")</f>
        <v>Falta</v>
      </c>
    </row>
    <row r="1499" spans="1:6" x14ac:dyDescent="0.25">
      <c r="A1499" s="11" t="str">
        <f t="shared" si="23"/>
        <v/>
      </c>
      <c r="B1499" s="17" t="s">
        <v>1859</v>
      </c>
      <c r="C1499" s="17" t="s">
        <v>1859</v>
      </c>
      <c r="D1499" s="17">
        <v>0</v>
      </c>
      <c r="E1499" s="17">
        <v>0</v>
      </c>
      <c r="F1499" s="7" t="str">
        <f>IF(A1499=IFERROR(VLOOKUP(A1499,CATALOGO!$B$2:$B$600,1,FALSE),"Falta"),"", "Falta")</f>
        <v>Falta</v>
      </c>
    </row>
    <row r="1500" spans="1:6" x14ac:dyDescent="0.25">
      <c r="A1500" s="11" t="str">
        <f t="shared" si="23"/>
        <v/>
      </c>
      <c r="B1500" s="17" t="s">
        <v>1859</v>
      </c>
      <c r="C1500" s="17" t="s">
        <v>1949</v>
      </c>
      <c r="D1500" s="17">
        <v>0</v>
      </c>
      <c r="E1500" s="17">
        <v>0</v>
      </c>
      <c r="F1500" s="7" t="str">
        <f>IF(A1500=IFERROR(VLOOKUP(A1500,CATALOGO!$B$2:$B$600,1,FALSE),"Falta"),"", "Falta")</f>
        <v>Falta</v>
      </c>
    </row>
    <row r="1501" spans="1:6" x14ac:dyDescent="0.25">
      <c r="A1501" s="11" t="str">
        <f t="shared" si="23"/>
        <v/>
      </c>
      <c r="B1501" s="17" t="s">
        <v>1859</v>
      </c>
      <c r="C1501" s="17" t="s">
        <v>212</v>
      </c>
      <c r="D1501" s="17">
        <v>2117.4899999999998</v>
      </c>
      <c r="E1501" s="17">
        <v>0</v>
      </c>
      <c r="F1501" s="7" t="str">
        <f>IF(A1501=IFERROR(VLOOKUP(A1501,CATALOGO!$B$2:$B$600,1,FALSE),"Falta"),"", "Falta")</f>
        <v>Falta</v>
      </c>
    </row>
    <row r="1502" spans="1:6" x14ac:dyDescent="0.25">
      <c r="A1502" s="11" t="str">
        <f t="shared" si="23"/>
        <v/>
      </c>
      <c r="B1502" s="17" t="s">
        <v>1859</v>
      </c>
      <c r="C1502" s="17" t="s">
        <v>266</v>
      </c>
      <c r="D1502" s="17">
        <v>1999.99</v>
      </c>
      <c r="E1502" s="17">
        <v>34</v>
      </c>
      <c r="F1502" s="7" t="str">
        <f>IF(A1502=IFERROR(VLOOKUP(A1502,CATALOGO!$B$2:$B$600,1,FALSE),"Falta"),"", "Falta")</f>
        <v>Falta</v>
      </c>
    </row>
    <row r="1503" spans="1:6" x14ac:dyDescent="0.25">
      <c r="A1503" s="11" t="str">
        <f t="shared" si="23"/>
        <v/>
      </c>
      <c r="B1503" s="17" t="s">
        <v>1859</v>
      </c>
      <c r="C1503" s="17" t="s">
        <v>267</v>
      </c>
      <c r="D1503" s="17">
        <v>2056.9899999999998</v>
      </c>
      <c r="E1503" s="17">
        <v>11</v>
      </c>
      <c r="F1503" s="7" t="str">
        <f>IF(A1503=IFERROR(VLOOKUP(A1503,CATALOGO!$B$2:$B$600,1,FALSE),"Falta"),"", "Falta")</f>
        <v>Falta</v>
      </c>
    </row>
    <row r="1504" spans="1:6" x14ac:dyDescent="0.25">
      <c r="A1504" s="11" t="str">
        <f t="shared" si="23"/>
        <v/>
      </c>
      <c r="B1504" s="17" t="s">
        <v>1859</v>
      </c>
      <c r="C1504" s="17" t="s">
        <v>268</v>
      </c>
      <c r="D1504" s="17">
        <v>2117.4899999999998</v>
      </c>
      <c r="E1504" s="17">
        <v>0</v>
      </c>
      <c r="F1504" s="7" t="str">
        <f>IF(A1504=IFERROR(VLOOKUP(A1504,CATALOGO!$B$2:$B$600,1,FALSE),"Falta"),"", "Falta")</f>
        <v>Falta</v>
      </c>
    </row>
    <row r="1505" spans="1:6" x14ac:dyDescent="0.25">
      <c r="A1505" s="11" t="str">
        <f t="shared" si="23"/>
        <v/>
      </c>
      <c r="B1505" s="17" t="s">
        <v>1859</v>
      </c>
      <c r="C1505" s="17" t="s">
        <v>1490</v>
      </c>
      <c r="D1505" s="17">
        <v>2350</v>
      </c>
      <c r="E1505" s="17">
        <v>3</v>
      </c>
      <c r="F1505" s="7" t="str">
        <f>IF(A1505=IFERROR(VLOOKUP(A1505,CATALOGO!$B$2:$B$600,1,FALSE),"Falta"),"", "Falta")</f>
        <v>Falta</v>
      </c>
    </row>
    <row r="1506" spans="1:6" x14ac:dyDescent="0.25">
      <c r="A1506" s="11" t="str">
        <f t="shared" si="23"/>
        <v/>
      </c>
      <c r="B1506" s="17" t="s">
        <v>1859</v>
      </c>
      <c r="C1506" s="17" t="s">
        <v>237</v>
      </c>
      <c r="D1506" s="17">
        <v>1935.99</v>
      </c>
      <c r="E1506" s="17">
        <v>2</v>
      </c>
      <c r="F1506" s="7" t="str">
        <f>IF(A1506=IFERROR(VLOOKUP(A1506,CATALOGO!$B$2:$B$600,1,FALSE),"Falta"),"", "Falta")</f>
        <v>Falta</v>
      </c>
    </row>
    <row r="1507" spans="1:6" x14ac:dyDescent="0.25">
      <c r="A1507" s="11" t="str">
        <f t="shared" si="23"/>
        <v/>
      </c>
      <c r="B1507" s="17" t="s">
        <v>1859</v>
      </c>
      <c r="C1507" s="17" t="s">
        <v>238</v>
      </c>
      <c r="D1507" s="17">
        <v>1996.49</v>
      </c>
      <c r="E1507" s="17">
        <v>0</v>
      </c>
      <c r="F1507" s="7" t="str">
        <f>IF(A1507=IFERROR(VLOOKUP(A1507,CATALOGO!$B$2:$B$600,1,FALSE),"Falta"),"", "Falta")</f>
        <v>Falta</v>
      </c>
    </row>
    <row r="1508" spans="1:6" x14ac:dyDescent="0.25">
      <c r="A1508" s="11" t="str">
        <f t="shared" si="23"/>
        <v/>
      </c>
      <c r="B1508" s="17" t="s">
        <v>1859</v>
      </c>
      <c r="C1508" s="17" t="s">
        <v>285</v>
      </c>
      <c r="D1508" s="17">
        <v>1996.49</v>
      </c>
      <c r="E1508" s="17">
        <v>0</v>
      </c>
      <c r="F1508" s="7" t="str">
        <f>IF(A1508=IFERROR(VLOOKUP(A1508,CATALOGO!$B$2:$B$600,1,FALSE),"Falta"),"", "Falta")</f>
        <v>Falta</v>
      </c>
    </row>
    <row r="1509" spans="1:6" x14ac:dyDescent="0.25">
      <c r="A1509" s="11" t="str">
        <f t="shared" si="23"/>
        <v/>
      </c>
      <c r="B1509" s="17" t="s">
        <v>1859</v>
      </c>
      <c r="C1509" s="17" t="s">
        <v>1859</v>
      </c>
      <c r="D1509" s="17">
        <v>0</v>
      </c>
      <c r="E1509" s="17">
        <v>0</v>
      </c>
      <c r="F1509" s="7" t="str">
        <f>IF(A1509=IFERROR(VLOOKUP(A1509,CATALOGO!$B$2:$B$600,1,FALSE),"Falta"),"", "Falta")</f>
        <v>Falta</v>
      </c>
    </row>
    <row r="1510" spans="1:6" x14ac:dyDescent="0.25">
      <c r="A1510" s="11" t="str">
        <f t="shared" si="23"/>
        <v/>
      </c>
      <c r="B1510" s="17" t="s">
        <v>1859</v>
      </c>
      <c r="C1510" s="17" t="s">
        <v>1950</v>
      </c>
      <c r="D1510" s="17">
        <v>0</v>
      </c>
      <c r="E1510" s="17">
        <v>0</v>
      </c>
      <c r="F1510" s="7" t="str">
        <f>IF(A1510=IFERROR(VLOOKUP(A1510,CATALOGO!$B$2:$B$600,1,FALSE),"Falta"),"", "Falta")</f>
        <v>Falta</v>
      </c>
    </row>
    <row r="1511" spans="1:6" x14ac:dyDescent="0.25">
      <c r="A1511" s="11" t="str">
        <f t="shared" si="23"/>
        <v/>
      </c>
      <c r="B1511" s="17" t="s">
        <v>1859</v>
      </c>
      <c r="C1511" s="17" t="s">
        <v>1859</v>
      </c>
      <c r="D1511" s="17">
        <v>0</v>
      </c>
      <c r="E1511" s="17">
        <v>0</v>
      </c>
      <c r="F1511" s="7" t="str">
        <f>IF(A1511=IFERROR(VLOOKUP(A1511,CATALOGO!$B$2:$B$600,1,FALSE),"Falta"),"", "Falta")</f>
        <v>Falta</v>
      </c>
    </row>
    <row r="1512" spans="1:6" x14ac:dyDescent="0.25">
      <c r="A1512" s="11" t="str">
        <f t="shared" si="23"/>
        <v/>
      </c>
      <c r="B1512" s="17" t="s">
        <v>1859</v>
      </c>
      <c r="C1512" s="17" t="s">
        <v>1951</v>
      </c>
      <c r="D1512" s="17">
        <v>0</v>
      </c>
      <c r="E1512" s="17">
        <v>0</v>
      </c>
      <c r="F1512" s="7" t="str">
        <f>IF(A1512=IFERROR(VLOOKUP(A1512,CATALOGO!$B$2:$B$600,1,FALSE),"Falta"),"", "Falta")</f>
        <v>Falta</v>
      </c>
    </row>
    <row r="1513" spans="1:6" x14ac:dyDescent="0.25">
      <c r="A1513" s="11" t="str">
        <f t="shared" si="23"/>
        <v/>
      </c>
      <c r="B1513" s="17" t="s">
        <v>1859</v>
      </c>
      <c r="C1513" s="17" t="s">
        <v>1491</v>
      </c>
      <c r="D1513" s="17">
        <v>1996.49</v>
      </c>
      <c r="E1513" s="17">
        <v>30</v>
      </c>
      <c r="F1513" s="7" t="str">
        <f>IF(A1513=IFERROR(VLOOKUP(A1513,CATALOGO!$B$2:$B$600,1,FALSE),"Falta"),"", "Falta")</f>
        <v>Falta</v>
      </c>
    </row>
    <row r="1514" spans="1:6" x14ac:dyDescent="0.25">
      <c r="A1514" s="11" t="str">
        <f t="shared" si="23"/>
        <v/>
      </c>
      <c r="B1514" s="17" t="s">
        <v>1859</v>
      </c>
      <c r="C1514" s="17" t="s">
        <v>1492</v>
      </c>
      <c r="D1514" s="17">
        <v>2056.9899999999998</v>
      </c>
      <c r="E1514" s="17">
        <v>11</v>
      </c>
      <c r="F1514" s="7" t="str">
        <f>IF(A1514=IFERROR(VLOOKUP(A1514,CATALOGO!$B$2:$B$600,1,FALSE),"Falta"),"", "Falta")</f>
        <v>Falta</v>
      </c>
    </row>
    <row r="1515" spans="1:6" x14ac:dyDescent="0.25">
      <c r="A1515" s="11" t="str">
        <f t="shared" si="23"/>
        <v/>
      </c>
      <c r="B1515" s="17" t="s">
        <v>1859</v>
      </c>
      <c r="C1515" s="17" t="s">
        <v>283</v>
      </c>
      <c r="D1515" s="17">
        <v>2117.4899999999998</v>
      </c>
      <c r="E1515" s="17">
        <v>1</v>
      </c>
      <c r="F1515" s="7" t="str">
        <f>IF(A1515=IFERROR(VLOOKUP(A1515,CATALOGO!$B$2:$B$600,1,FALSE),"Falta"),"", "Falta")</f>
        <v>Falta</v>
      </c>
    </row>
    <row r="1516" spans="1:6" x14ac:dyDescent="0.25">
      <c r="A1516" s="11" t="str">
        <f t="shared" si="23"/>
        <v/>
      </c>
      <c r="B1516" s="17" t="s">
        <v>1859</v>
      </c>
      <c r="C1516" s="17" t="s">
        <v>284</v>
      </c>
      <c r="D1516" s="17">
        <v>2177.9899999999998</v>
      </c>
      <c r="E1516" s="17">
        <v>0</v>
      </c>
      <c r="F1516" s="7" t="str">
        <f>IF(A1516=IFERROR(VLOOKUP(A1516,CATALOGO!$B$2:$B$600,1,FALSE),"Falta"),"", "Falta")</f>
        <v>Falta</v>
      </c>
    </row>
    <row r="1517" spans="1:6" x14ac:dyDescent="0.25">
      <c r="A1517" s="11" t="str">
        <f t="shared" si="23"/>
        <v/>
      </c>
      <c r="B1517" s="17" t="s">
        <v>1859</v>
      </c>
      <c r="C1517" s="17" t="s">
        <v>1859</v>
      </c>
      <c r="D1517" s="17">
        <v>0</v>
      </c>
      <c r="E1517" s="17">
        <v>0</v>
      </c>
      <c r="F1517" s="7" t="str">
        <f>IF(A1517=IFERROR(VLOOKUP(A1517,CATALOGO!$B$2:$B$600,1,FALSE),"Falta"),"", "Falta")</f>
        <v>Falta</v>
      </c>
    </row>
    <row r="1518" spans="1:6" x14ac:dyDescent="0.25">
      <c r="A1518" s="11" t="str">
        <f t="shared" si="23"/>
        <v/>
      </c>
      <c r="B1518" s="17" t="s">
        <v>1859</v>
      </c>
      <c r="C1518" s="17" t="s">
        <v>1952</v>
      </c>
      <c r="D1518" s="17">
        <v>0</v>
      </c>
      <c r="E1518" s="17">
        <v>0</v>
      </c>
      <c r="F1518" s="7" t="str">
        <f>IF(A1518=IFERROR(VLOOKUP(A1518,CATALOGO!$B$2:$B$600,1,FALSE),"Falta"),"", "Falta")</f>
        <v>Falta</v>
      </c>
    </row>
    <row r="1519" spans="1:6" x14ac:dyDescent="0.25">
      <c r="A1519" s="11" t="str">
        <f t="shared" si="23"/>
        <v/>
      </c>
      <c r="B1519" s="17" t="s">
        <v>1859</v>
      </c>
      <c r="C1519" s="17" t="s">
        <v>1859</v>
      </c>
      <c r="D1519" s="17">
        <v>0</v>
      </c>
      <c r="E1519" s="17">
        <v>0</v>
      </c>
      <c r="F1519" s="7" t="str">
        <f>IF(A1519=IFERROR(VLOOKUP(A1519,CATALOGO!$B$2:$B$600,1,FALSE),"Falta"),"", "Falta")</f>
        <v>Falta</v>
      </c>
    </row>
    <row r="1520" spans="1:6" x14ac:dyDescent="0.25">
      <c r="A1520" s="11" t="str">
        <f t="shared" si="23"/>
        <v/>
      </c>
      <c r="B1520" s="17" t="s">
        <v>1859</v>
      </c>
      <c r="C1520" s="17" t="s">
        <v>1953</v>
      </c>
      <c r="D1520" s="17">
        <v>0</v>
      </c>
      <c r="E1520" s="17">
        <v>0</v>
      </c>
      <c r="F1520" s="7" t="str">
        <f>IF(A1520=IFERROR(VLOOKUP(A1520,CATALOGO!$B$2:$B$600,1,FALSE),"Falta"),"", "Falta")</f>
        <v>Falta</v>
      </c>
    </row>
    <row r="1521" spans="1:6" x14ac:dyDescent="0.25">
      <c r="A1521" s="11" t="str">
        <f t="shared" si="23"/>
        <v/>
      </c>
      <c r="B1521" s="17" t="s">
        <v>1859</v>
      </c>
      <c r="C1521" s="17" t="s">
        <v>277</v>
      </c>
      <c r="D1521" s="17">
        <v>1663.74</v>
      </c>
      <c r="E1521" s="17">
        <v>21</v>
      </c>
      <c r="F1521" s="7" t="str">
        <f>IF(A1521=IFERROR(VLOOKUP(A1521,CATALOGO!$B$2:$B$600,1,FALSE),"Falta"),"", "Falta")</f>
        <v>Falta</v>
      </c>
    </row>
    <row r="1522" spans="1:6" x14ac:dyDescent="0.25">
      <c r="A1522" s="11" t="str">
        <f t="shared" si="23"/>
        <v/>
      </c>
      <c r="B1522" s="17" t="s">
        <v>1859</v>
      </c>
      <c r="C1522" s="17" t="s">
        <v>242</v>
      </c>
      <c r="D1522" s="17">
        <v>1935.99</v>
      </c>
      <c r="E1522" s="17">
        <v>34</v>
      </c>
      <c r="F1522" s="7" t="str">
        <f>IF(A1522=IFERROR(VLOOKUP(A1522,CATALOGO!$B$2:$B$600,1,FALSE),"Falta"),"", "Falta")</f>
        <v>Falta</v>
      </c>
    </row>
    <row r="1523" spans="1:6" x14ac:dyDescent="0.25">
      <c r="A1523" s="11" t="str">
        <f t="shared" si="23"/>
        <v/>
      </c>
      <c r="B1523" s="17" t="s">
        <v>1859</v>
      </c>
      <c r="C1523" s="17" t="s">
        <v>275</v>
      </c>
      <c r="D1523" s="17">
        <v>1999.99</v>
      </c>
      <c r="E1523" s="17">
        <v>0</v>
      </c>
      <c r="F1523" s="7" t="str">
        <f>IF(A1523=IFERROR(VLOOKUP(A1523,CATALOGO!$B$2:$B$600,1,FALSE),"Falta"),"", "Falta")</f>
        <v>Falta</v>
      </c>
    </row>
    <row r="1524" spans="1:6" x14ac:dyDescent="0.25">
      <c r="A1524" s="11" t="str">
        <f t="shared" si="23"/>
        <v/>
      </c>
      <c r="B1524" s="17" t="s">
        <v>1859</v>
      </c>
      <c r="C1524" s="17" t="s">
        <v>276</v>
      </c>
      <c r="D1524" s="17">
        <v>2056.9899999999998</v>
      </c>
      <c r="E1524" s="17">
        <v>0</v>
      </c>
      <c r="F1524" s="7" t="str">
        <f>IF(A1524=IFERROR(VLOOKUP(A1524,CATALOGO!$B$2:$B$600,1,FALSE),"Falta"),"", "Falta")</f>
        <v>Falta</v>
      </c>
    </row>
    <row r="1525" spans="1:6" x14ac:dyDescent="0.25">
      <c r="A1525" s="11" t="str">
        <f t="shared" si="23"/>
        <v/>
      </c>
      <c r="B1525" s="17" t="s">
        <v>1859</v>
      </c>
      <c r="C1525" s="17" t="s">
        <v>1859</v>
      </c>
      <c r="D1525" s="17">
        <v>0</v>
      </c>
      <c r="E1525" s="17">
        <v>0</v>
      </c>
      <c r="F1525" s="7" t="str">
        <f>IF(A1525=IFERROR(VLOOKUP(A1525,CATALOGO!$B$2:$B$600,1,FALSE),"Falta"),"", "Falta")</f>
        <v>Falta</v>
      </c>
    </row>
    <row r="1526" spans="1:6" x14ac:dyDescent="0.25">
      <c r="A1526" s="11" t="str">
        <f t="shared" si="23"/>
        <v/>
      </c>
      <c r="B1526" s="17" t="s">
        <v>1859</v>
      </c>
      <c r="C1526" s="17" t="s">
        <v>1954</v>
      </c>
      <c r="D1526" s="17">
        <v>0</v>
      </c>
      <c r="E1526" s="17">
        <v>0</v>
      </c>
      <c r="F1526" s="7" t="str">
        <f>IF(A1526=IFERROR(VLOOKUP(A1526,CATALOGO!$B$2:$B$600,1,FALSE),"Falta"),"", "Falta")</f>
        <v>Falta</v>
      </c>
    </row>
    <row r="1527" spans="1:6" x14ac:dyDescent="0.25">
      <c r="A1527" s="11" t="str">
        <f t="shared" si="23"/>
        <v/>
      </c>
      <c r="B1527" s="17" t="s">
        <v>1859</v>
      </c>
      <c r="C1527" s="17" t="s">
        <v>1955</v>
      </c>
      <c r="D1527" s="17">
        <v>0</v>
      </c>
      <c r="E1527" s="17">
        <v>15</v>
      </c>
      <c r="F1527" s="7" t="str">
        <f>IF(A1527=IFERROR(VLOOKUP(A1527,CATALOGO!$B$2:$B$600,1,FALSE),"Falta"),"", "Falta")</f>
        <v>Falta</v>
      </c>
    </row>
    <row r="1528" spans="1:6" x14ac:dyDescent="0.25">
      <c r="A1528" s="11" t="str">
        <f t="shared" si="23"/>
        <v/>
      </c>
      <c r="B1528" s="17" t="s">
        <v>1859</v>
      </c>
      <c r="C1528" s="17" t="s">
        <v>1859</v>
      </c>
      <c r="D1528" s="17">
        <v>0</v>
      </c>
      <c r="E1528" s="17">
        <v>0</v>
      </c>
      <c r="F1528" s="7" t="str">
        <f>IF(A1528=IFERROR(VLOOKUP(A1528,CATALOGO!$B$2:$B$600,1,FALSE),"Falta"),"", "Falta")</f>
        <v>Falta</v>
      </c>
    </row>
    <row r="1529" spans="1:6" x14ac:dyDescent="0.25">
      <c r="A1529" s="11" t="str">
        <f t="shared" si="23"/>
        <v/>
      </c>
      <c r="B1529" s="17" t="s">
        <v>1859</v>
      </c>
      <c r="C1529" s="17" t="s">
        <v>1956</v>
      </c>
      <c r="D1529" s="17">
        <v>0</v>
      </c>
      <c r="E1529" s="17">
        <v>0</v>
      </c>
      <c r="F1529" s="7" t="str">
        <f>IF(A1529=IFERROR(VLOOKUP(A1529,CATALOGO!$B$2:$B$600,1,FALSE),"Falta"),"", "Falta")</f>
        <v>Falta</v>
      </c>
    </row>
    <row r="1530" spans="1:6" x14ac:dyDescent="0.25">
      <c r="A1530" s="11" t="str">
        <f t="shared" si="23"/>
        <v/>
      </c>
      <c r="B1530" s="17" t="s">
        <v>1859</v>
      </c>
      <c r="C1530" s="17" t="s">
        <v>1859</v>
      </c>
      <c r="D1530" s="17">
        <v>0</v>
      </c>
      <c r="E1530" s="17">
        <v>0</v>
      </c>
      <c r="F1530" s="7" t="str">
        <f>IF(A1530=IFERROR(VLOOKUP(A1530,CATALOGO!$B$2:$B$600,1,FALSE),"Falta"),"", "Falta")</f>
        <v>Falta</v>
      </c>
    </row>
    <row r="1531" spans="1:6" x14ac:dyDescent="0.25">
      <c r="A1531" s="11" t="str">
        <f t="shared" si="23"/>
        <v/>
      </c>
      <c r="B1531" s="17" t="s">
        <v>1859</v>
      </c>
      <c r="C1531" s="17" t="s">
        <v>1957</v>
      </c>
      <c r="D1531" s="17">
        <v>0</v>
      </c>
      <c r="E1531" s="17">
        <v>0</v>
      </c>
      <c r="F1531" s="7" t="str">
        <f>IF(A1531=IFERROR(VLOOKUP(A1531,CATALOGO!$B$2:$B$600,1,FALSE),"Falta"),"", "Falta")</f>
        <v>Falta</v>
      </c>
    </row>
    <row r="1532" spans="1:6" x14ac:dyDescent="0.25">
      <c r="A1532" s="11" t="str">
        <f t="shared" si="23"/>
        <v/>
      </c>
      <c r="B1532" s="17" t="s">
        <v>1859</v>
      </c>
      <c r="C1532" s="17" t="s">
        <v>1859</v>
      </c>
      <c r="D1532" s="17">
        <v>0</v>
      </c>
      <c r="E1532" s="17">
        <v>0</v>
      </c>
      <c r="F1532" s="7" t="str">
        <f>IF(A1532=IFERROR(VLOOKUP(A1532,CATALOGO!$B$2:$B$600,1,FALSE),"Falta"),"", "Falta")</f>
        <v>Falta</v>
      </c>
    </row>
    <row r="1533" spans="1:6" x14ac:dyDescent="0.25">
      <c r="A1533" s="11" t="str">
        <f t="shared" si="23"/>
        <v/>
      </c>
      <c r="B1533" s="17" t="s">
        <v>1859</v>
      </c>
      <c r="C1533" s="17" t="s">
        <v>1958</v>
      </c>
      <c r="D1533" s="17">
        <v>0</v>
      </c>
      <c r="E1533" s="17">
        <v>0</v>
      </c>
      <c r="F1533" s="7" t="str">
        <f>IF(A1533=IFERROR(VLOOKUP(A1533,CATALOGO!$B$2:$B$600,1,FALSE),"Falta"),"", "Falta")</f>
        <v>Falta</v>
      </c>
    </row>
    <row r="1534" spans="1:6" x14ac:dyDescent="0.25">
      <c r="A1534" s="11" t="str">
        <f t="shared" si="23"/>
        <v/>
      </c>
      <c r="B1534" s="17" t="s">
        <v>1859</v>
      </c>
      <c r="C1534" s="17" t="s">
        <v>1859</v>
      </c>
      <c r="D1534" s="17">
        <v>0</v>
      </c>
      <c r="E1534" s="17">
        <v>0</v>
      </c>
      <c r="F1534" s="7" t="str">
        <f>IF(A1534=IFERROR(VLOOKUP(A1534,CATALOGO!$B$2:$B$600,1,FALSE),"Falta"),"", "Falta")</f>
        <v>Falta</v>
      </c>
    </row>
    <row r="1535" spans="1:6" x14ac:dyDescent="0.25">
      <c r="A1535" s="11" t="str">
        <f t="shared" si="23"/>
        <v/>
      </c>
      <c r="B1535" s="17" t="s">
        <v>1859</v>
      </c>
      <c r="C1535" s="17" t="s">
        <v>1959</v>
      </c>
      <c r="D1535" s="17">
        <v>0</v>
      </c>
      <c r="E1535" s="17">
        <v>0</v>
      </c>
      <c r="F1535" s="7" t="str">
        <f>IF(A1535=IFERROR(VLOOKUP(A1535,CATALOGO!$B$2:$B$600,1,FALSE),"Falta"),"", "Falta")</f>
        <v>Falta</v>
      </c>
    </row>
    <row r="1536" spans="1:6" x14ac:dyDescent="0.25">
      <c r="A1536" s="11" t="str">
        <f t="shared" si="23"/>
        <v/>
      </c>
      <c r="B1536" s="17" t="s">
        <v>1859</v>
      </c>
      <c r="C1536" s="17" t="s">
        <v>1859</v>
      </c>
      <c r="D1536" s="17">
        <v>0</v>
      </c>
      <c r="E1536" s="17">
        <v>0</v>
      </c>
      <c r="F1536" s="7" t="str">
        <f>IF(A1536=IFERROR(VLOOKUP(A1536,CATALOGO!$B$2:$B$600,1,FALSE),"Falta"),"", "Falta")</f>
        <v>Falta</v>
      </c>
    </row>
    <row r="1537" spans="1:6" x14ac:dyDescent="0.25">
      <c r="A1537" s="11" t="str">
        <f t="shared" si="23"/>
        <v/>
      </c>
      <c r="B1537" s="17" t="s">
        <v>1859</v>
      </c>
      <c r="C1537" s="17" t="s">
        <v>1960</v>
      </c>
      <c r="D1537" s="17">
        <v>0</v>
      </c>
      <c r="E1537" s="17">
        <v>0</v>
      </c>
      <c r="F1537" s="7" t="str">
        <f>IF(A1537=IFERROR(VLOOKUP(A1537,CATALOGO!$B$2:$B$600,1,FALSE),"Falta"),"", "Falta")</f>
        <v>Falta</v>
      </c>
    </row>
    <row r="1538" spans="1:6" x14ac:dyDescent="0.25">
      <c r="A1538" s="11" t="str">
        <f t="shared" si="23"/>
        <v/>
      </c>
      <c r="B1538" s="17" t="s">
        <v>1859</v>
      </c>
      <c r="C1538" s="17" t="s">
        <v>1859</v>
      </c>
      <c r="D1538" s="17">
        <v>0</v>
      </c>
      <c r="E1538" s="17">
        <v>0</v>
      </c>
      <c r="F1538" s="7" t="str">
        <f>IF(A1538=IFERROR(VLOOKUP(A1538,CATALOGO!$B$2:$B$600,1,FALSE),"Falta"),"", "Falta")</f>
        <v>Falta</v>
      </c>
    </row>
    <row r="1539" spans="1:6" x14ac:dyDescent="0.25">
      <c r="A1539" s="11" t="str">
        <f t="shared" si="23"/>
        <v/>
      </c>
      <c r="B1539" s="17" t="s">
        <v>1859</v>
      </c>
      <c r="C1539" s="17" t="s">
        <v>1961</v>
      </c>
      <c r="D1539" s="17">
        <v>0</v>
      </c>
      <c r="E1539" s="17">
        <v>0</v>
      </c>
      <c r="F1539" s="7" t="str">
        <f>IF(A1539=IFERROR(VLOOKUP(A1539,CATALOGO!$B$2:$B$600,1,FALSE),"Falta"),"", "Falta")</f>
        <v>Falta</v>
      </c>
    </row>
    <row r="1540" spans="1:6" x14ac:dyDescent="0.25">
      <c r="A1540" s="11" t="str">
        <f t="shared" si="23"/>
        <v/>
      </c>
      <c r="B1540" s="17" t="s">
        <v>1859</v>
      </c>
      <c r="C1540" s="17" t="s">
        <v>200</v>
      </c>
      <c r="D1540" s="17">
        <v>1996.49</v>
      </c>
      <c r="E1540" s="17">
        <v>12</v>
      </c>
      <c r="F1540" s="7" t="str">
        <f>IF(A1540=IFERROR(VLOOKUP(A1540,CATALOGO!$B$2:$B$600,1,FALSE),"Falta"),"", "Falta")</f>
        <v>Falta</v>
      </c>
    </row>
    <row r="1541" spans="1:6" x14ac:dyDescent="0.25">
      <c r="A1541" s="11" t="str">
        <f t="shared" si="23"/>
        <v/>
      </c>
      <c r="B1541" s="17" t="s">
        <v>1859</v>
      </c>
      <c r="C1541" s="17" t="s">
        <v>1859</v>
      </c>
      <c r="D1541" s="17">
        <v>0</v>
      </c>
      <c r="E1541" s="17">
        <v>0</v>
      </c>
      <c r="F1541" s="7" t="str">
        <f>IF(A1541=IFERROR(VLOOKUP(A1541,CATALOGO!$B$2:$B$600,1,FALSE),"Falta"),"", "Falta")</f>
        <v>Falta</v>
      </c>
    </row>
    <row r="1542" spans="1:6" x14ac:dyDescent="0.25">
      <c r="A1542" s="11" t="str">
        <f t="shared" ref="A1542:A1605" si="24">IFERROR(B1542*1,"")</f>
        <v/>
      </c>
      <c r="B1542" s="17" t="s">
        <v>1859</v>
      </c>
      <c r="C1542" s="17" t="s">
        <v>1962</v>
      </c>
      <c r="D1542" s="17">
        <v>0</v>
      </c>
      <c r="E1542" s="17">
        <v>0</v>
      </c>
      <c r="F1542" s="7" t="str">
        <f>IF(A1542=IFERROR(VLOOKUP(A1542,CATALOGO!$B$2:$B$600,1,FALSE),"Falta"),"", "Falta")</f>
        <v>Falta</v>
      </c>
    </row>
    <row r="1543" spans="1:6" x14ac:dyDescent="0.25">
      <c r="A1543" s="11" t="str">
        <f t="shared" si="24"/>
        <v/>
      </c>
      <c r="B1543" s="17" t="s">
        <v>1859</v>
      </c>
      <c r="C1543" s="17" t="s">
        <v>201</v>
      </c>
      <c r="D1543" s="17">
        <v>2117.4899999999998</v>
      </c>
      <c r="E1543" s="17">
        <v>1</v>
      </c>
      <c r="F1543" s="7" t="str">
        <f>IF(A1543=IFERROR(VLOOKUP(A1543,CATALOGO!$B$2:$B$600,1,FALSE),"Falta"),"", "Falta")</f>
        <v>Falta</v>
      </c>
    </row>
    <row r="1544" spans="1:6" x14ac:dyDescent="0.25">
      <c r="A1544" s="11" t="str">
        <f t="shared" si="24"/>
        <v/>
      </c>
      <c r="B1544" s="17" t="s">
        <v>1859</v>
      </c>
      <c r="C1544" s="17" t="s">
        <v>1859</v>
      </c>
      <c r="D1544" s="17">
        <v>0</v>
      </c>
      <c r="E1544" s="17">
        <v>0</v>
      </c>
      <c r="F1544" s="7" t="str">
        <f>IF(A1544=IFERROR(VLOOKUP(A1544,CATALOGO!$B$2:$B$600,1,FALSE),"Falta"),"", "Falta")</f>
        <v>Falta</v>
      </c>
    </row>
    <row r="1545" spans="1:6" x14ac:dyDescent="0.25">
      <c r="A1545" s="11" t="str">
        <f t="shared" si="24"/>
        <v/>
      </c>
      <c r="B1545" s="17" t="s">
        <v>1859</v>
      </c>
      <c r="C1545" s="17" t="s">
        <v>1963</v>
      </c>
      <c r="D1545" s="17">
        <v>0</v>
      </c>
      <c r="E1545" s="17">
        <v>0</v>
      </c>
      <c r="F1545" s="7" t="str">
        <f>IF(A1545=IFERROR(VLOOKUP(A1545,CATALOGO!$B$2:$B$600,1,FALSE),"Falta"),"", "Falta")</f>
        <v>Falta</v>
      </c>
    </row>
    <row r="1546" spans="1:6" x14ac:dyDescent="0.25">
      <c r="A1546" s="11" t="str">
        <f t="shared" si="24"/>
        <v/>
      </c>
      <c r="B1546" s="17" t="s">
        <v>1859</v>
      </c>
      <c r="C1546" s="17" t="s">
        <v>245</v>
      </c>
      <c r="D1546" s="17">
        <v>1999.99</v>
      </c>
      <c r="E1546" s="17">
        <v>102</v>
      </c>
      <c r="F1546" s="7" t="str">
        <f>IF(A1546=IFERROR(VLOOKUP(A1546,CATALOGO!$B$2:$B$600,1,FALSE),"Falta"),"", "Falta")</f>
        <v>Falta</v>
      </c>
    </row>
    <row r="1547" spans="1:6" x14ac:dyDescent="0.25">
      <c r="A1547" s="11" t="str">
        <f t="shared" si="24"/>
        <v/>
      </c>
      <c r="B1547" s="17" t="s">
        <v>1859</v>
      </c>
      <c r="C1547" s="17" t="s">
        <v>1859</v>
      </c>
      <c r="D1547" s="17">
        <v>0</v>
      </c>
      <c r="E1547" s="17">
        <v>0</v>
      </c>
      <c r="F1547" s="7" t="str">
        <f>IF(A1547=IFERROR(VLOOKUP(A1547,CATALOGO!$B$2:$B$600,1,FALSE),"Falta"),"", "Falta")</f>
        <v>Falta</v>
      </c>
    </row>
    <row r="1548" spans="1:6" x14ac:dyDescent="0.25">
      <c r="A1548" s="11" t="str">
        <f t="shared" si="24"/>
        <v/>
      </c>
      <c r="B1548" s="17" t="s">
        <v>1859</v>
      </c>
      <c r="C1548" s="17" t="s">
        <v>1964</v>
      </c>
      <c r="D1548" s="17">
        <v>0</v>
      </c>
      <c r="E1548" s="17">
        <v>0</v>
      </c>
      <c r="F1548" s="7" t="str">
        <f>IF(A1548=IFERROR(VLOOKUP(A1548,CATALOGO!$B$2:$B$600,1,FALSE),"Falta"),"", "Falta")</f>
        <v>Falta</v>
      </c>
    </row>
    <row r="1549" spans="1:6" x14ac:dyDescent="0.25">
      <c r="A1549" s="11" t="str">
        <f t="shared" si="24"/>
        <v/>
      </c>
      <c r="B1549" s="17" t="s">
        <v>1859</v>
      </c>
      <c r="C1549" s="17" t="s">
        <v>1493</v>
      </c>
      <c r="D1549" s="17">
        <v>1935.99</v>
      </c>
      <c r="E1549" s="17">
        <v>113</v>
      </c>
      <c r="F1549" s="7" t="str">
        <f>IF(A1549=IFERROR(VLOOKUP(A1549,CATALOGO!$B$2:$B$600,1,FALSE),"Falta"),"", "Falta")</f>
        <v>Falta</v>
      </c>
    </row>
    <row r="1550" spans="1:6" x14ac:dyDescent="0.25">
      <c r="A1550" s="11" t="str">
        <f t="shared" si="24"/>
        <v/>
      </c>
      <c r="B1550" s="17" t="s">
        <v>1859</v>
      </c>
      <c r="C1550" s="17" t="s">
        <v>246</v>
      </c>
      <c r="D1550" s="17">
        <v>2056.9899999999998</v>
      </c>
      <c r="E1550" s="17">
        <v>16</v>
      </c>
      <c r="F1550" s="7" t="str">
        <f>IF(A1550=IFERROR(VLOOKUP(A1550,CATALOGO!$B$2:$B$600,1,FALSE),"Falta"),"", "Falta")</f>
        <v>Falta</v>
      </c>
    </row>
    <row r="1551" spans="1:6" x14ac:dyDescent="0.25">
      <c r="A1551" s="11" t="str">
        <f t="shared" si="24"/>
        <v/>
      </c>
      <c r="B1551" s="17" t="s">
        <v>1859</v>
      </c>
      <c r="C1551" s="17" t="s">
        <v>1859</v>
      </c>
      <c r="D1551" s="17">
        <v>0</v>
      </c>
      <c r="E1551" s="17">
        <v>0</v>
      </c>
      <c r="F1551" s="7" t="str">
        <f>IF(A1551=IFERROR(VLOOKUP(A1551,CATALOGO!$B$2:$B$600,1,FALSE),"Falta"),"", "Falta")</f>
        <v>Falta</v>
      </c>
    </row>
    <row r="1552" spans="1:6" x14ac:dyDescent="0.25">
      <c r="A1552" s="11" t="str">
        <f t="shared" si="24"/>
        <v/>
      </c>
      <c r="B1552" s="17" t="s">
        <v>1859</v>
      </c>
      <c r="C1552" s="17" t="s">
        <v>1965</v>
      </c>
      <c r="D1552" s="17">
        <v>0</v>
      </c>
      <c r="E1552" s="17">
        <v>0</v>
      </c>
      <c r="F1552" s="7" t="str">
        <f>IF(A1552=IFERROR(VLOOKUP(A1552,CATALOGO!$B$2:$B$600,1,FALSE),"Falta"),"", "Falta")</f>
        <v>Falta</v>
      </c>
    </row>
    <row r="1553" spans="1:6" x14ac:dyDescent="0.25">
      <c r="A1553" s="11" t="str">
        <f t="shared" si="24"/>
        <v/>
      </c>
      <c r="B1553" s="17" t="s">
        <v>1859</v>
      </c>
      <c r="C1553" s="17" t="s">
        <v>1859</v>
      </c>
      <c r="D1553" s="17">
        <v>0</v>
      </c>
      <c r="E1553" s="17">
        <v>0</v>
      </c>
      <c r="F1553" s="7" t="str">
        <f>IF(A1553=IFERROR(VLOOKUP(A1553,CATALOGO!$B$2:$B$600,1,FALSE),"Falta"),"", "Falta")</f>
        <v>Falta</v>
      </c>
    </row>
    <row r="1554" spans="1:6" x14ac:dyDescent="0.25">
      <c r="A1554" s="11" t="str">
        <f t="shared" si="24"/>
        <v/>
      </c>
      <c r="B1554" s="17" t="s">
        <v>1859</v>
      </c>
      <c r="C1554" s="17" t="s">
        <v>1879</v>
      </c>
      <c r="D1554" s="17">
        <v>0</v>
      </c>
      <c r="E1554" s="17">
        <v>0</v>
      </c>
      <c r="F1554" s="7" t="str">
        <f>IF(A1554=IFERROR(VLOOKUP(A1554,CATALOGO!$B$2:$B$600,1,FALSE),"Falta"),"", "Falta")</f>
        <v>Falta</v>
      </c>
    </row>
    <row r="1555" spans="1:6" x14ac:dyDescent="0.25">
      <c r="A1555" s="11" t="str">
        <f t="shared" si="24"/>
        <v/>
      </c>
      <c r="B1555" s="17" t="s">
        <v>1859</v>
      </c>
      <c r="C1555" s="17" t="s">
        <v>1966</v>
      </c>
      <c r="D1555" s="17">
        <v>2.2400000000000002</v>
      </c>
      <c r="E1555" s="17">
        <v>0</v>
      </c>
      <c r="F1555" s="7" t="str">
        <f>IF(A1555=IFERROR(VLOOKUP(A1555,CATALOGO!$B$2:$B$600,1,FALSE),"Falta"),"", "Falta")</f>
        <v>Falta</v>
      </c>
    </row>
    <row r="1556" spans="1:6" x14ac:dyDescent="0.25">
      <c r="A1556" s="11" t="str">
        <f t="shared" si="24"/>
        <v/>
      </c>
      <c r="B1556" s="17" t="s">
        <v>1859</v>
      </c>
      <c r="C1556" s="17" t="s">
        <v>1859</v>
      </c>
      <c r="D1556" s="17">
        <v>0</v>
      </c>
      <c r="E1556" s="17">
        <v>0</v>
      </c>
      <c r="F1556" s="7" t="str">
        <f>IF(A1556=IFERROR(VLOOKUP(A1556,CATALOGO!$B$2:$B$600,1,FALSE),"Falta"),"", "Falta")</f>
        <v>Falta</v>
      </c>
    </row>
    <row r="1557" spans="1:6" x14ac:dyDescent="0.25">
      <c r="A1557" s="11" t="str">
        <f t="shared" si="24"/>
        <v/>
      </c>
      <c r="B1557" s="17" t="s">
        <v>1859</v>
      </c>
      <c r="C1557" s="17" t="s">
        <v>335</v>
      </c>
      <c r="D1557" s="17">
        <v>10634.69</v>
      </c>
      <c r="E1557" s="17">
        <v>137</v>
      </c>
      <c r="F1557" s="7" t="str">
        <f>IF(A1557=IFERROR(VLOOKUP(A1557,CATALOGO!$B$2:$B$600,1,FALSE),"Falta"),"", "Falta")</f>
        <v>Falta</v>
      </c>
    </row>
    <row r="1558" spans="1:6" x14ac:dyDescent="0.25">
      <c r="A1558" s="11" t="str">
        <f t="shared" si="24"/>
        <v/>
      </c>
      <c r="B1558" s="17" t="s">
        <v>1859</v>
      </c>
      <c r="C1558" s="17" t="s">
        <v>661</v>
      </c>
      <c r="D1558" s="17">
        <v>4259.1899999999996</v>
      </c>
      <c r="E1558" s="17">
        <v>10</v>
      </c>
      <c r="F1558" s="7" t="str">
        <f>IF(A1558=IFERROR(VLOOKUP(A1558,CATALOGO!$B$2:$B$600,1,FALSE),"Falta"),"", "Falta")</f>
        <v>Falta</v>
      </c>
    </row>
    <row r="1559" spans="1:6" x14ac:dyDescent="0.25">
      <c r="A1559" s="11" t="str">
        <f t="shared" si="24"/>
        <v/>
      </c>
      <c r="B1559" s="17" t="s">
        <v>1859</v>
      </c>
      <c r="C1559" s="17" t="s">
        <v>336</v>
      </c>
      <c r="D1559" s="17">
        <v>10634.69</v>
      </c>
      <c r="E1559" s="17">
        <v>12</v>
      </c>
      <c r="F1559" s="7" t="str">
        <f>IF(A1559=IFERROR(VLOOKUP(A1559,CATALOGO!$B$2:$B$600,1,FALSE),"Falta"),"", "Falta")</f>
        <v>Falta</v>
      </c>
    </row>
    <row r="1560" spans="1:6" x14ac:dyDescent="0.25">
      <c r="A1560" s="11" t="str">
        <f t="shared" si="24"/>
        <v/>
      </c>
      <c r="B1560" s="17" t="s">
        <v>1859</v>
      </c>
      <c r="C1560" s="17" t="s">
        <v>9</v>
      </c>
      <c r="D1560" s="17">
        <v>6121.07</v>
      </c>
      <c r="E1560" s="17">
        <v>0</v>
      </c>
      <c r="F1560" s="7" t="str">
        <f>IF(A1560=IFERROR(VLOOKUP(A1560,CATALOGO!$B$2:$B$600,1,FALSE),"Falta"),"", "Falta")</f>
        <v>Falta</v>
      </c>
    </row>
    <row r="1561" spans="1:6" x14ac:dyDescent="0.25">
      <c r="A1561" s="11" t="str">
        <f t="shared" si="24"/>
        <v/>
      </c>
      <c r="B1561" s="17" t="s">
        <v>1859</v>
      </c>
      <c r="C1561" s="17" t="s">
        <v>355</v>
      </c>
      <c r="D1561" s="17">
        <v>3825.1</v>
      </c>
      <c r="E1561" s="17">
        <v>9</v>
      </c>
      <c r="F1561" s="7" t="str">
        <f>IF(A1561=IFERROR(VLOOKUP(A1561,CATALOGO!$B$2:$B$600,1,FALSE),"Falta"),"", "Falta")</f>
        <v>Falta</v>
      </c>
    </row>
    <row r="1562" spans="1:6" x14ac:dyDescent="0.25">
      <c r="A1562" s="11" t="str">
        <f t="shared" si="24"/>
        <v/>
      </c>
      <c r="B1562" s="17" t="s">
        <v>1859</v>
      </c>
      <c r="C1562" s="17" t="s">
        <v>644</v>
      </c>
      <c r="D1562" s="17">
        <v>4259.1899999999996</v>
      </c>
      <c r="E1562" s="17">
        <v>0</v>
      </c>
      <c r="F1562" s="7" t="str">
        <f>IF(A1562=IFERROR(VLOOKUP(A1562,CATALOGO!$B$2:$B$600,1,FALSE),"Falta"),"", "Falta")</f>
        <v>Falta</v>
      </c>
    </row>
    <row r="1563" spans="1:6" x14ac:dyDescent="0.25">
      <c r="A1563" s="11" t="str">
        <f t="shared" si="24"/>
        <v/>
      </c>
      <c r="B1563" s="17" t="s">
        <v>1859</v>
      </c>
      <c r="C1563" s="17" t="s">
        <v>1859</v>
      </c>
      <c r="D1563" s="17">
        <v>0</v>
      </c>
      <c r="E1563" s="17">
        <v>0</v>
      </c>
      <c r="F1563" s="7" t="str">
        <f>IF(A1563=IFERROR(VLOOKUP(A1563,CATALOGO!$B$2:$B$600,1,FALSE),"Falta"),"", "Falta")</f>
        <v>Falta</v>
      </c>
    </row>
    <row r="1564" spans="1:6" x14ac:dyDescent="0.25">
      <c r="A1564" s="11" t="str">
        <f t="shared" si="24"/>
        <v/>
      </c>
      <c r="B1564" s="17" t="s">
        <v>1859</v>
      </c>
      <c r="C1564" s="17" t="s">
        <v>1967</v>
      </c>
      <c r="D1564" s="17">
        <v>0</v>
      </c>
      <c r="E1564" s="17">
        <v>0</v>
      </c>
      <c r="F1564" s="7" t="str">
        <f>IF(A1564=IFERROR(VLOOKUP(A1564,CATALOGO!$B$2:$B$600,1,FALSE),"Falta"),"", "Falta")</f>
        <v>Falta</v>
      </c>
    </row>
    <row r="1565" spans="1:6" x14ac:dyDescent="0.25">
      <c r="A1565" s="11" t="str">
        <f t="shared" si="24"/>
        <v/>
      </c>
      <c r="B1565" s="17" t="s">
        <v>1859</v>
      </c>
      <c r="C1565" s="17" t="s">
        <v>299</v>
      </c>
      <c r="D1565" s="17">
        <v>4285.82</v>
      </c>
      <c r="E1565" s="17">
        <v>149</v>
      </c>
      <c r="F1565" s="7" t="str">
        <f>IF(A1565=IFERROR(VLOOKUP(A1565,CATALOGO!$B$2:$B$600,1,FALSE),"Falta"),"", "Falta")</f>
        <v>Falta</v>
      </c>
    </row>
    <row r="1566" spans="1:6" x14ac:dyDescent="0.25">
      <c r="A1566" s="11" t="str">
        <f t="shared" si="24"/>
        <v/>
      </c>
      <c r="B1566" s="17" t="s">
        <v>1859</v>
      </c>
      <c r="C1566" s="17" t="s">
        <v>363</v>
      </c>
      <c r="D1566" s="17">
        <v>782.6</v>
      </c>
      <c r="E1566" s="17">
        <v>0</v>
      </c>
      <c r="F1566" s="7" t="str">
        <f>IF(A1566=IFERROR(VLOOKUP(A1566,CATALOGO!$B$2:$B$600,1,FALSE),"Falta"),"", "Falta")</f>
        <v>Falta</v>
      </c>
    </row>
    <row r="1567" spans="1:6" x14ac:dyDescent="0.25">
      <c r="A1567" s="11" t="str">
        <f t="shared" si="24"/>
        <v/>
      </c>
      <c r="B1567" s="17" t="s">
        <v>1859</v>
      </c>
      <c r="C1567" s="17" t="s">
        <v>301</v>
      </c>
      <c r="D1567" s="17">
        <v>4285.82</v>
      </c>
      <c r="E1567" s="17">
        <v>100</v>
      </c>
      <c r="F1567" s="7" t="str">
        <f>IF(A1567=IFERROR(VLOOKUP(A1567,CATALOGO!$B$2:$B$600,1,FALSE),"Falta"),"", "Falta")</f>
        <v>Falta</v>
      </c>
    </row>
    <row r="1568" spans="1:6" x14ac:dyDescent="0.25">
      <c r="A1568" s="11" t="str">
        <f t="shared" si="24"/>
        <v/>
      </c>
      <c r="B1568" s="17" t="s">
        <v>1859</v>
      </c>
      <c r="C1568" s="17" t="s">
        <v>364</v>
      </c>
      <c r="D1568" s="17">
        <v>1700</v>
      </c>
      <c r="E1568" s="17">
        <v>0</v>
      </c>
      <c r="F1568" s="7" t="str">
        <f>IF(A1568=IFERROR(VLOOKUP(A1568,CATALOGO!$B$2:$B$600,1,FALSE),"Falta"),"", "Falta")</f>
        <v>Falta</v>
      </c>
    </row>
    <row r="1569" spans="1:6" x14ac:dyDescent="0.25">
      <c r="A1569" s="11" t="str">
        <f t="shared" si="24"/>
        <v/>
      </c>
      <c r="B1569" s="17" t="s">
        <v>1859</v>
      </c>
      <c r="C1569" s="17" t="s">
        <v>1968</v>
      </c>
      <c r="D1569" s="17">
        <v>0</v>
      </c>
      <c r="E1569" s="17">
        <v>19</v>
      </c>
      <c r="F1569" s="7" t="str">
        <f>IF(A1569=IFERROR(VLOOKUP(A1569,CATALOGO!$B$2:$B$600,1,FALSE),"Falta"),"", "Falta")</f>
        <v>Falta</v>
      </c>
    </row>
    <row r="1570" spans="1:6" x14ac:dyDescent="0.25">
      <c r="A1570" s="11" t="str">
        <f t="shared" si="24"/>
        <v/>
      </c>
      <c r="B1570" s="17" t="s">
        <v>1859</v>
      </c>
      <c r="C1570" s="17" t="s">
        <v>1859</v>
      </c>
      <c r="D1570" s="17">
        <v>0</v>
      </c>
      <c r="E1570" s="17">
        <v>0</v>
      </c>
      <c r="F1570" s="7" t="str">
        <f>IF(A1570=IFERROR(VLOOKUP(A1570,CATALOGO!$B$2:$B$600,1,FALSE),"Falta"),"", "Falta")</f>
        <v>Falta</v>
      </c>
    </row>
    <row r="1571" spans="1:6" x14ac:dyDescent="0.25">
      <c r="A1571" s="11" t="str">
        <f t="shared" si="24"/>
        <v/>
      </c>
      <c r="B1571" s="17" t="s">
        <v>1859</v>
      </c>
      <c r="C1571" s="17" t="s">
        <v>1969</v>
      </c>
      <c r="D1571" s="17">
        <v>0</v>
      </c>
      <c r="E1571" s="17">
        <v>0</v>
      </c>
      <c r="F1571" s="7" t="str">
        <f>IF(A1571=IFERROR(VLOOKUP(A1571,CATALOGO!$B$2:$B$600,1,FALSE),"Falta"),"", "Falta")</f>
        <v>Falta</v>
      </c>
    </row>
    <row r="1572" spans="1:6" x14ac:dyDescent="0.25">
      <c r="A1572" s="11" t="str">
        <f t="shared" si="24"/>
        <v/>
      </c>
      <c r="B1572" s="17" t="s">
        <v>1859</v>
      </c>
      <c r="C1572" s="17" t="s">
        <v>1970</v>
      </c>
      <c r="D1572" s="17">
        <v>0</v>
      </c>
      <c r="E1572" s="17">
        <v>-19</v>
      </c>
      <c r="F1572" s="7" t="str">
        <f>IF(A1572=IFERROR(VLOOKUP(A1572,CATALOGO!$B$2:$B$600,1,FALSE),"Falta"),"", "Falta")</f>
        <v>Falta</v>
      </c>
    </row>
    <row r="1573" spans="1:6" x14ac:dyDescent="0.25">
      <c r="A1573" s="11" t="str">
        <f t="shared" si="24"/>
        <v/>
      </c>
      <c r="B1573" s="17" t="s">
        <v>1859</v>
      </c>
      <c r="C1573" s="17" t="s">
        <v>1859</v>
      </c>
      <c r="D1573" s="17">
        <v>0</v>
      </c>
      <c r="E1573" s="17">
        <v>0</v>
      </c>
      <c r="F1573" s="7" t="str">
        <f>IF(A1573=IFERROR(VLOOKUP(A1573,CATALOGO!$B$2:$B$600,1,FALSE),"Falta"),"", "Falta")</f>
        <v>Falta</v>
      </c>
    </row>
    <row r="1574" spans="1:6" x14ac:dyDescent="0.25">
      <c r="A1574" s="11" t="str">
        <f t="shared" si="24"/>
        <v/>
      </c>
      <c r="B1574" s="17" t="s">
        <v>1859</v>
      </c>
      <c r="C1574" s="17" t="s">
        <v>1971</v>
      </c>
      <c r="D1574" s="17">
        <v>0</v>
      </c>
      <c r="E1574" s="17">
        <v>0</v>
      </c>
      <c r="F1574" s="7" t="str">
        <f>IF(A1574=IFERROR(VLOOKUP(A1574,CATALOGO!$B$2:$B$600,1,FALSE),"Falta"),"", "Falta")</f>
        <v>Falta</v>
      </c>
    </row>
    <row r="1575" spans="1:6" x14ac:dyDescent="0.25">
      <c r="A1575" s="11" t="str">
        <f t="shared" si="24"/>
        <v/>
      </c>
      <c r="B1575" s="17" t="s">
        <v>1859</v>
      </c>
      <c r="C1575" s="17" t="s">
        <v>1859</v>
      </c>
      <c r="D1575" s="17">
        <v>0</v>
      </c>
      <c r="E1575" s="17">
        <v>0</v>
      </c>
      <c r="F1575" s="7" t="str">
        <f>IF(A1575=IFERROR(VLOOKUP(A1575,CATALOGO!$B$2:$B$600,1,FALSE),"Falta"),"", "Falta")</f>
        <v>Falta</v>
      </c>
    </row>
    <row r="1576" spans="1:6" x14ac:dyDescent="0.25">
      <c r="A1576" s="11" t="str">
        <f t="shared" si="24"/>
        <v/>
      </c>
      <c r="B1576" s="17" t="s">
        <v>1859</v>
      </c>
      <c r="C1576" s="17" t="s">
        <v>1972</v>
      </c>
      <c r="D1576" s="17">
        <v>0</v>
      </c>
      <c r="E1576" s="17">
        <v>0</v>
      </c>
      <c r="F1576" s="7" t="str">
        <f>IF(A1576=IFERROR(VLOOKUP(A1576,CATALOGO!$B$2:$B$600,1,FALSE),"Falta"),"", "Falta")</f>
        <v>Falta</v>
      </c>
    </row>
    <row r="1577" spans="1:6" x14ac:dyDescent="0.25">
      <c r="A1577" s="11" t="str">
        <f t="shared" si="24"/>
        <v/>
      </c>
      <c r="B1577" s="17" t="s">
        <v>1859</v>
      </c>
      <c r="C1577" s="17" t="s">
        <v>303</v>
      </c>
      <c r="D1577" s="17">
        <v>3825.1</v>
      </c>
      <c r="E1577" s="17">
        <v>8</v>
      </c>
      <c r="F1577" s="7" t="str">
        <f>IF(A1577=IFERROR(VLOOKUP(A1577,CATALOGO!$B$2:$B$600,1,FALSE),"Falta"),"", "Falta")</f>
        <v>Falta</v>
      </c>
    </row>
    <row r="1578" spans="1:6" x14ac:dyDescent="0.25">
      <c r="A1578" s="11" t="str">
        <f t="shared" si="24"/>
        <v/>
      </c>
      <c r="B1578" s="17" t="s">
        <v>1859</v>
      </c>
      <c r="C1578" s="17" t="s">
        <v>1445</v>
      </c>
      <c r="D1578" s="17">
        <v>4230</v>
      </c>
      <c r="E1578" s="17">
        <v>4</v>
      </c>
      <c r="F1578" s="7" t="str">
        <f>IF(A1578=IFERROR(VLOOKUP(A1578,CATALOGO!$B$2:$B$600,1,FALSE),"Falta"),"", "Falta")</f>
        <v>Falta</v>
      </c>
    </row>
    <row r="1579" spans="1:6" x14ac:dyDescent="0.25">
      <c r="A1579" s="11" t="str">
        <f t="shared" si="24"/>
        <v/>
      </c>
      <c r="B1579" s="17" t="s">
        <v>1859</v>
      </c>
      <c r="C1579" s="17" t="s">
        <v>1859</v>
      </c>
      <c r="D1579" s="17">
        <v>0</v>
      </c>
      <c r="E1579" s="17">
        <v>0</v>
      </c>
      <c r="F1579" s="7" t="str">
        <f>IF(A1579=IFERROR(VLOOKUP(A1579,CATALOGO!$B$2:$B$600,1,FALSE),"Falta"),"", "Falta")</f>
        <v>Falta</v>
      </c>
    </row>
    <row r="1580" spans="1:6" x14ac:dyDescent="0.25">
      <c r="A1580" s="11" t="str">
        <f t="shared" si="24"/>
        <v/>
      </c>
      <c r="B1580" s="17" t="s">
        <v>1859</v>
      </c>
      <c r="C1580" s="17" t="s">
        <v>1973</v>
      </c>
      <c r="D1580" s="17">
        <v>0</v>
      </c>
      <c r="E1580" s="17">
        <v>0</v>
      </c>
      <c r="F1580" s="7" t="str">
        <f>IF(A1580=IFERROR(VLOOKUP(A1580,CATALOGO!$B$2:$B$600,1,FALSE),"Falta"),"", "Falta")</f>
        <v>Falta</v>
      </c>
    </row>
    <row r="1581" spans="1:6" x14ac:dyDescent="0.25">
      <c r="A1581" s="11" t="str">
        <f t="shared" si="24"/>
        <v/>
      </c>
      <c r="B1581" s="17" t="s">
        <v>1859</v>
      </c>
      <c r="C1581" s="17" t="s">
        <v>653</v>
      </c>
      <c r="D1581" s="17">
        <v>4330</v>
      </c>
      <c r="E1581" s="17">
        <v>3</v>
      </c>
      <c r="F1581" s="7" t="str">
        <f>IF(A1581=IFERROR(VLOOKUP(A1581,CATALOGO!$B$2:$B$600,1,FALSE),"Falta"),"", "Falta")</f>
        <v>Falta</v>
      </c>
    </row>
    <row r="1582" spans="1:6" x14ac:dyDescent="0.25">
      <c r="A1582" s="11" t="str">
        <f t="shared" si="24"/>
        <v/>
      </c>
      <c r="B1582" s="17" t="s">
        <v>1859</v>
      </c>
      <c r="C1582" s="17" t="s">
        <v>652</v>
      </c>
      <c r="D1582" s="17">
        <v>4230</v>
      </c>
      <c r="E1582" s="17">
        <v>40</v>
      </c>
      <c r="F1582" s="7" t="str">
        <f>IF(A1582=IFERROR(VLOOKUP(A1582,CATALOGO!$B$2:$B$600,1,FALSE),"Falta"),"", "Falta")</f>
        <v>Falta</v>
      </c>
    </row>
    <row r="1583" spans="1:6" x14ac:dyDescent="0.25">
      <c r="A1583" s="11" t="str">
        <f t="shared" si="24"/>
        <v/>
      </c>
      <c r="B1583" s="17" t="s">
        <v>1859</v>
      </c>
      <c r="C1583" s="17" t="s">
        <v>620</v>
      </c>
      <c r="D1583" s="17">
        <v>3327.49</v>
      </c>
      <c r="E1583" s="17">
        <v>0</v>
      </c>
      <c r="F1583" s="7" t="str">
        <f>IF(A1583=IFERROR(VLOOKUP(A1583,CATALOGO!$B$2:$B$600,1,FALSE),"Falta"),"", "Falta")</f>
        <v>Falta</v>
      </c>
    </row>
    <row r="1584" spans="1:6" x14ac:dyDescent="0.25">
      <c r="A1584" s="11" t="str">
        <f t="shared" si="24"/>
        <v/>
      </c>
      <c r="B1584" s="17" t="s">
        <v>1859</v>
      </c>
      <c r="C1584" s="17" t="s">
        <v>621</v>
      </c>
      <c r="D1584" s="17">
        <v>3327.49</v>
      </c>
      <c r="E1584" s="17">
        <v>1</v>
      </c>
      <c r="F1584" s="7" t="str">
        <f>IF(A1584=IFERROR(VLOOKUP(A1584,CATALOGO!$B$2:$B$600,1,FALSE),"Falta"),"", "Falta")</f>
        <v>Falta</v>
      </c>
    </row>
    <row r="1585" spans="1:6" x14ac:dyDescent="0.25">
      <c r="A1585" s="11" t="str">
        <f t="shared" si="24"/>
        <v/>
      </c>
      <c r="B1585" s="17" t="s">
        <v>1859</v>
      </c>
      <c r="C1585" s="17" t="s">
        <v>1859</v>
      </c>
      <c r="D1585" s="17">
        <v>0</v>
      </c>
      <c r="E1585" s="17">
        <v>0</v>
      </c>
      <c r="F1585" s="7" t="str">
        <f>IF(A1585=IFERROR(VLOOKUP(A1585,CATALOGO!$B$2:$B$600,1,FALSE),"Falta"),"", "Falta")</f>
        <v>Falta</v>
      </c>
    </row>
    <row r="1586" spans="1:6" x14ac:dyDescent="0.25">
      <c r="A1586" s="11" t="str">
        <f t="shared" si="24"/>
        <v/>
      </c>
      <c r="B1586" s="17" t="s">
        <v>1859</v>
      </c>
      <c r="C1586" s="17" t="s">
        <v>1974</v>
      </c>
      <c r="D1586" s="17">
        <v>0</v>
      </c>
      <c r="E1586" s="17">
        <v>0</v>
      </c>
      <c r="F1586" s="7" t="str">
        <f>IF(A1586=IFERROR(VLOOKUP(A1586,CATALOGO!$B$2:$B$600,1,FALSE),"Falta"),"", "Falta")</f>
        <v>Falta</v>
      </c>
    </row>
    <row r="1587" spans="1:6" x14ac:dyDescent="0.25">
      <c r="A1587" s="11" t="str">
        <f t="shared" si="24"/>
        <v/>
      </c>
      <c r="B1587" s="17" t="s">
        <v>1859</v>
      </c>
      <c r="C1587" s="17" t="s">
        <v>632</v>
      </c>
      <c r="D1587" s="17">
        <v>4525.3900000000003</v>
      </c>
      <c r="E1587" s="17">
        <v>52</v>
      </c>
      <c r="F1587" s="7" t="str">
        <f>IF(A1587=IFERROR(VLOOKUP(A1587,CATALOGO!$B$2:$B$600,1,FALSE),"Falta"),"", "Falta")</f>
        <v>Falta</v>
      </c>
    </row>
    <row r="1588" spans="1:6" x14ac:dyDescent="0.25">
      <c r="A1588" s="11" t="str">
        <f t="shared" si="24"/>
        <v/>
      </c>
      <c r="B1588" s="17" t="s">
        <v>1859</v>
      </c>
      <c r="C1588" s="17" t="s">
        <v>1975</v>
      </c>
      <c r="D1588" s="17">
        <v>0</v>
      </c>
      <c r="E1588" s="17">
        <v>0</v>
      </c>
      <c r="F1588" s="7" t="str">
        <f>IF(A1588=IFERROR(VLOOKUP(A1588,CATALOGO!$B$2:$B$600,1,FALSE),"Falta"),"", "Falta")</f>
        <v>Falta</v>
      </c>
    </row>
    <row r="1589" spans="1:6" x14ac:dyDescent="0.25">
      <c r="A1589" s="11" t="str">
        <f t="shared" si="24"/>
        <v/>
      </c>
      <c r="B1589" s="17" t="s">
        <v>1859</v>
      </c>
      <c r="C1589" s="17" t="s">
        <v>1975</v>
      </c>
      <c r="D1589" s="17">
        <v>0</v>
      </c>
      <c r="E1589" s="17">
        <v>0</v>
      </c>
      <c r="F1589" s="7" t="str">
        <f>IF(A1589=IFERROR(VLOOKUP(A1589,CATALOGO!$B$2:$B$600,1,FALSE),"Falta"),"", "Falta")</f>
        <v>Falta</v>
      </c>
    </row>
    <row r="1590" spans="1:6" x14ac:dyDescent="0.25">
      <c r="A1590" s="11" t="str">
        <f t="shared" si="24"/>
        <v/>
      </c>
      <c r="B1590" s="17" t="s">
        <v>1859</v>
      </c>
      <c r="C1590" s="17" t="s">
        <v>633</v>
      </c>
      <c r="D1590" s="17">
        <v>4591.9399999999996</v>
      </c>
      <c r="E1590" s="17">
        <v>0</v>
      </c>
      <c r="F1590" s="7" t="str">
        <f>IF(A1590=IFERROR(VLOOKUP(A1590,CATALOGO!$B$2:$B$600,1,FALSE),"Falta"),"", "Falta")</f>
        <v>Falta</v>
      </c>
    </row>
    <row r="1591" spans="1:6" x14ac:dyDescent="0.25">
      <c r="A1591" s="11" t="str">
        <f t="shared" si="24"/>
        <v/>
      </c>
      <c r="B1591" s="17" t="s">
        <v>1859</v>
      </c>
      <c r="C1591" s="17" t="s">
        <v>1976</v>
      </c>
      <c r="D1591" s="17">
        <v>0</v>
      </c>
      <c r="E1591" s="17">
        <v>0</v>
      </c>
      <c r="F1591" s="7" t="str">
        <f>IF(A1591=IFERROR(VLOOKUP(A1591,CATALOGO!$B$2:$B$600,1,FALSE),"Falta"),"", "Falta")</f>
        <v>Falta</v>
      </c>
    </row>
    <row r="1592" spans="1:6" x14ac:dyDescent="0.25">
      <c r="A1592" s="11" t="str">
        <f t="shared" si="24"/>
        <v/>
      </c>
      <c r="B1592" s="17" t="s">
        <v>1859</v>
      </c>
      <c r="C1592" s="17" t="s">
        <v>1859</v>
      </c>
      <c r="D1592" s="17">
        <v>0</v>
      </c>
      <c r="E1592" s="17">
        <v>0</v>
      </c>
      <c r="F1592" s="7" t="str">
        <f>IF(A1592=IFERROR(VLOOKUP(A1592,CATALOGO!$B$2:$B$600,1,FALSE),"Falta"),"", "Falta")</f>
        <v>Falta</v>
      </c>
    </row>
    <row r="1593" spans="1:6" x14ac:dyDescent="0.25">
      <c r="A1593" s="11" t="str">
        <f t="shared" si="24"/>
        <v/>
      </c>
      <c r="B1593" s="17" t="s">
        <v>1859</v>
      </c>
      <c r="C1593" s="17" t="s">
        <v>1977</v>
      </c>
      <c r="D1593" s="17">
        <v>0</v>
      </c>
      <c r="E1593" s="17">
        <v>0</v>
      </c>
      <c r="F1593" s="7" t="str">
        <f>IF(A1593=IFERROR(VLOOKUP(A1593,CATALOGO!$B$2:$B$600,1,FALSE),"Falta"),"", "Falta")</f>
        <v>Falta</v>
      </c>
    </row>
    <row r="1594" spans="1:6" x14ac:dyDescent="0.25">
      <c r="A1594" s="11" t="str">
        <f t="shared" si="24"/>
        <v/>
      </c>
      <c r="B1594" s="17" t="s">
        <v>1859</v>
      </c>
      <c r="C1594" s="17" t="s">
        <v>1859</v>
      </c>
      <c r="D1594" s="17">
        <v>0</v>
      </c>
      <c r="E1594" s="17">
        <v>0</v>
      </c>
      <c r="F1594" s="7" t="str">
        <f>IF(A1594=IFERROR(VLOOKUP(A1594,CATALOGO!$B$2:$B$600,1,FALSE),"Falta"),"", "Falta")</f>
        <v>Falta</v>
      </c>
    </row>
    <row r="1595" spans="1:6" x14ac:dyDescent="0.25">
      <c r="A1595" s="11" t="str">
        <f t="shared" si="24"/>
        <v/>
      </c>
      <c r="B1595" s="17" t="s">
        <v>1859</v>
      </c>
      <c r="C1595" s="17" t="s">
        <v>1978</v>
      </c>
      <c r="D1595" s="17">
        <v>0</v>
      </c>
      <c r="E1595" s="17">
        <v>0</v>
      </c>
      <c r="F1595" s="7" t="str">
        <f>IF(A1595=IFERROR(VLOOKUP(A1595,CATALOGO!$B$2:$B$600,1,FALSE),"Falta"),"", "Falta")</f>
        <v>Falta</v>
      </c>
    </row>
    <row r="1596" spans="1:6" x14ac:dyDescent="0.25">
      <c r="A1596" s="11" t="str">
        <f t="shared" si="24"/>
        <v/>
      </c>
      <c r="B1596" s="17" t="s">
        <v>1859</v>
      </c>
      <c r="C1596" s="17" t="s">
        <v>1859</v>
      </c>
      <c r="D1596" s="17">
        <v>0</v>
      </c>
      <c r="E1596" s="17">
        <v>0</v>
      </c>
      <c r="F1596" s="7" t="str">
        <f>IF(A1596=IFERROR(VLOOKUP(A1596,CATALOGO!$B$2:$B$600,1,FALSE),"Falta"),"", "Falta")</f>
        <v>Falta</v>
      </c>
    </row>
    <row r="1597" spans="1:6" x14ac:dyDescent="0.25">
      <c r="A1597" s="11" t="str">
        <f t="shared" si="24"/>
        <v/>
      </c>
      <c r="B1597" s="17" t="s">
        <v>1859</v>
      </c>
      <c r="C1597" s="17" t="s">
        <v>1979</v>
      </c>
      <c r="D1597" s="17">
        <v>0</v>
      </c>
      <c r="E1597" s="17">
        <v>0</v>
      </c>
      <c r="F1597" s="7" t="str">
        <f>IF(A1597=IFERROR(VLOOKUP(A1597,CATALOGO!$B$2:$B$600,1,FALSE),"Falta"),"", "Falta")</f>
        <v>Falta</v>
      </c>
    </row>
    <row r="1598" spans="1:6" x14ac:dyDescent="0.25">
      <c r="A1598" s="11" t="str">
        <f t="shared" si="24"/>
        <v/>
      </c>
      <c r="B1598" s="17" t="s">
        <v>1859</v>
      </c>
      <c r="C1598" s="17" t="s">
        <v>1859</v>
      </c>
      <c r="D1598" s="17">
        <v>0</v>
      </c>
      <c r="E1598" s="17">
        <v>0</v>
      </c>
      <c r="F1598" s="7" t="str">
        <f>IF(A1598=IFERROR(VLOOKUP(A1598,CATALOGO!$B$2:$B$600,1,FALSE),"Falta"),"", "Falta")</f>
        <v>Falta</v>
      </c>
    </row>
    <row r="1599" spans="1:6" x14ac:dyDescent="0.25">
      <c r="A1599" s="11" t="str">
        <f t="shared" si="24"/>
        <v/>
      </c>
      <c r="B1599" s="17" t="s">
        <v>1859</v>
      </c>
      <c r="C1599" s="17" t="s">
        <v>1980</v>
      </c>
      <c r="D1599" s="17">
        <v>0</v>
      </c>
      <c r="E1599" s="17">
        <v>0</v>
      </c>
      <c r="F1599" s="7" t="str">
        <f>IF(A1599=IFERROR(VLOOKUP(A1599,CATALOGO!$B$2:$B$600,1,FALSE),"Falta"),"", "Falta")</f>
        <v>Falta</v>
      </c>
    </row>
    <row r="1600" spans="1:6" x14ac:dyDescent="0.25">
      <c r="A1600" s="11" t="str">
        <f t="shared" si="24"/>
        <v/>
      </c>
      <c r="B1600" s="17" t="s">
        <v>1859</v>
      </c>
      <c r="C1600" s="17" t="s">
        <v>1859</v>
      </c>
      <c r="D1600" s="17">
        <v>0</v>
      </c>
      <c r="E1600" s="17">
        <v>0</v>
      </c>
      <c r="F1600" s="7" t="str">
        <f>IF(A1600=IFERROR(VLOOKUP(A1600,CATALOGO!$B$2:$B$600,1,FALSE),"Falta"),"", "Falta")</f>
        <v>Falta</v>
      </c>
    </row>
    <row r="1601" spans="1:6" x14ac:dyDescent="0.25">
      <c r="A1601" s="11" t="str">
        <f t="shared" si="24"/>
        <v/>
      </c>
      <c r="B1601" s="17" t="s">
        <v>1859</v>
      </c>
      <c r="C1601" s="17" t="s">
        <v>1981</v>
      </c>
      <c r="D1601" s="17">
        <v>0</v>
      </c>
      <c r="E1601" s="17">
        <v>0</v>
      </c>
      <c r="F1601" s="7" t="str">
        <f>IF(A1601=IFERROR(VLOOKUP(A1601,CATALOGO!$B$2:$B$600,1,FALSE),"Falta"),"", "Falta")</f>
        <v>Falta</v>
      </c>
    </row>
    <row r="1602" spans="1:6" x14ac:dyDescent="0.25">
      <c r="A1602" s="11" t="str">
        <f t="shared" si="24"/>
        <v/>
      </c>
      <c r="B1602" s="17" t="s">
        <v>1859</v>
      </c>
      <c r="C1602" s="17" t="s">
        <v>1859</v>
      </c>
      <c r="D1602" s="17">
        <v>0</v>
      </c>
      <c r="E1602" s="17">
        <v>0</v>
      </c>
      <c r="F1602" s="7" t="str">
        <f>IF(A1602=IFERROR(VLOOKUP(A1602,CATALOGO!$B$2:$B$600,1,FALSE),"Falta"),"", "Falta")</f>
        <v>Falta</v>
      </c>
    </row>
    <row r="1603" spans="1:6" x14ac:dyDescent="0.25">
      <c r="A1603" s="11" t="str">
        <f t="shared" si="24"/>
        <v/>
      </c>
      <c r="B1603" s="17" t="s">
        <v>1859</v>
      </c>
      <c r="C1603" s="17" t="s">
        <v>1982</v>
      </c>
      <c r="D1603" s="17">
        <v>0</v>
      </c>
      <c r="E1603" s="17">
        <v>0</v>
      </c>
      <c r="F1603" s="7" t="str">
        <f>IF(A1603=IFERROR(VLOOKUP(A1603,CATALOGO!$B$2:$B$600,1,FALSE),"Falta"),"", "Falta")</f>
        <v>Falta</v>
      </c>
    </row>
    <row r="1604" spans="1:6" x14ac:dyDescent="0.25">
      <c r="A1604" s="11" t="str">
        <f t="shared" si="24"/>
        <v/>
      </c>
      <c r="B1604" s="17" t="s">
        <v>1859</v>
      </c>
      <c r="C1604" s="17" t="s">
        <v>1859</v>
      </c>
      <c r="D1604" s="17">
        <v>0</v>
      </c>
      <c r="E1604" s="17">
        <v>0</v>
      </c>
      <c r="F1604" s="7" t="str">
        <f>IF(A1604=IFERROR(VLOOKUP(A1604,CATALOGO!$B$2:$B$600,1,FALSE),"Falta"),"", "Falta")</f>
        <v>Falta</v>
      </c>
    </row>
    <row r="1605" spans="1:6" x14ac:dyDescent="0.25">
      <c r="A1605" s="11" t="str">
        <f t="shared" si="24"/>
        <v/>
      </c>
      <c r="B1605" s="17" t="s">
        <v>1859</v>
      </c>
      <c r="C1605" s="17" t="s">
        <v>1983</v>
      </c>
      <c r="D1605" s="17">
        <v>0</v>
      </c>
      <c r="E1605" s="17">
        <v>0</v>
      </c>
      <c r="F1605" s="7" t="str">
        <f>IF(A1605=IFERROR(VLOOKUP(A1605,CATALOGO!$B$2:$B$600,1,FALSE),"Falta"),"", "Falta")</f>
        <v>Falta</v>
      </c>
    </row>
    <row r="1606" spans="1:6" x14ac:dyDescent="0.25">
      <c r="A1606" s="11" t="str">
        <f t="shared" ref="A1606:A1669" si="25">IFERROR(B1606*1,"")</f>
        <v/>
      </c>
      <c r="B1606" s="17" t="s">
        <v>1859</v>
      </c>
      <c r="C1606" s="17" t="s">
        <v>1984</v>
      </c>
      <c r="D1606" s="17">
        <v>2590</v>
      </c>
      <c r="E1606" s="17">
        <v>0</v>
      </c>
      <c r="F1606" s="7" t="str">
        <f>IF(A1606=IFERROR(VLOOKUP(A1606,CATALOGO!$B$2:$B$600,1,FALSE),"Falta"),"", "Falta")</f>
        <v>Falta</v>
      </c>
    </row>
    <row r="1607" spans="1:6" x14ac:dyDescent="0.25">
      <c r="A1607" s="11" t="str">
        <f t="shared" si="25"/>
        <v/>
      </c>
      <c r="B1607" s="17" t="s">
        <v>1859</v>
      </c>
      <c r="C1607" s="17" t="s">
        <v>1985</v>
      </c>
      <c r="D1607" s="17">
        <v>2690</v>
      </c>
      <c r="E1607" s="17">
        <v>0</v>
      </c>
      <c r="F1607" s="7" t="str">
        <f>IF(A1607=IFERROR(VLOOKUP(A1607,CATALOGO!$B$2:$B$600,1,FALSE),"Falta"),"", "Falta")</f>
        <v>Falta</v>
      </c>
    </row>
    <row r="1608" spans="1:6" x14ac:dyDescent="0.25">
      <c r="A1608" s="11" t="str">
        <f t="shared" si="25"/>
        <v/>
      </c>
      <c r="B1608" s="17" t="s">
        <v>1859</v>
      </c>
      <c r="C1608" s="17" t="s">
        <v>638</v>
      </c>
      <c r="D1608" s="17">
        <v>3617.9</v>
      </c>
      <c r="E1608" s="17">
        <v>18</v>
      </c>
      <c r="F1608" s="7" t="str">
        <f>IF(A1608=IFERROR(VLOOKUP(A1608,CATALOGO!$B$2:$B$600,1,FALSE),"Falta"),"", "Falta")</f>
        <v>Falta</v>
      </c>
    </row>
    <row r="1609" spans="1:6" x14ac:dyDescent="0.25">
      <c r="A1609" s="11" t="str">
        <f t="shared" si="25"/>
        <v/>
      </c>
      <c r="B1609" s="17" t="s">
        <v>1859</v>
      </c>
      <c r="C1609" s="17" t="s">
        <v>637</v>
      </c>
      <c r="D1609" s="17">
        <v>3859.9</v>
      </c>
      <c r="E1609" s="17">
        <v>7</v>
      </c>
      <c r="F1609" s="7" t="str">
        <f>IF(A1609=IFERROR(VLOOKUP(A1609,CATALOGO!$B$2:$B$600,1,FALSE),"Falta"),"", "Falta")</f>
        <v>Falta</v>
      </c>
    </row>
    <row r="1610" spans="1:6" x14ac:dyDescent="0.25">
      <c r="A1610" s="11" t="str">
        <f t="shared" si="25"/>
        <v/>
      </c>
      <c r="B1610" s="17" t="s">
        <v>1859</v>
      </c>
      <c r="C1610" s="17" t="s">
        <v>636</v>
      </c>
      <c r="D1610" s="17">
        <v>3617.9</v>
      </c>
      <c r="E1610" s="17">
        <v>9</v>
      </c>
      <c r="F1610" s="7" t="str">
        <f>IF(A1610=IFERROR(VLOOKUP(A1610,CATALOGO!$B$2:$B$600,1,FALSE),"Falta"),"", "Falta")</f>
        <v>Falta</v>
      </c>
    </row>
    <row r="1611" spans="1:6" x14ac:dyDescent="0.25">
      <c r="A1611" s="11" t="str">
        <f t="shared" si="25"/>
        <v/>
      </c>
      <c r="B1611" s="17" t="s">
        <v>1859</v>
      </c>
      <c r="C1611" s="17" t="s">
        <v>635</v>
      </c>
      <c r="D1611" s="17">
        <v>3859.9</v>
      </c>
      <c r="E1611" s="17">
        <v>4</v>
      </c>
      <c r="F1611" s="7" t="str">
        <f>IF(A1611=IFERROR(VLOOKUP(A1611,CATALOGO!$B$2:$B$600,1,FALSE),"Falta"),"", "Falta")</f>
        <v>Falta</v>
      </c>
    </row>
    <row r="1612" spans="1:6" x14ac:dyDescent="0.25">
      <c r="A1612" s="11" t="str">
        <f t="shared" si="25"/>
        <v/>
      </c>
      <c r="B1612" s="17" t="s">
        <v>1859</v>
      </c>
      <c r="C1612" s="17" t="s">
        <v>630</v>
      </c>
      <c r="D1612" s="17">
        <v>3061.29</v>
      </c>
      <c r="E1612" s="17">
        <v>0</v>
      </c>
      <c r="F1612" s="7" t="str">
        <f>IF(A1612=IFERROR(VLOOKUP(A1612,CATALOGO!$B$2:$B$600,1,FALSE),"Falta"),"", "Falta")</f>
        <v>Falta</v>
      </c>
    </row>
    <row r="1613" spans="1:6" x14ac:dyDescent="0.25">
      <c r="A1613" s="11" t="str">
        <f t="shared" si="25"/>
        <v/>
      </c>
      <c r="B1613" s="17" t="s">
        <v>1859</v>
      </c>
      <c r="C1613" s="17" t="s">
        <v>1859</v>
      </c>
      <c r="D1613" s="17">
        <v>0</v>
      </c>
      <c r="E1613" s="17">
        <v>0</v>
      </c>
      <c r="F1613" s="7" t="str">
        <f>IF(A1613=IFERROR(VLOOKUP(A1613,CATALOGO!$B$2:$B$600,1,FALSE),"Falta"),"", "Falta")</f>
        <v>Falta</v>
      </c>
    </row>
    <row r="1614" spans="1:6" x14ac:dyDescent="0.25">
      <c r="A1614" s="11" t="str">
        <f t="shared" si="25"/>
        <v/>
      </c>
      <c r="B1614" s="17" t="s">
        <v>1859</v>
      </c>
      <c r="C1614" s="17" t="s">
        <v>1986</v>
      </c>
      <c r="D1614" s="17">
        <v>0</v>
      </c>
      <c r="E1614" s="17">
        <v>0</v>
      </c>
      <c r="F1614" s="7" t="str">
        <f>IF(A1614=IFERROR(VLOOKUP(A1614,CATALOGO!$B$2:$B$600,1,FALSE),"Falta"),"", "Falta")</f>
        <v>Falta</v>
      </c>
    </row>
    <row r="1615" spans="1:6" x14ac:dyDescent="0.25">
      <c r="A1615" s="11" t="str">
        <f t="shared" si="25"/>
        <v/>
      </c>
      <c r="B1615" s="17" t="s">
        <v>1859</v>
      </c>
      <c r="C1615" s="17" t="s">
        <v>639</v>
      </c>
      <c r="D1615" s="17">
        <v>3617.9</v>
      </c>
      <c r="E1615" s="17">
        <v>17</v>
      </c>
      <c r="F1615" s="7" t="str">
        <f>IF(A1615=IFERROR(VLOOKUP(A1615,CATALOGO!$B$2:$B$600,1,FALSE),"Falta"),"", "Falta")</f>
        <v>Falta</v>
      </c>
    </row>
    <row r="1616" spans="1:6" x14ac:dyDescent="0.25">
      <c r="A1616" s="11" t="str">
        <f t="shared" si="25"/>
        <v/>
      </c>
      <c r="B1616" s="17" t="s">
        <v>1859</v>
      </c>
      <c r="C1616" s="17" t="s">
        <v>619</v>
      </c>
      <c r="D1616" s="17">
        <v>3859.9</v>
      </c>
      <c r="E1616" s="17">
        <v>4</v>
      </c>
      <c r="F1616" s="7" t="str">
        <f>IF(A1616=IFERROR(VLOOKUP(A1616,CATALOGO!$B$2:$B$600,1,FALSE),"Falta"),"", "Falta")</f>
        <v>Falta</v>
      </c>
    </row>
    <row r="1617" spans="1:6" x14ac:dyDescent="0.25">
      <c r="A1617" s="11" t="str">
        <f t="shared" si="25"/>
        <v/>
      </c>
      <c r="B1617" s="17" t="s">
        <v>1859</v>
      </c>
      <c r="C1617" s="17" t="s">
        <v>306</v>
      </c>
      <c r="D1617" s="17">
        <v>3518.97</v>
      </c>
      <c r="E1617" s="17">
        <v>4</v>
      </c>
      <c r="F1617" s="7" t="str">
        <f>IF(A1617=IFERROR(VLOOKUP(A1617,CATALOGO!$B$2:$B$600,1,FALSE),"Falta"),"", "Falta")</f>
        <v>Falta</v>
      </c>
    </row>
    <row r="1618" spans="1:6" x14ac:dyDescent="0.25">
      <c r="A1618" s="11" t="str">
        <f t="shared" si="25"/>
        <v/>
      </c>
      <c r="B1618" s="17" t="s">
        <v>1859</v>
      </c>
      <c r="C1618" s="17" t="s">
        <v>1987</v>
      </c>
      <c r="D1618" s="17">
        <v>1799</v>
      </c>
      <c r="E1618" s="17">
        <v>0</v>
      </c>
      <c r="F1618" s="7" t="str">
        <f>IF(A1618=IFERROR(VLOOKUP(A1618,CATALOGO!$B$2:$B$600,1,FALSE),"Falta"),"", "Falta")</f>
        <v>Falta</v>
      </c>
    </row>
    <row r="1619" spans="1:6" x14ac:dyDescent="0.25">
      <c r="A1619" s="11" t="str">
        <f t="shared" si="25"/>
        <v/>
      </c>
      <c r="B1619" s="17" t="s">
        <v>1859</v>
      </c>
      <c r="C1619" s="17" t="s">
        <v>339</v>
      </c>
      <c r="D1619" s="17">
        <v>6121.07</v>
      </c>
      <c r="E1619" s="17">
        <v>0</v>
      </c>
      <c r="F1619" s="7" t="str">
        <f>IF(A1619=IFERROR(VLOOKUP(A1619,CATALOGO!$B$2:$B$600,1,FALSE),"Falta"),"", "Falta")</f>
        <v>Falta</v>
      </c>
    </row>
    <row r="1620" spans="1:6" x14ac:dyDescent="0.25">
      <c r="A1620" s="11" t="str">
        <f t="shared" si="25"/>
        <v/>
      </c>
      <c r="B1620" s="17" t="s">
        <v>1859</v>
      </c>
      <c r="C1620" s="17" t="s">
        <v>338</v>
      </c>
      <c r="D1620" s="17">
        <v>6121.07</v>
      </c>
      <c r="E1620" s="17">
        <v>3</v>
      </c>
      <c r="F1620" s="7" t="str">
        <f>IF(A1620=IFERROR(VLOOKUP(A1620,CATALOGO!$B$2:$B$600,1,FALSE),"Falta"),"", "Falta")</f>
        <v>Falta</v>
      </c>
    </row>
    <row r="1621" spans="1:6" x14ac:dyDescent="0.25">
      <c r="A1621" s="11" t="str">
        <f t="shared" si="25"/>
        <v/>
      </c>
      <c r="B1621" s="17" t="s">
        <v>1859</v>
      </c>
      <c r="C1621" s="17" t="s">
        <v>342</v>
      </c>
      <c r="D1621" s="17">
        <v>7500</v>
      </c>
      <c r="E1621" s="17">
        <v>328</v>
      </c>
      <c r="F1621" s="7" t="str">
        <f>IF(A1621=IFERROR(VLOOKUP(A1621,CATALOGO!$B$2:$B$600,1,FALSE),"Falta"),"", "Falta")</f>
        <v>Falta</v>
      </c>
    </row>
    <row r="1622" spans="1:6" x14ac:dyDescent="0.25">
      <c r="A1622" s="11" t="str">
        <f t="shared" si="25"/>
        <v/>
      </c>
      <c r="B1622" s="17" t="s">
        <v>1859</v>
      </c>
      <c r="C1622" s="17" t="s">
        <v>343</v>
      </c>
      <c r="D1622" s="17">
        <v>7500</v>
      </c>
      <c r="E1622" s="17">
        <v>22</v>
      </c>
      <c r="F1622" s="7" t="str">
        <f>IF(A1622=IFERROR(VLOOKUP(A1622,CATALOGO!$B$2:$B$600,1,FALSE),"Falta"),"", "Falta")</f>
        <v>Falta</v>
      </c>
    </row>
    <row r="1623" spans="1:6" x14ac:dyDescent="0.25">
      <c r="A1623" s="11" t="str">
        <f t="shared" si="25"/>
        <v/>
      </c>
      <c r="B1623" s="17" t="s">
        <v>1859</v>
      </c>
      <c r="C1623" s="17" t="s">
        <v>344</v>
      </c>
      <c r="D1623" s="17">
        <v>7500</v>
      </c>
      <c r="E1623" s="17">
        <v>216</v>
      </c>
      <c r="F1623" s="7" t="str">
        <f>IF(A1623=IFERROR(VLOOKUP(A1623,CATALOGO!$B$2:$B$600,1,FALSE),"Falta"),"", "Falta")</f>
        <v>Falta</v>
      </c>
    </row>
    <row r="1624" spans="1:6" x14ac:dyDescent="0.25">
      <c r="A1624" s="11" t="str">
        <f t="shared" si="25"/>
        <v/>
      </c>
      <c r="B1624" s="17" t="s">
        <v>1859</v>
      </c>
      <c r="C1624" s="17" t="s">
        <v>1859</v>
      </c>
      <c r="D1624" s="17">
        <v>0</v>
      </c>
      <c r="E1624" s="17">
        <v>0</v>
      </c>
      <c r="F1624" s="7" t="str">
        <f>IF(A1624=IFERROR(VLOOKUP(A1624,CATALOGO!$B$2:$B$600,1,FALSE),"Falta"),"", "Falta")</f>
        <v>Falta</v>
      </c>
    </row>
    <row r="1625" spans="1:6" x14ac:dyDescent="0.25">
      <c r="A1625" s="11" t="str">
        <f t="shared" si="25"/>
        <v/>
      </c>
      <c r="B1625" s="17" t="s">
        <v>1859</v>
      </c>
      <c r="C1625" s="17" t="s">
        <v>1988</v>
      </c>
      <c r="D1625" s="17">
        <v>0</v>
      </c>
      <c r="E1625" s="17">
        <v>0</v>
      </c>
      <c r="F1625" s="7" t="str">
        <f>IF(A1625=IFERROR(VLOOKUP(A1625,CATALOGO!$B$2:$B$600,1,FALSE),"Falta"),"", "Falta")</f>
        <v>Falta</v>
      </c>
    </row>
    <row r="1626" spans="1:6" x14ac:dyDescent="0.25">
      <c r="A1626" s="11" t="str">
        <f t="shared" si="25"/>
        <v/>
      </c>
      <c r="B1626" s="17" t="s">
        <v>1859</v>
      </c>
      <c r="C1626" s="17" t="s">
        <v>1859</v>
      </c>
      <c r="D1626" s="17">
        <v>0</v>
      </c>
      <c r="E1626" s="17">
        <v>0</v>
      </c>
      <c r="F1626" s="7" t="str">
        <f>IF(A1626=IFERROR(VLOOKUP(A1626,CATALOGO!$B$2:$B$600,1,FALSE),"Falta"),"", "Falta")</f>
        <v>Falta</v>
      </c>
    </row>
    <row r="1627" spans="1:6" x14ac:dyDescent="0.25">
      <c r="A1627" s="11" t="str">
        <f t="shared" si="25"/>
        <v/>
      </c>
      <c r="B1627" s="17" t="s">
        <v>1859</v>
      </c>
      <c r="C1627" s="17" t="s">
        <v>1989</v>
      </c>
      <c r="D1627" s="17">
        <v>0</v>
      </c>
      <c r="E1627" s="17">
        <v>0</v>
      </c>
      <c r="F1627" s="7" t="str">
        <f>IF(A1627=IFERROR(VLOOKUP(A1627,CATALOGO!$B$2:$B$600,1,FALSE),"Falta"),"", "Falta")</f>
        <v>Falta</v>
      </c>
    </row>
    <row r="1628" spans="1:6" x14ac:dyDescent="0.25">
      <c r="A1628" s="11" t="str">
        <f t="shared" si="25"/>
        <v/>
      </c>
      <c r="B1628" s="17" t="s">
        <v>1859</v>
      </c>
      <c r="C1628" s="17" t="s">
        <v>341</v>
      </c>
      <c r="D1628" s="17">
        <v>6121.07</v>
      </c>
      <c r="E1628" s="17">
        <v>-1</v>
      </c>
      <c r="F1628" s="7" t="str">
        <f>IF(A1628=IFERROR(VLOOKUP(A1628,CATALOGO!$B$2:$B$600,1,FALSE),"Falta"),"", "Falta")</f>
        <v>Falta</v>
      </c>
    </row>
    <row r="1629" spans="1:6" x14ac:dyDescent="0.25">
      <c r="A1629" s="11" t="str">
        <f t="shared" si="25"/>
        <v/>
      </c>
      <c r="B1629" s="17" t="s">
        <v>1859</v>
      </c>
      <c r="C1629" s="17" t="s">
        <v>1990</v>
      </c>
      <c r="D1629" s="17">
        <v>0</v>
      </c>
      <c r="E1629" s="17">
        <v>1</v>
      </c>
      <c r="F1629" s="7" t="str">
        <f>IF(A1629=IFERROR(VLOOKUP(A1629,CATALOGO!$B$2:$B$600,1,FALSE),"Falta"),"", "Falta")</f>
        <v>Falta</v>
      </c>
    </row>
    <row r="1630" spans="1:6" x14ac:dyDescent="0.25">
      <c r="A1630" s="11" t="str">
        <f t="shared" si="25"/>
        <v/>
      </c>
      <c r="B1630" s="17" t="s">
        <v>1859</v>
      </c>
      <c r="C1630" s="17" t="s">
        <v>298</v>
      </c>
      <c r="D1630" s="17">
        <v>6580.27</v>
      </c>
      <c r="E1630" s="17">
        <v>10</v>
      </c>
      <c r="F1630" s="7" t="str">
        <f>IF(A1630=IFERROR(VLOOKUP(A1630,CATALOGO!$B$2:$B$600,1,FALSE),"Falta"),"", "Falta")</f>
        <v>Falta</v>
      </c>
    </row>
    <row r="1631" spans="1:6" x14ac:dyDescent="0.25">
      <c r="A1631" s="11" t="str">
        <f t="shared" si="25"/>
        <v/>
      </c>
      <c r="B1631" s="17" t="s">
        <v>1859</v>
      </c>
      <c r="C1631" s="17" t="s">
        <v>353</v>
      </c>
      <c r="D1631" s="17">
        <v>6121.07</v>
      </c>
      <c r="E1631" s="17">
        <v>2</v>
      </c>
      <c r="F1631" s="7" t="str">
        <f>IF(A1631=IFERROR(VLOOKUP(A1631,CATALOGO!$B$2:$B$600,1,FALSE),"Falta"),"", "Falta")</f>
        <v>Falta</v>
      </c>
    </row>
    <row r="1632" spans="1:6" x14ac:dyDescent="0.25">
      <c r="A1632" s="11" t="str">
        <f t="shared" si="25"/>
        <v/>
      </c>
      <c r="B1632" s="17" t="s">
        <v>1859</v>
      </c>
      <c r="C1632" s="17" t="s">
        <v>340</v>
      </c>
      <c r="D1632" s="17">
        <v>7651.72</v>
      </c>
      <c r="E1632" s="17">
        <v>1</v>
      </c>
      <c r="F1632" s="7" t="str">
        <f>IF(A1632=IFERROR(VLOOKUP(A1632,CATALOGO!$B$2:$B$600,1,FALSE),"Falta"),"", "Falta")</f>
        <v>Falta</v>
      </c>
    </row>
    <row r="1633" spans="1:6" x14ac:dyDescent="0.25">
      <c r="A1633" s="11" t="str">
        <f t="shared" si="25"/>
        <v/>
      </c>
      <c r="B1633" s="17" t="s">
        <v>1859</v>
      </c>
      <c r="C1633" s="17" t="s">
        <v>312</v>
      </c>
      <c r="D1633" s="17">
        <v>5661.88</v>
      </c>
      <c r="E1633" s="17">
        <v>4</v>
      </c>
      <c r="F1633" s="7" t="str">
        <f>IF(A1633=IFERROR(VLOOKUP(A1633,CATALOGO!$B$2:$B$600,1,FALSE),"Falta"),"", "Falta")</f>
        <v>Falta</v>
      </c>
    </row>
    <row r="1634" spans="1:6" x14ac:dyDescent="0.25">
      <c r="A1634" s="11" t="str">
        <f t="shared" si="25"/>
        <v/>
      </c>
      <c r="B1634" s="17" t="s">
        <v>1859</v>
      </c>
      <c r="C1634" s="17" t="s">
        <v>313</v>
      </c>
      <c r="D1634" s="17">
        <v>5661.88</v>
      </c>
      <c r="E1634" s="17">
        <v>6</v>
      </c>
      <c r="F1634" s="7" t="str">
        <f>IF(A1634=IFERROR(VLOOKUP(A1634,CATALOGO!$B$2:$B$600,1,FALSE),"Falta"),"", "Falta")</f>
        <v>Falta</v>
      </c>
    </row>
    <row r="1635" spans="1:6" x14ac:dyDescent="0.25">
      <c r="A1635" s="11" t="str">
        <f t="shared" si="25"/>
        <v/>
      </c>
      <c r="B1635" s="17" t="s">
        <v>1859</v>
      </c>
      <c r="C1635" s="17" t="s">
        <v>411</v>
      </c>
      <c r="D1635" s="17">
        <v>3520.48</v>
      </c>
      <c r="E1635" s="17">
        <v>0</v>
      </c>
      <c r="F1635" s="7" t="str">
        <f>IF(A1635=IFERROR(VLOOKUP(A1635,CATALOGO!$B$2:$B$600,1,FALSE),"Falta"),"", "Falta")</f>
        <v>Falta</v>
      </c>
    </row>
    <row r="1636" spans="1:6" x14ac:dyDescent="0.25">
      <c r="A1636" s="11" t="str">
        <f t="shared" si="25"/>
        <v/>
      </c>
      <c r="B1636" s="17" t="s">
        <v>1859</v>
      </c>
      <c r="C1636" s="17" t="s">
        <v>1859</v>
      </c>
      <c r="D1636" s="17">
        <v>0</v>
      </c>
      <c r="E1636" s="17">
        <v>0</v>
      </c>
      <c r="F1636" s="7" t="str">
        <f>IF(A1636=IFERROR(VLOOKUP(A1636,CATALOGO!$B$2:$B$600,1,FALSE),"Falta"),"", "Falta")</f>
        <v>Falta</v>
      </c>
    </row>
    <row r="1637" spans="1:6" x14ac:dyDescent="0.25">
      <c r="A1637" s="11" t="str">
        <f t="shared" si="25"/>
        <v/>
      </c>
      <c r="B1637" s="17" t="s">
        <v>1859</v>
      </c>
      <c r="C1637" s="17" t="s">
        <v>1991</v>
      </c>
      <c r="D1637" s="17">
        <v>0</v>
      </c>
      <c r="E1637" s="17">
        <v>0</v>
      </c>
      <c r="F1637" s="7" t="str">
        <f>IF(A1637=IFERROR(VLOOKUP(A1637,CATALOGO!$B$2:$B$600,1,FALSE),"Falta"),"", "Falta")</f>
        <v>Falta</v>
      </c>
    </row>
    <row r="1638" spans="1:6" x14ac:dyDescent="0.25">
      <c r="A1638" s="11" t="str">
        <f t="shared" si="25"/>
        <v/>
      </c>
      <c r="B1638" s="17" t="s">
        <v>1859</v>
      </c>
      <c r="C1638" s="17" t="s">
        <v>1494</v>
      </c>
      <c r="D1638" s="17">
        <v>33000</v>
      </c>
      <c r="E1638" s="17">
        <v>1</v>
      </c>
      <c r="F1638" s="7" t="str">
        <f>IF(A1638=IFERROR(VLOOKUP(A1638,CATALOGO!$B$2:$B$600,1,FALSE),"Falta"),"", "Falta")</f>
        <v>Falta</v>
      </c>
    </row>
    <row r="1639" spans="1:6" x14ac:dyDescent="0.25">
      <c r="A1639" s="11" t="str">
        <f t="shared" si="25"/>
        <v/>
      </c>
      <c r="B1639" s="17" t="s">
        <v>1859</v>
      </c>
      <c r="C1639" s="17" t="s">
        <v>291</v>
      </c>
      <c r="D1639" s="17">
        <v>33000</v>
      </c>
      <c r="E1639" s="17">
        <v>1</v>
      </c>
      <c r="F1639" s="7" t="str">
        <f>IF(A1639=IFERROR(VLOOKUP(A1639,CATALOGO!$B$2:$B$600,1,FALSE),"Falta"),"", "Falta")</f>
        <v>Falta</v>
      </c>
    </row>
    <row r="1640" spans="1:6" x14ac:dyDescent="0.25">
      <c r="A1640" s="11" t="str">
        <f t="shared" si="25"/>
        <v/>
      </c>
      <c r="B1640" s="17" t="s">
        <v>1859</v>
      </c>
      <c r="C1640" s="17" t="s">
        <v>1859</v>
      </c>
      <c r="D1640" s="17">
        <v>0</v>
      </c>
      <c r="E1640" s="17">
        <v>0</v>
      </c>
      <c r="F1640" s="7" t="str">
        <f>IF(A1640=IFERROR(VLOOKUP(A1640,CATALOGO!$B$2:$B$600,1,FALSE),"Falta"),"", "Falta")</f>
        <v>Falta</v>
      </c>
    </row>
    <row r="1641" spans="1:6" x14ac:dyDescent="0.25">
      <c r="A1641" s="11" t="str">
        <f t="shared" si="25"/>
        <v/>
      </c>
      <c r="B1641" s="17" t="s">
        <v>1859</v>
      </c>
      <c r="C1641" s="17" t="s">
        <v>1992</v>
      </c>
      <c r="D1641" s="17">
        <v>0</v>
      </c>
      <c r="E1641" s="17">
        <v>0</v>
      </c>
      <c r="F1641" s="7" t="str">
        <f>IF(A1641=IFERROR(VLOOKUP(A1641,CATALOGO!$B$2:$B$600,1,FALSE),"Falta"),"", "Falta")</f>
        <v>Falta</v>
      </c>
    </row>
    <row r="1642" spans="1:6" x14ac:dyDescent="0.25">
      <c r="A1642" s="11" t="str">
        <f t="shared" si="25"/>
        <v/>
      </c>
      <c r="B1642" s="17" t="s">
        <v>1859</v>
      </c>
      <c r="C1642" s="17" t="s">
        <v>1859</v>
      </c>
      <c r="D1642" s="17">
        <v>0</v>
      </c>
      <c r="E1642" s="17">
        <v>0</v>
      </c>
      <c r="F1642" s="7" t="str">
        <f>IF(A1642=IFERROR(VLOOKUP(A1642,CATALOGO!$B$2:$B$600,1,FALSE),"Falta"),"", "Falta")</f>
        <v>Falta</v>
      </c>
    </row>
    <row r="1643" spans="1:6" x14ac:dyDescent="0.25">
      <c r="A1643" s="11" t="str">
        <f t="shared" si="25"/>
        <v/>
      </c>
      <c r="B1643" s="17" t="s">
        <v>1859</v>
      </c>
      <c r="C1643" s="17" t="s">
        <v>1993</v>
      </c>
      <c r="D1643" s="17">
        <v>0</v>
      </c>
      <c r="E1643" s="17">
        <v>0</v>
      </c>
      <c r="F1643" s="7" t="str">
        <f>IF(A1643=IFERROR(VLOOKUP(A1643,CATALOGO!$B$2:$B$600,1,FALSE),"Falta"),"", "Falta")</f>
        <v>Falta</v>
      </c>
    </row>
    <row r="1644" spans="1:6" x14ac:dyDescent="0.25">
      <c r="A1644" s="11" t="str">
        <f t="shared" si="25"/>
        <v/>
      </c>
      <c r="B1644" s="17" t="s">
        <v>1859</v>
      </c>
      <c r="C1644" s="17" t="s">
        <v>302</v>
      </c>
      <c r="D1644" s="17">
        <v>3365.9</v>
      </c>
      <c r="E1644" s="17">
        <v>10</v>
      </c>
      <c r="F1644" s="7" t="str">
        <f>IF(A1644=IFERROR(VLOOKUP(A1644,CATALOGO!$B$2:$B$600,1,FALSE),"Falta"),"", "Falta")</f>
        <v>Falta</v>
      </c>
    </row>
    <row r="1645" spans="1:6" x14ac:dyDescent="0.25">
      <c r="A1645" s="11" t="str">
        <f t="shared" si="25"/>
        <v/>
      </c>
      <c r="B1645" s="17" t="s">
        <v>1859</v>
      </c>
      <c r="C1645" s="17" t="s">
        <v>1495</v>
      </c>
      <c r="D1645" s="17">
        <v>3825.1</v>
      </c>
      <c r="E1645" s="17">
        <v>21</v>
      </c>
      <c r="F1645" s="7" t="str">
        <f>IF(A1645=IFERROR(VLOOKUP(A1645,CATALOGO!$B$2:$B$600,1,FALSE),"Falta"),"", "Falta")</f>
        <v>Falta</v>
      </c>
    </row>
    <row r="1646" spans="1:6" x14ac:dyDescent="0.25">
      <c r="A1646" s="11" t="str">
        <f t="shared" si="25"/>
        <v/>
      </c>
      <c r="B1646" s="17" t="s">
        <v>1859</v>
      </c>
      <c r="C1646" s="17" t="s">
        <v>1859</v>
      </c>
      <c r="D1646" s="17">
        <v>0</v>
      </c>
      <c r="E1646" s="17">
        <v>0</v>
      </c>
      <c r="F1646" s="7" t="str">
        <f>IF(A1646=IFERROR(VLOOKUP(A1646,CATALOGO!$B$2:$B$600,1,FALSE),"Falta"),"", "Falta")</f>
        <v>Falta</v>
      </c>
    </row>
    <row r="1647" spans="1:6" x14ac:dyDescent="0.25">
      <c r="A1647" s="11" t="str">
        <f t="shared" si="25"/>
        <v/>
      </c>
      <c r="B1647" s="17" t="s">
        <v>1859</v>
      </c>
      <c r="C1647" s="17" t="s">
        <v>1994</v>
      </c>
      <c r="D1647" s="17">
        <v>0</v>
      </c>
      <c r="E1647" s="17">
        <v>0</v>
      </c>
      <c r="F1647" s="7" t="str">
        <f>IF(A1647=IFERROR(VLOOKUP(A1647,CATALOGO!$B$2:$B$600,1,FALSE),"Falta"),"", "Falta")</f>
        <v>Falta</v>
      </c>
    </row>
    <row r="1648" spans="1:6" x14ac:dyDescent="0.25">
      <c r="A1648" s="11" t="str">
        <f t="shared" si="25"/>
        <v/>
      </c>
      <c r="B1648" s="17" t="s">
        <v>1859</v>
      </c>
      <c r="C1648" s="17" t="s">
        <v>1859</v>
      </c>
      <c r="D1648" s="17">
        <v>0</v>
      </c>
      <c r="E1648" s="17">
        <v>0</v>
      </c>
      <c r="F1648" s="7" t="str">
        <f>IF(A1648=IFERROR(VLOOKUP(A1648,CATALOGO!$B$2:$B$600,1,FALSE),"Falta"),"", "Falta")</f>
        <v>Falta</v>
      </c>
    </row>
    <row r="1649" spans="1:6" x14ac:dyDescent="0.25">
      <c r="A1649" s="11" t="str">
        <f t="shared" si="25"/>
        <v/>
      </c>
      <c r="B1649" s="17" t="s">
        <v>1859</v>
      </c>
      <c r="C1649" s="17" t="s">
        <v>1995</v>
      </c>
      <c r="D1649" s="17">
        <v>0</v>
      </c>
      <c r="E1649" s="17">
        <v>0</v>
      </c>
      <c r="F1649" s="7" t="str">
        <f>IF(A1649=IFERROR(VLOOKUP(A1649,CATALOGO!$B$2:$B$600,1,FALSE),"Falta"),"", "Falta")</f>
        <v>Falta</v>
      </c>
    </row>
    <row r="1650" spans="1:6" x14ac:dyDescent="0.25">
      <c r="A1650" s="11" t="str">
        <f t="shared" si="25"/>
        <v/>
      </c>
      <c r="B1650" s="17" t="s">
        <v>1859</v>
      </c>
      <c r="C1650" s="17" t="s">
        <v>1496</v>
      </c>
      <c r="D1650" s="17">
        <v>3059.77</v>
      </c>
      <c r="E1650" s="17">
        <v>5</v>
      </c>
      <c r="F1650" s="7" t="str">
        <f>IF(A1650=IFERROR(VLOOKUP(A1650,CATALOGO!$B$2:$B$600,1,FALSE),"Falta"),"", "Falta")</f>
        <v>Falta</v>
      </c>
    </row>
    <row r="1651" spans="1:6" x14ac:dyDescent="0.25">
      <c r="A1651" s="11" t="str">
        <f t="shared" si="25"/>
        <v/>
      </c>
      <c r="B1651" s="17" t="s">
        <v>1859</v>
      </c>
      <c r="C1651" s="17" t="s">
        <v>346</v>
      </c>
      <c r="D1651" s="17">
        <v>3059.77</v>
      </c>
      <c r="E1651" s="17">
        <v>1</v>
      </c>
      <c r="F1651" s="7" t="str">
        <f>IF(A1651=IFERROR(VLOOKUP(A1651,CATALOGO!$B$2:$B$600,1,FALSE),"Falta"),"", "Falta")</f>
        <v>Falta</v>
      </c>
    </row>
    <row r="1652" spans="1:6" x14ac:dyDescent="0.25">
      <c r="A1652" s="11" t="str">
        <f t="shared" si="25"/>
        <v/>
      </c>
      <c r="B1652" s="17" t="s">
        <v>1859</v>
      </c>
      <c r="C1652" s="17" t="s">
        <v>345</v>
      </c>
      <c r="D1652" s="17">
        <v>3059.77</v>
      </c>
      <c r="E1652" s="17">
        <v>5</v>
      </c>
      <c r="F1652" s="7" t="str">
        <f>IF(A1652=IFERROR(VLOOKUP(A1652,CATALOGO!$B$2:$B$600,1,FALSE),"Falta"),"", "Falta")</f>
        <v>Falta</v>
      </c>
    </row>
    <row r="1653" spans="1:6" x14ac:dyDescent="0.25">
      <c r="A1653" s="11" t="str">
        <f t="shared" si="25"/>
        <v/>
      </c>
      <c r="B1653" s="17" t="s">
        <v>1859</v>
      </c>
      <c r="C1653" s="17" t="s">
        <v>642</v>
      </c>
      <c r="D1653" s="17">
        <v>3617.9</v>
      </c>
      <c r="E1653" s="17">
        <v>1</v>
      </c>
      <c r="F1653" s="7" t="str">
        <f>IF(A1653=IFERROR(VLOOKUP(A1653,CATALOGO!$B$2:$B$600,1,FALSE),"Falta"),"", "Falta")</f>
        <v>Falta</v>
      </c>
    </row>
    <row r="1654" spans="1:6" x14ac:dyDescent="0.25">
      <c r="A1654" s="11" t="str">
        <f t="shared" si="25"/>
        <v/>
      </c>
      <c r="B1654" s="17" t="s">
        <v>1859</v>
      </c>
      <c r="C1654" s="17" t="s">
        <v>643</v>
      </c>
      <c r="D1654" s="17">
        <v>3859.9</v>
      </c>
      <c r="E1654" s="17">
        <v>0</v>
      </c>
      <c r="F1654" s="7" t="str">
        <f>IF(A1654=IFERROR(VLOOKUP(A1654,CATALOGO!$B$2:$B$600,1,FALSE),"Falta"),"", "Falta")</f>
        <v>Falta</v>
      </c>
    </row>
    <row r="1655" spans="1:6" x14ac:dyDescent="0.25">
      <c r="A1655" s="11" t="str">
        <f t="shared" si="25"/>
        <v/>
      </c>
      <c r="B1655" s="17" t="s">
        <v>1859</v>
      </c>
      <c r="C1655" s="17" t="s">
        <v>1859</v>
      </c>
      <c r="D1655" s="17">
        <v>0</v>
      </c>
      <c r="E1655" s="17">
        <v>0</v>
      </c>
      <c r="F1655" s="7" t="str">
        <f>IF(A1655=IFERROR(VLOOKUP(A1655,CATALOGO!$B$2:$B$600,1,FALSE),"Falta"),"", "Falta")</f>
        <v>Falta</v>
      </c>
    </row>
    <row r="1656" spans="1:6" x14ac:dyDescent="0.25">
      <c r="A1656" s="11" t="str">
        <f t="shared" si="25"/>
        <v/>
      </c>
      <c r="B1656" s="17" t="s">
        <v>1859</v>
      </c>
      <c r="C1656" s="17" t="s">
        <v>1996</v>
      </c>
      <c r="D1656" s="17">
        <v>0</v>
      </c>
      <c r="E1656" s="17">
        <v>0</v>
      </c>
      <c r="F1656" s="7" t="str">
        <f>IF(A1656=IFERROR(VLOOKUP(A1656,CATALOGO!$B$2:$B$600,1,FALSE),"Falta"),"", "Falta")</f>
        <v>Falta</v>
      </c>
    </row>
    <row r="1657" spans="1:6" x14ac:dyDescent="0.25">
      <c r="A1657" s="11" t="str">
        <f t="shared" si="25"/>
        <v/>
      </c>
      <c r="B1657" s="17" t="s">
        <v>1859</v>
      </c>
      <c r="C1657" s="17" t="s">
        <v>1859</v>
      </c>
      <c r="D1657" s="17">
        <v>0</v>
      </c>
      <c r="E1657" s="17">
        <v>0</v>
      </c>
      <c r="F1657" s="7" t="str">
        <f>IF(A1657=IFERROR(VLOOKUP(A1657,CATALOGO!$B$2:$B$600,1,FALSE),"Falta"),"", "Falta")</f>
        <v>Falta</v>
      </c>
    </row>
    <row r="1658" spans="1:6" x14ac:dyDescent="0.25">
      <c r="A1658" s="11" t="str">
        <f t="shared" si="25"/>
        <v/>
      </c>
      <c r="B1658" s="17" t="s">
        <v>1859</v>
      </c>
      <c r="C1658" s="17" t="s">
        <v>1997</v>
      </c>
      <c r="D1658" s="17">
        <v>0</v>
      </c>
      <c r="E1658" s="17">
        <v>0</v>
      </c>
      <c r="F1658" s="7" t="str">
        <f>IF(A1658=IFERROR(VLOOKUP(A1658,CATALOGO!$B$2:$B$600,1,FALSE),"Falta"),"", "Falta")</f>
        <v>Falta</v>
      </c>
    </row>
    <row r="1659" spans="1:6" x14ac:dyDescent="0.25">
      <c r="A1659" s="11" t="str">
        <f t="shared" si="25"/>
        <v/>
      </c>
      <c r="B1659" s="17" t="s">
        <v>1859</v>
      </c>
      <c r="C1659" s="17" t="s">
        <v>1859</v>
      </c>
      <c r="D1659" s="17">
        <v>0</v>
      </c>
      <c r="E1659" s="17">
        <v>0</v>
      </c>
      <c r="F1659" s="7" t="str">
        <f>IF(A1659=IFERROR(VLOOKUP(A1659,CATALOGO!$B$2:$B$600,1,FALSE),"Falta"),"", "Falta")</f>
        <v>Falta</v>
      </c>
    </row>
    <row r="1660" spans="1:6" x14ac:dyDescent="0.25">
      <c r="A1660" s="11" t="str">
        <f t="shared" si="25"/>
        <v/>
      </c>
      <c r="B1660" s="17" t="s">
        <v>1859</v>
      </c>
      <c r="C1660" s="17" t="s">
        <v>1998</v>
      </c>
      <c r="D1660" s="17">
        <v>0</v>
      </c>
      <c r="E1660" s="17">
        <v>0</v>
      </c>
      <c r="F1660" s="7" t="str">
        <f>IF(A1660=IFERROR(VLOOKUP(A1660,CATALOGO!$B$2:$B$600,1,FALSE),"Falta"),"", "Falta")</f>
        <v>Falta</v>
      </c>
    </row>
    <row r="1661" spans="1:6" x14ac:dyDescent="0.25">
      <c r="A1661" s="11" t="str">
        <f t="shared" si="25"/>
        <v/>
      </c>
      <c r="B1661" s="17" t="s">
        <v>1859</v>
      </c>
      <c r="C1661" s="17" t="s">
        <v>330</v>
      </c>
      <c r="D1661" s="17">
        <v>5699.99</v>
      </c>
      <c r="E1661" s="17">
        <v>0</v>
      </c>
      <c r="F1661" s="7" t="str">
        <f>IF(A1661=IFERROR(VLOOKUP(A1661,CATALOGO!$B$2:$B$600,1,FALSE),"Falta"),"", "Falta")</f>
        <v>Falta</v>
      </c>
    </row>
    <row r="1662" spans="1:6" x14ac:dyDescent="0.25">
      <c r="A1662" s="11" t="str">
        <f t="shared" si="25"/>
        <v/>
      </c>
      <c r="B1662" s="17" t="s">
        <v>1859</v>
      </c>
      <c r="C1662" s="17" t="s">
        <v>331</v>
      </c>
      <c r="D1662" s="17">
        <v>5999.99</v>
      </c>
      <c r="E1662" s="17">
        <v>0</v>
      </c>
      <c r="F1662" s="7" t="str">
        <f>IF(A1662=IFERROR(VLOOKUP(A1662,CATALOGO!$B$2:$B$600,1,FALSE),"Falta"),"", "Falta")</f>
        <v>Falta</v>
      </c>
    </row>
    <row r="1663" spans="1:6" x14ac:dyDescent="0.25">
      <c r="A1663" s="11" t="str">
        <f t="shared" si="25"/>
        <v/>
      </c>
      <c r="B1663" s="17" t="s">
        <v>1859</v>
      </c>
      <c r="C1663" s="17" t="s">
        <v>1999</v>
      </c>
      <c r="D1663" s="17">
        <v>0</v>
      </c>
      <c r="E1663" s="17">
        <v>1</v>
      </c>
      <c r="F1663" s="7" t="str">
        <f>IF(A1663=IFERROR(VLOOKUP(A1663,CATALOGO!$B$2:$B$600,1,FALSE),"Falta"),"", "Falta")</f>
        <v>Falta</v>
      </c>
    </row>
    <row r="1664" spans="1:6" x14ac:dyDescent="0.25">
      <c r="A1664" s="11" t="str">
        <f t="shared" si="25"/>
        <v/>
      </c>
      <c r="B1664" s="17" t="s">
        <v>1859</v>
      </c>
      <c r="C1664" s="17" t="s">
        <v>1859</v>
      </c>
      <c r="D1664" s="17">
        <v>0</v>
      </c>
      <c r="E1664" s="17">
        <v>0</v>
      </c>
      <c r="F1664" s="7" t="str">
        <f>IF(A1664=IFERROR(VLOOKUP(A1664,CATALOGO!$B$2:$B$600,1,FALSE),"Falta"),"", "Falta")</f>
        <v>Falta</v>
      </c>
    </row>
    <row r="1665" spans="1:6" x14ac:dyDescent="0.25">
      <c r="A1665" s="11" t="str">
        <f t="shared" si="25"/>
        <v/>
      </c>
      <c r="B1665" s="17" t="s">
        <v>1859</v>
      </c>
      <c r="C1665" s="17" t="s">
        <v>2000</v>
      </c>
      <c r="D1665" s="17">
        <v>0</v>
      </c>
      <c r="E1665" s="17">
        <v>0</v>
      </c>
      <c r="F1665" s="7" t="str">
        <f>IF(A1665=IFERROR(VLOOKUP(A1665,CATALOGO!$B$2:$B$600,1,FALSE),"Falta"),"", "Falta")</f>
        <v>Falta</v>
      </c>
    </row>
    <row r="1666" spans="1:6" x14ac:dyDescent="0.25">
      <c r="A1666" s="11" t="str">
        <f t="shared" si="25"/>
        <v/>
      </c>
      <c r="B1666" s="17" t="s">
        <v>1859</v>
      </c>
      <c r="C1666" s="17" t="s">
        <v>1859</v>
      </c>
      <c r="D1666" s="17">
        <v>0</v>
      </c>
      <c r="E1666" s="17">
        <v>0</v>
      </c>
      <c r="F1666" s="7" t="str">
        <f>IF(A1666=IFERROR(VLOOKUP(A1666,CATALOGO!$B$2:$B$600,1,FALSE),"Falta"),"", "Falta")</f>
        <v>Falta</v>
      </c>
    </row>
    <row r="1667" spans="1:6" x14ac:dyDescent="0.25">
      <c r="A1667" s="11" t="str">
        <f t="shared" si="25"/>
        <v/>
      </c>
      <c r="B1667" s="17" t="s">
        <v>1859</v>
      </c>
      <c r="C1667" s="17" t="s">
        <v>2001</v>
      </c>
      <c r="D1667" s="17">
        <v>0</v>
      </c>
      <c r="E1667" s="17">
        <v>0</v>
      </c>
      <c r="F1667" s="7" t="str">
        <f>IF(A1667=IFERROR(VLOOKUP(A1667,CATALOGO!$B$2:$B$600,1,FALSE),"Falta"),"", "Falta")</f>
        <v>Falta</v>
      </c>
    </row>
    <row r="1668" spans="1:6" x14ac:dyDescent="0.25">
      <c r="A1668" s="11" t="str">
        <f t="shared" si="25"/>
        <v/>
      </c>
      <c r="B1668" s="17" t="s">
        <v>1859</v>
      </c>
      <c r="C1668" s="17" t="s">
        <v>1859</v>
      </c>
      <c r="D1668" s="17">
        <v>0</v>
      </c>
      <c r="E1668" s="17">
        <v>0</v>
      </c>
      <c r="F1668" s="7" t="str">
        <f>IF(A1668=IFERROR(VLOOKUP(A1668,CATALOGO!$B$2:$B$600,1,FALSE),"Falta"),"", "Falta")</f>
        <v>Falta</v>
      </c>
    </row>
    <row r="1669" spans="1:6" x14ac:dyDescent="0.25">
      <c r="A1669" s="11" t="str">
        <f t="shared" si="25"/>
        <v/>
      </c>
      <c r="B1669" s="17" t="s">
        <v>1859</v>
      </c>
      <c r="C1669" s="17" t="s">
        <v>2002</v>
      </c>
      <c r="D1669" s="17">
        <v>0</v>
      </c>
      <c r="E1669" s="17">
        <v>0</v>
      </c>
      <c r="F1669" s="7" t="str">
        <f>IF(A1669=IFERROR(VLOOKUP(A1669,CATALOGO!$B$2:$B$600,1,FALSE),"Falta"),"", "Falta")</f>
        <v>Falta</v>
      </c>
    </row>
    <row r="1670" spans="1:6" x14ac:dyDescent="0.25">
      <c r="A1670" s="11" t="str">
        <f t="shared" ref="A1670:A1733" si="26">IFERROR(B1670*1,"")</f>
        <v/>
      </c>
      <c r="B1670" s="17" t="s">
        <v>1859</v>
      </c>
      <c r="C1670" s="17" t="s">
        <v>645</v>
      </c>
      <c r="D1670" s="17">
        <v>4259.1899999999996</v>
      </c>
      <c r="E1670" s="17">
        <v>9</v>
      </c>
      <c r="F1670" s="7" t="str">
        <f>IF(A1670=IFERROR(VLOOKUP(A1670,CATALOGO!$B$2:$B$600,1,FALSE),"Falta"),"", "Falta")</f>
        <v>Falta</v>
      </c>
    </row>
    <row r="1671" spans="1:6" x14ac:dyDescent="0.25">
      <c r="A1671" s="11" t="str">
        <f t="shared" si="26"/>
        <v/>
      </c>
      <c r="B1671" s="17" t="s">
        <v>1859</v>
      </c>
      <c r="C1671" s="17" t="s">
        <v>1859</v>
      </c>
      <c r="D1671" s="17">
        <v>0</v>
      </c>
      <c r="E1671" s="17">
        <v>0</v>
      </c>
      <c r="F1671" s="7" t="str">
        <f>IF(A1671=IFERROR(VLOOKUP(A1671,CATALOGO!$B$2:$B$600,1,FALSE),"Falta"),"", "Falta")</f>
        <v>Falta</v>
      </c>
    </row>
    <row r="1672" spans="1:6" x14ac:dyDescent="0.25">
      <c r="A1672" s="11" t="str">
        <f t="shared" si="26"/>
        <v/>
      </c>
      <c r="B1672" s="17" t="s">
        <v>1859</v>
      </c>
      <c r="C1672" s="17" t="s">
        <v>2003</v>
      </c>
      <c r="D1672" s="17">
        <v>0</v>
      </c>
      <c r="E1672" s="17">
        <v>0</v>
      </c>
      <c r="F1672" s="7" t="str">
        <f>IF(A1672=IFERROR(VLOOKUP(A1672,CATALOGO!$B$2:$B$600,1,FALSE),"Falta"),"", "Falta")</f>
        <v>Falta</v>
      </c>
    </row>
    <row r="1673" spans="1:6" x14ac:dyDescent="0.25">
      <c r="A1673" s="11" t="str">
        <f t="shared" si="26"/>
        <v/>
      </c>
      <c r="B1673" s="17" t="s">
        <v>1859</v>
      </c>
      <c r="C1673" s="17" t="s">
        <v>332</v>
      </c>
      <c r="D1673" s="17">
        <v>3300</v>
      </c>
      <c r="E1673" s="17">
        <v>248</v>
      </c>
      <c r="F1673" s="7" t="str">
        <f>IF(A1673=IFERROR(VLOOKUP(A1673,CATALOGO!$B$2:$B$600,1,FALSE),"Falta"),"", "Falta")</f>
        <v>Falta</v>
      </c>
    </row>
    <row r="1674" spans="1:6" x14ac:dyDescent="0.25">
      <c r="A1674" s="11" t="str">
        <f t="shared" si="26"/>
        <v/>
      </c>
      <c r="B1674" s="17" t="s">
        <v>1859</v>
      </c>
      <c r="C1674" s="17" t="s">
        <v>334</v>
      </c>
      <c r="D1674" s="17">
        <v>3300</v>
      </c>
      <c r="E1674" s="17">
        <v>211</v>
      </c>
      <c r="F1674" s="7" t="str">
        <f>IF(A1674=IFERROR(VLOOKUP(A1674,CATALOGO!$B$2:$B$600,1,FALSE),"Falta"),"", "Falta")</f>
        <v>Falta</v>
      </c>
    </row>
    <row r="1675" spans="1:6" x14ac:dyDescent="0.25">
      <c r="A1675" s="11" t="str">
        <f t="shared" si="26"/>
        <v/>
      </c>
      <c r="B1675" s="17" t="s">
        <v>1859</v>
      </c>
      <c r="C1675" s="17" t="s">
        <v>2004</v>
      </c>
      <c r="D1675" s="17">
        <v>0</v>
      </c>
      <c r="E1675" s="17">
        <v>0</v>
      </c>
      <c r="F1675" s="7" t="str">
        <f>IF(A1675=IFERROR(VLOOKUP(A1675,CATALOGO!$B$2:$B$600,1,FALSE),"Falta"),"", "Falta")</f>
        <v>Falta</v>
      </c>
    </row>
    <row r="1676" spans="1:6" x14ac:dyDescent="0.25">
      <c r="A1676" s="11" t="str">
        <f t="shared" si="26"/>
        <v/>
      </c>
      <c r="B1676" s="17" t="s">
        <v>1859</v>
      </c>
      <c r="C1676" s="17" t="s">
        <v>1497</v>
      </c>
      <c r="D1676" s="17">
        <v>3599.99</v>
      </c>
      <c r="E1676" s="17">
        <v>0</v>
      </c>
      <c r="F1676" s="7" t="str">
        <f>IF(A1676=IFERROR(VLOOKUP(A1676,CATALOGO!$B$2:$B$600,1,FALSE),"Falta"),"", "Falta")</f>
        <v>Falta</v>
      </c>
    </row>
    <row r="1677" spans="1:6" x14ac:dyDescent="0.25">
      <c r="A1677" s="11" t="str">
        <f t="shared" si="26"/>
        <v/>
      </c>
      <c r="B1677" s="17" t="s">
        <v>1859</v>
      </c>
      <c r="C1677" s="17" t="s">
        <v>319</v>
      </c>
      <c r="D1677" s="17">
        <v>7651.72</v>
      </c>
      <c r="E1677" s="17">
        <v>21</v>
      </c>
      <c r="F1677" s="7" t="str">
        <f>IF(A1677=IFERROR(VLOOKUP(A1677,CATALOGO!$B$2:$B$600,1,FALSE),"Falta"),"", "Falta")</f>
        <v>Falta</v>
      </c>
    </row>
    <row r="1678" spans="1:6" x14ac:dyDescent="0.25">
      <c r="A1678" s="11" t="str">
        <f t="shared" si="26"/>
        <v/>
      </c>
      <c r="B1678" s="17" t="s">
        <v>1859</v>
      </c>
      <c r="C1678" s="17" t="s">
        <v>320</v>
      </c>
      <c r="D1678" s="17">
        <v>8417.0499999999993</v>
      </c>
      <c r="E1678" s="17">
        <v>17</v>
      </c>
      <c r="F1678" s="7" t="str">
        <f>IF(A1678=IFERROR(VLOOKUP(A1678,CATALOGO!$B$2:$B$600,1,FALSE),"Falta"),"", "Falta")</f>
        <v>Falta</v>
      </c>
    </row>
    <row r="1679" spans="1:6" x14ac:dyDescent="0.25">
      <c r="A1679" s="11" t="str">
        <f t="shared" si="26"/>
        <v/>
      </c>
      <c r="B1679" s="17" t="s">
        <v>1859</v>
      </c>
      <c r="C1679" s="17" t="s">
        <v>349</v>
      </c>
      <c r="D1679" s="17">
        <v>10450</v>
      </c>
      <c r="E1679" s="17">
        <v>132</v>
      </c>
      <c r="F1679" s="7" t="str">
        <f>IF(A1679=IFERROR(VLOOKUP(A1679,CATALOGO!$B$2:$B$600,1,FALSE),"Falta"),"", "Falta")</f>
        <v>Falta</v>
      </c>
    </row>
    <row r="1680" spans="1:6" x14ac:dyDescent="0.25">
      <c r="A1680" s="11" t="str">
        <f t="shared" si="26"/>
        <v/>
      </c>
      <c r="B1680" s="17" t="s">
        <v>1859</v>
      </c>
      <c r="C1680" s="17" t="s">
        <v>350</v>
      </c>
      <c r="D1680" s="17">
        <v>12631.19</v>
      </c>
      <c r="E1680" s="17">
        <v>6</v>
      </c>
      <c r="F1680" s="7" t="str">
        <f>IF(A1680=IFERROR(VLOOKUP(A1680,CATALOGO!$B$2:$B$600,1,FALSE),"Falta"),"", "Falta")</f>
        <v>Falta</v>
      </c>
    </row>
    <row r="1681" spans="1:6" x14ac:dyDescent="0.25">
      <c r="A1681" s="11" t="str">
        <f t="shared" si="26"/>
        <v/>
      </c>
      <c r="B1681" s="17" t="s">
        <v>1859</v>
      </c>
      <c r="C1681" s="17" t="s">
        <v>315</v>
      </c>
      <c r="D1681" s="17">
        <v>7651.72</v>
      </c>
      <c r="E1681" s="17">
        <v>42</v>
      </c>
      <c r="F1681" s="7" t="str">
        <f>IF(A1681=IFERROR(VLOOKUP(A1681,CATALOGO!$B$2:$B$600,1,FALSE),"Falta"),"", "Falta")</f>
        <v>Falta</v>
      </c>
    </row>
    <row r="1682" spans="1:6" x14ac:dyDescent="0.25">
      <c r="A1682" s="11" t="str">
        <f t="shared" si="26"/>
        <v/>
      </c>
      <c r="B1682" s="17" t="s">
        <v>1859</v>
      </c>
      <c r="C1682" s="17" t="s">
        <v>316</v>
      </c>
      <c r="D1682" s="17">
        <v>8417.0499999999993</v>
      </c>
      <c r="E1682" s="17">
        <v>40</v>
      </c>
      <c r="F1682" s="7" t="str">
        <f>IF(A1682=IFERROR(VLOOKUP(A1682,CATALOGO!$B$2:$B$600,1,FALSE),"Falta"),"", "Falta")</f>
        <v>Falta</v>
      </c>
    </row>
    <row r="1683" spans="1:6" x14ac:dyDescent="0.25">
      <c r="A1683" s="11" t="str">
        <f t="shared" si="26"/>
        <v/>
      </c>
      <c r="B1683" s="17" t="s">
        <v>1859</v>
      </c>
      <c r="C1683" s="17" t="s">
        <v>347</v>
      </c>
      <c r="D1683" s="17">
        <v>10450</v>
      </c>
      <c r="E1683" s="17">
        <v>281</v>
      </c>
      <c r="F1683" s="7" t="str">
        <f>IF(A1683=IFERROR(VLOOKUP(A1683,CATALOGO!$B$2:$B$600,1,FALSE),"Falta"),"", "Falta")</f>
        <v>Falta</v>
      </c>
    </row>
    <row r="1684" spans="1:6" x14ac:dyDescent="0.25">
      <c r="A1684" s="11" t="str">
        <f t="shared" si="26"/>
        <v/>
      </c>
      <c r="B1684" s="17" t="s">
        <v>1859</v>
      </c>
      <c r="C1684" s="17" t="s">
        <v>348</v>
      </c>
      <c r="D1684" s="17">
        <v>12631.19</v>
      </c>
      <c r="E1684" s="17">
        <v>22</v>
      </c>
      <c r="F1684" s="7" t="str">
        <f>IF(A1684=IFERROR(VLOOKUP(A1684,CATALOGO!$B$2:$B$600,1,FALSE),"Falta"),"", "Falta")</f>
        <v>Falta</v>
      </c>
    </row>
    <row r="1685" spans="1:6" x14ac:dyDescent="0.25">
      <c r="A1685" s="11" t="str">
        <f t="shared" si="26"/>
        <v/>
      </c>
      <c r="B1685" s="17" t="s">
        <v>1859</v>
      </c>
      <c r="C1685" s="17" t="s">
        <v>317</v>
      </c>
      <c r="D1685" s="17">
        <v>7651.72</v>
      </c>
      <c r="E1685" s="17">
        <v>0</v>
      </c>
      <c r="F1685" s="7" t="str">
        <f>IF(A1685=IFERROR(VLOOKUP(A1685,CATALOGO!$B$2:$B$600,1,FALSE),"Falta"),"", "Falta")</f>
        <v>Falta</v>
      </c>
    </row>
    <row r="1686" spans="1:6" x14ac:dyDescent="0.25">
      <c r="A1686" s="11" t="str">
        <f t="shared" si="26"/>
        <v/>
      </c>
      <c r="B1686" s="17" t="s">
        <v>1859</v>
      </c>
      <c r="C1686" s="17" t="s">
        <v>318</v>
      </c>
      <c r="D1686" s="17">
        <v>8417.0499999999993</v>
      </c>
      <c r="E1686" s="17">
        <v>9</v>
      </c>
      <c r="F1686" s="7" t="str">
        <f>IF(A1686=IFERROR(VLOOKUP(A1686,CATALOGO!$B$2:$B$600,1,FALSE),"Falta"),"", "Falta")</f>
        <v>Falta</v>
      </c>
    </row>
    <row r="1687" spans="1:6" x14ac:dyDescent="0.25">
      <c r="A1687" s="11" t="str">
        <f t="shared" si="26"/>
        <v/>
      </c>
      <c r="B1687" s="17" t="s">
        <v>1859</v>
      </c>
      <c r="C1687" s="17" t="s">
        <v>634</v>
      </c>
      <c r="D1687" s="17">
        <v>4525.3900000000003</v>
      </c>
      <c r="E1687" s="17">
        <v>1</v>
      </c>
      <c r="F1687" s="7" t="str">
        <f>IF(A1687=IFERROR(VLOOKUP(A1687,CATALOGO!$B$2:$B$600,1,FALSE),"Falta"),"", "Falta")</f>
        <v>Falta</v>
      </c>
    </row>
    <row r="1688" spans="1:6" x14ac:dyDescent="0.25">
      <c r="A1688" s="11" t="str">
        <f t="shared" si="26"/>
        <v/>
      </c>
      <c r="B1688" s="17" t="s">
        <v>1859</v>
      </c>
      <c r="C1688" s="17" t="s">
        <v>1498</v>
      </c>
      <c r="D1688" s="17">
        <v>4591.9399999999996</v>
      </c>
      <c r="E1688" s="17">
        <v>1</v>
      </c>
      <c r="F1688" s="7" t="str">
        <f>IF(A1688=IFERROR(VLOOKUP(A1688,CATALOGO!$B$2:$B$600,1,FALSE),"Falta"),"", "Falta")</f>
        <v>Falta</v>
      </c>
    </row>
    <row r="1689" spans="1:6" x14ac:dyDescent="0.25">
      <c r="A1689" s="11" t="str">
        <f t="shared" si="26"/>
        <v/>
      </c>
      <c r="B1689" s="17" t="s">
        <v>1859</v>
      </c>
      <c r="C1689" s="17" t="s">
        <v>1859</v>
      </c>
      <c r="D1689" s="17">
        <v>0</v>
      </c>
      <c r="E1689" s="17">
        <v>0</v>
      </c>
      <c r="F1689" s="7" t="str">
        <f>IF(A1689=IFERROR(VLOOKUP(A1689,CATALOGO!$B$2:$B$600,1,FALSE),"Falta"),"", "Falta")</f>
        <v>Falta</v>
      </c>
    </row>
    <row r="1690" spans="1:6" x14ac:dyDescent="0.25">
      <c r="A1690" s="11" t="str">
        <f t="shared" si="26"/>
        <v/>
      </c>
      <c r="B1690" s="17" t="s">
        <v>1859</v>
      </c>
      <c r="C1690" s="17" t="s">
        <v>2005</v>
      </c>
      <c r="D1690" s="17">
        <v>0</v>
      </c>
      <c r="E1690" s="17">
        <v>0</v>
      </c>
      <c r="F1690" s="7" t="str">
        <f>IF(A1690=IFERROR(VLOOKUP(A1690,CATALOGO!$B$2:$B$600,1,FALSE),"Falta"),"", "Falta")</f>
        <v>Falta</v>
      </c>
    </row>
    <row r="1691" spans="1:6" x14ac:dyDescent="0.25">
      <c r="A1691" s="11" t="str">
        <f t="shared" si="26"/>
        <v/>
      </c>
      <c r="B1691" s="17" t="s">
        <v>1859</v>
      </c>
      <c r="C1691" s="17" t="s">
        <v>1859</v>
      </c>
      <c r="D1691" s="17">
        <v>0</v>
      </c>
      <c r="E1691" s="17">
        <v>0</v>
      </c>
      <c r="F1691" s="7" t="str">
        <f>IF(A1691=IFERROR(VLOOKUP(A1691,CATALOGO!$B$2:$B$600,1,FALSE),"Falta"),"", "Falta")</f>
        <v>Falta</v>
      </c>
    </row>
    <row r="1692" spans="1:6" x14ac:dyDescent="0.25">
      <c r="A1692" s="11" t="str">
        <f t="shared" si="26"/>
        <v/>
      </c>
      <c r="B1692" s="17" t="s">
        <v>1859</v>
      </c>
      <c r="C1692" s="17" t="s">
        <v>2006</v>
      </c>
      <c r="D1692" s="17">
        <v>0</v>
      </c>
      <c r="E1692" s="17">
        <v>0</v>
      </c>
      <c r="F1692" s="7" t="str">
        <f>IF(A1692=IFERROR(VLOOKUP(A1692,CATALOGO!$B$2:$B$600,1,FALSE),"Falta"),"", "Falta")</f>
        <v>Falta</v>
      </c>
    </row>
    <row r="1693" spans="1:6" x14ac:dyDescent="0.25">
      <c r="A1693" s="11" t="str">
        <f t="shared" si="26"/>
        <v/>
      </c>
      <c r="B1693" s="17" t="s">
        <v>1859</v>
      </c>
      <c r="C1693" s="17" t="s">
        <v>656</v>
      </c>
      <c r="D1693" s="17">
        <v>4259.1899999999996</v>
      </c>
      <c r="E1693" s="17">
        <v>28</v>
      </c>
      <c r="F1693" s="7" t="str">
        <f>IF(A1693=IFERROR(VLOOKUP(A1693,CATALOGO!$B$2:$B$600,1,FALSE),"Falta"),"", "Falta")</f>
        <v>Falta</v>
      </c>
    </row>
    <row r="1694" spans="1:6" x14ac:dyDescent="0.25">
      <c r="A1694" s="11" t="str">
        <f t="shared" si="26"/>
        <v/>
      </c>
      <c r="B1694" s="17" t="s">
        <v>1859</v>
      </c>
      <c r="C1694" s="17" t="s">
        <v>657</v>
      </c>
      <c r="D1694" s="17">
        <v>4325.74</v>
      </c>
      <c r="E1694" s="17">
        <v>0</v>
      </c>
      <c r="F1694" s="7" t="str">
        <f>IF(A1694=IFERROR(VLOOKUP(A1694,CATALOGO!$B$2:$B$600,1,FALSE),"Falta"),"", "Falta")</f>
        <v>Falta</v>
      </c>
    </row>
    <row r="1695" spans="1:6" x14ac:dyDescent="0.25">
      <c r="A1695" s="11" t="str">
        <f t="shared" si="26"/>
        <v/>
      </c>
      <c r="B1695" s="17" t="s">
        <v>1859</v>
      </c>
      <c r="C1695" s="17" t="s">
        <v>1859</v>
      </c>
      <c r="D1695" s="17">
        <v>0</v>
      </c>
      <c r="E1695" s="17">
        <v>0</v>
      </c>
      <c r="F1695" s="7" t="str">
        <f>IF(A1695=IFERROR(VLOOKUP(A1695,CATALOGO!$B$2:$B$600,1,FALSE),"Falta"),"", "Falta")</f>
        <v>Falta</v>
      </c>
    </row>
    <row r="1696" spans="1:6" x14ac:dyDescent="0.25">
      <c r="A1696" s="11" t="str">
        <f t="shared" si="26"/>
        <v/>
      </c>
      <c r="B1696" s="17" t="s">
        <v>1859</v>
      </c>
      <c r="C1696" s="17" t="s">
        <v>2007</v>
      </c>
      <c r="D1696" s="17">
        <v>0</v>
      </c>
      <c r="E1696" s="17">
        <v>0</v>
      </c>
      <c r="F1696" s="7" t="str">
        <f>IF(A1696=IFERROR(VLOOKUP(A1696,CATALOGO!$B$2:$B$600,1,FALSE),"Falta"),"", "Falta")</f>
        <v>Falta</v>
      </c>
    </row>
    <row r="1697" spans="1:6" x14ac:dyDescent="0.25">
      <c r="A1697" s="11" t="str">
        <f t="shared" si="26"/>
        <v/>
      </c>
      <c r="B1697" s="17" t="s">
        <v>1859</v>
      </c>
      <c r="C1697" s="17" t="s">
        <v>293</v>
      </c>
      <c r="D1697" s="17">
        <v>33000</v>
      </c>
      <c r="E1697" s="17">
        <v>2</v>
      </c>
      <c r="F1697" s="7" t="str">
        <f>IF(A1697=IFERROR(VLOOKUP(A1697,CATALOGO!$B$2:$B$600,1,FALSE),"Falta"),"", "Falta")</f>
        <v>Falta</v>
      </c>
    </row>
    <row r="1698" spans="1:6" x14ac:dyDescent="0.25">
      <c r="A1698" s="11" t="str">
        <f t="shared" si="26"/>
        <v/>
      </c>
      <c r="B1698" s="17" t="s">
        <v>1859</v>
      </c>
      <c r="C1698" s="17" t="s">
        <v>310</v>
      </c>
      <c r="D1698" s="17">
        <v>9947.7000000000007</v>
      </c>
      <c r="E1698" s="17">
        <v>2</v>
      </c>
      <c r="F1698" s="7" t="str">
        <f>IF(A1698=IFERROR(VLOOKUP(A1698,CATALOGO!$B$2:$B$600,1,FALSE),"Falta"),"", "Falta")</f>
        <v>Falta</v>
      </c>
    </row>
    <row r="1699" spans="1:6" x14ac:dyDescent="0.25">
      <c r="A1699" s="11" t="str">
        <f t="shared" si="26"/>
        <v/>
      </c>
      <c r="B1699" s="17" t="s">
        <v>1859</v>
      </c>
      <c r="C1699" s="17" t="s">
        <v>292</v>
      </c>
      <c r="D1699" s="17">
        <v>33000</v>
      </c>
      <c r="E1699" s="17">
        <v>0</v>
      </c>
      <c r="F1699" s="7" t="str">
        <f>IF(A1699=IFERROR(VLOOKUP(A1699,CATALOGO!$B$2:$B$600,1,FALSE),"Falta"),"", "Falta")</f>
        <v>Falta</v>
      </c>
    </row>
    <row r="1700" spans="1:6" x14ac:dyDescent="0.25">
      <c r="A1700" s="11" t="str">
        <f t="shared" si="26"/>
        <v/>
      </c>
      <c r="B1700" s="17" t="s">
        <v>1859</v>
      </c>
      <c r="C1700" s="17" t="s">
        <v>311</v>
      </c>
      <c r="D1700" s="17">
        <v>10713.02</v>
      </c>
      <c r="E1700" s="17">
        <v>0</v>
      </c>
      <c r="F1700" s="7" t="str">
        <f>IF(A1700=IFERROR(VLOOKUP(A1700,CATALOGO!$B$2:$B$600,1,FALSE),"Falta"),"", "Falta")</f>
        <v>Falta</v>
      </c>
    </row>
    <row r="1701" spans="1:6" x14ac:dyDescent="0.25">
      <c r="A1701" s="11" t="str">
        <f t="shared" si="26"/>
        <v/>
      </c>
      <c r="B1701" s="17" t="s">
        <v>1859</v>
      </c>
      <c r="C1701" s="17" t="s">
        <v>289</v>
      </c>
      <c r="D1701" s="17">
        <v>33000</v>
      </c>
      <c r="E1701" s="17">
        <v>1</v>
      </c>
      <c r="F1701" s="7" t="str">
        <f>IF(A1701=IFERROR(VLOOKUP(A1701,CATALOGO!$B$2:$B$600,1,FALSE),"Falta"),"", "Falta")</f>
        <v>Falta</v>
      </c>
    </row>
    <row r="1702" spans="1:6" x14ac:dyDescent="0.25">
      <c r="A1702" s="11" t="str">
        <f t="shared" si="26"/>
        <v/>
      </c>
      <c r="B1702" s="17" t="s">
        <v>1859</v>
      </c>
      <c r="C1702" s="17" t="s">
        <v>294</v>
      </c>
      <c r="D1702" s="17">
        <v>33000</v>
      </c>
      <c r="E1702" s="17">
        <v>1</v>
      </c>
      <c r="F1702" s="7" t="str">
        <f>IF(A1702=IFERROR(VLOOKUP(A1702,CATALOGO!$B$2:$B$600,1,FALSE),"Falta"),"", "Falta")</f>
        <v>Falta</v>
      </c>
    </row>
    <row r="1703" spans="1:6" x14ac:dyDescent="0.25">
      <c r="A1703" s="11" t="str">
        <f t="shared" si="26"/>
        <v/>
      </c>
      <c r="B1703" s="17" t="s">
        <v>1859</v>
      </c>
      <c r="C1703" s="17" t="s">
        <v>625</v>
      </c>
      <c r="D1703" s="17">
        <v>3629.99</v>
      </c>
      <c r="E1703" s="17">
        <v>25</v>
      </c>
      <c r="F1703" s="7" t="str">
        <f>IF(A1703=IFERROR(VLOOKUP(A1703,CATALOGO!$B$2:$B$600,1,FALSE),"Falta"),"", "Falta")</f>
        <v>Falta</v>
      </c>
    </row>
    <row r="1704" spans="1:6" x14ac:dyDescent="0.25">
      <c r="A1704" s="11" t="str">
        <f t="shared" si="26"/>
        <v/>
      </c>
      <c r="B1704" s="17" t="s">
        <v>1859</v>
      </c>
      <c r="C1704" s="17" t="s">
        <v>1859</v>
      </c>
      <c r="D1704" s="17">
        <v>0</v>
      </c>
      <c r="E1704" s="17">
        <v>0</v>
      </c>
      <c r="F1704" s="7" t="str">
        <f>IF(A1704=IFERROR(VLOOKUP(A1704,CATALOGO!$B$2:$B$600,1,FALSE),"Falta"),"", "Falta")</f>
        <v>Falta</v>
      </c>
    </row>
    <row r="1705" spans="1:6" x14ac:dyDescent="0.25">
      <c r="A1705" s="11" t="str">
        <f t="shared" si="26"/>
        <v/>
      </c>
      <c r="B1705" s="17" t="s">
        <v>1859</v>
      </c>
      <c r="C1705" s="17" t="s">
        <v>2008</v>
      </c>
      <c r="D1705" s="17">
        <v>0</v>
      </c>
      <c r="E1705" s="17">
        <v>0</v>
      </c>
      <c r="F1705" s="7" t="str">
        <f>IF(A1705=IFERROR(VLOOKUP(A1705,CATALOGO!$B$2:$B$600,1,FALSE),"Falta"),"", "Falta")</f>
        <v>Falta</v>
      </c>
    </row>
    <row r="1706" spans="1:6" x14ac:dyDescent="0.25">
      <c r="A1706" s="11" t="str">
        <f t="shared" si="26"/>
        <v/>
      </c>
      <c r="B1706" s="17" t="s">
        <v>1859</v>
      </c>
      <c r="C1706" s="17" t="s">
        <v>624</v>
      </c>
      <c r="D1706" s="17">
        <v>4259.1899999999996</v>
      </c>
      <c r="E1706" s="17">
        <v>3</v>
      </c>
      <c r="F1706" s="7" t="str">
        <f>IF(A1706=IFERROR(VLOOKUP(A1706,CATALOGO!$B$2:$B$600,1,FALSE),"Falta"),"", "Falta")</f>
        <v>Falta</v>
      </c>
    </row>
    <row r="1707" spans="1:6" x14ac:dyDescent="0.25">
      <c r="A1707" s="11" t="str">
        <f t="shared" si="26"/>
        <v/>
      </c>
      <c r="B1707" s="17" t="s">
        <v>1859</v>
      </c>
      <c r="C1707" s="17" t="s">
        <v>1499</v>
      </c>
      <c r="D1707" s="17">
        <v>4325.74</v>
      </c>
      <c r="E1707" s="17">
        <v>1</v>
      </c>
      <c r="F1707" s="7" t="str">
        <f>IF(A1707=IFERROR(VLOOKUP(A1707,CATALOGO!$B$2:$B$600,1,FALSE),"Falta"),"", "Falta")</f>
        <v>Falta</v>
      </c>
    </row>
    <row r="1708" spans="1:6" x14ac:dyDescent="0.25">
      <c r="A1708" s="11" t="str">
        <f t="shared" si="26"/>
        <v/>
      </c>
      <c r="B1708" s="17" t="s">
        <v>1859</v>
      </c>
      <c r="C1708" s="17" t="s">
        <v>1859</v>
      </c>
      <c r="D1708" s="17">
        <v>0</v>
      </c>
      <c r="E1708" s="17">
        <v>0</v>
      </c>
      <c r="F1708" s="7" t="str">
        <f>IF(A1708=IFERROR(VLOOKUP(A1708,CATALOGO!$B$2:$B$600,1,FALSE),"Falta"),"", "Falta")</f>
        <v>Falta</v>
      </c>
    </row>
    <row r="1709" spans="1:6" x14ac:dyDescent="0.25">
      <c r="A1709" s="11" t="str">
        <f t="shared" si="26"/>
        <v/>
      </c>
      <c r="B1709" s="17" t="s">
        <v>1859</v>
      </c>
      <c r="C1709" s="17" t="s">
        <v>2009</v>
      </c>
      <c r="D1709" s="17">
        <v>0</v>
      </c>
      <c r="E1709" s="17">
        <v>0</v>
      </c>
      <c r="F1709" s="7" t="str">
        <f>IF(A1709=IFERROR(VLOOKUP(A1709,CATALOGO!$B$2:$B$600,1,FALSE),"Falta"),"", "Falta")</f>
        <v>Falta</v>
      </c>
    </row>
    <row r="1710" spans="1:6" x14ac:dyDescent="0.25">
      <c r="A1710" s="11" t="str">
        <f t="shared" si="26"/>
        <v/>
      </c>
      <c r="B1710" s="17" t="s">
        <v>1859</v>
      </c>
      <c r="C1710" s="17" t="s">
        <v>1859</v>
      </c>
      <c r="D1710" s="17">
        <v>0</v>
      </c>
      <c r="E1710" s="17">
        <v>0</v>
      </c>
      <c r="F1710" s="7" t="str">
        <f>IF(A1710=IFERROR(VLOOKUP(A1710,CATALOGO!$B$2:$B$600,1,FALSE),"Falta"),"", "Falta")</f>
        <v>Falta</v>
      </c>
    </row>
    <row r="1711" spans="1:6" x14ac:dyDescent="0.25">
      <c r="A1711" s="11" t="str">
        <f t="shared" si="26"/>
        <v/>
      </c>
      <c r="B1711" s="17" t="s">
        <v>1859</v>
      </c>
      <c r="C1711" s="17" t="s">
        <v>2010</v>
      </c>
      <c r="D1711" s="17">
        <v>0</v>
      </c>
      <c r="E1711" s="17">
        <v>0</v>
      </c>
      <c r="F1711" s="7" t="str">
        <f>IF(A1711=IFERROR(VLOOKUP(A1711,CATALOGO!$B$2:$B$600,1,FALSE),"Falta"),"", "Falta")</f>
        <v>Falta</v>
      </c>
    </row>
    <row r="1712" spans="1:6" x14ac:dyDescent="0.25">
      <c r="A1712" s="11" t="str">
        <f t="shared" si="26"/>
        <v/>
      </c>
      <c r="B1712" s="17" t="s">
        <v>1859</v>
      </c>
      <c r="C1712" s="17" t="s">
        <v>1859</v>
      </c>
      <c r="D1712" s="17">
        <v>0</v>
      </c>
      <c r="E1712" s="17">
        <v>0</v>
      </c>
      <c r="F1712" s="7" t="str">
        <f>IF(A1712=IFERROR(VLOOKUP(A1712,CATALOGO!$B$2:$B$600,1,FALSE),"Falta"),"", "Falta")</f>
        <v>Falta</v>
      </c>
    </row>
    <row r="1713" spans="1:6" x14ac:dyDescent="0.25">
      <c r="A1713" s="11" t="str">
        <f t="shared" si="26"/>
        <v/>
      </c>
      <c r="B1713" s="17" t="s">
        <v>1859</v>
      </c>
      <c r="C1713" s="17" t="s">
        <v>2011</v>
      </c>
      <c r="D1713" s="17">
        <v>0</v>
      </c>
      <c r="E1713" s="17">
        <v>0</v>
      </c>
      <c r="F1713" s="7" t="str">
        <f>IF(A1713=IFERROR(VLOOKUP(A1713,CATALOGO!$B$2:$B$600,1,FALSE),"Falta"),"", "Falta")</f>
        <v>Falta</v>
      </c>
    </row>
    <row r="1714" spans="1:6" x14ac:dyDescent="0.25">
      <c r="A1714" s="11" t="str">
        <f t="shared" si="26"/>
        <v/>
      </c>
      <c r="B1714" s="17" t="s">
        <v>1859</v>
      </c>
      <c r="C1714" s="17" t="s">
        <v>1859</v>
      </c>
      <c r="D1714" s="17">
        <v>0</v>
      </c>
      <c r="E1714" s="17">
        <v>0</v>
      </c>
      <c r="F1714" s="7" t="str">
        <f>IF(A1714=IFERROR(VLOOKUP(A1714,CATALOGO!$B$2:$B$600,1,FALSE),"Falta"),"", "Falta")</f>
        <v>Falta</v>
      </c>
    </row>
    <row r="1715" spans="1:6" x14ac:dyDescent="0.25">
      <c r="A1715" s="11" t="str">
        <f t="shared" si="26"/>
        <v/>
      </c>
      <c r="B1715" s="17" t="s">
        <v>1859</v>
      </c>
      <c r="C1715" s="17" t="s">
        <v>2012</v>
      </c>
      <c r="D1715" s="17">
        <v>0</v>
      </c>
      <c r="E1715" s="17">
        <v>0</v>
      </c>
      <c r="F1715" s="7" t="str">
        <f>IF(A1715=IFERROR(VLOOKUP(A1715,CATALOGO!$B$2:$B$600,1,FALSE),"Falta"),"", "Falta")</f>
        <v>Falta</v>
      </c>
    </row>
    <row r="1716" spans="1:6" x14ac:dyDescent="0.25">
      <c r="A1716" s="11" t="str">
        <f t="shared" si="26"/>
        <v/>
      </c>
      <c r="B1716" s="17" t="s">
        <v>1859</v>
      </c>
      <c r="C1716" s="17" t="s">
        <v>1859</v>
      </c>
      <c r="D1716" s="17">
        <v>0</v>
      </c>
      <c r="E1716" s="17">
        <v>0</v>
      </c>
      <c r="F1716" s="7" t="str">
        <f>IF(A1716=IFERROR(VLOOKUP(A1716,CATALOGO!$B$2:$B$600,1,FALSE),"Falta"),"", "Falta")</f>
        <v>Falta</v>
      </c>
    </row>
    <row r="1717" spans="1:6" x14ac:dyDescent="0.25">
      <c r="A1717" s="11" t="str">
        <f t="shared" si="26"/>
        <v/>
      </c>
      <c r="B1717" s="17" t="s">
        <v>1859</v>
      </c>
      <c r="C1717" s="17" t="s">
        <v>2013</v>
      </c>
      <c r="D1717" s="17">
        <v>0</v>
      </c>
      <c r="E1717" s="17">
        <v>0</v>
      </c>
      <c r="F1717" s="7" t="str">
        <f>IF(A1717=IFERROR(VLOOKUP(A1717,CATALOGO!$B$2:$B$600,1,FALSE),"Falta"),"", "Falta")</f>
        <v>Falta</v>
      </c>
    </row>
    <row r="1718" spans="1:6" x14ac:dyDescent="0.25">
      <c r="A1718" s="11" t="str">
        <f t="shared" si="26"/>
        <v/>
      </c>
      <c r="B1718" s="17" t="s">
        <v>1859</v>
      </c>
      <c r="C1718" s="17" t="s">
        <v>2014</v>
      </c>
      <c r="D1718" s="17">
        <v>0</v>
      </c>
      <c r="E1718" s="17">
        <v>0</v>
      </c>
      <c r="F1718" s="7" t="str">
        <f>IF(A1718=IFERROR(VLOOKUP(A1718,CATALOGO!$B$2:$B$600,1,FALSE),"Falta"),"", "Falta")</f>
        <v>Falta</v>
      </c>
    </row>
    <row r="1719" spans="1:6" x14ac:dyDescent="0.25">
      <c r="A1719" s="11" t="str">
        <f t="shared" si="26"/>
        <v/>
      </c>
      <c r="B1719" s="17" t="s">
        <v>1859</v>
      </c>
      <c r="C1719" s="17" t="s">
        <v>295</v>
      </c>
      <c r="D1719" s="17">
        <v>33000</v>
      </c>
      <c r="E1719" s="17">
        <v>2</v>
      </c>
      <c r="F1719" s="7" t="str">
        <f>IF(A1719=IFERROR(VLOOKUP(A1719,CATALOGO!$B$2:$B$600,1,FALSE),"Falta"),"", "Falta")</f>
        <v>Falta</v>
      </c>
    </row>
    <row r="1720" spans="1:6" x14ac:dyDescent="0.25">
      <c r="A1720" s="11" t="str">
        <f t="shared" si="26"/>
        <v/>
      </c>
      <c r="B1720" s="17" t="s">
        <v>1859</v>
      </c>
      <c r="C1720" s="17" t="s">
        <v>1859</v>
      </c>
      <c r="D1720" s="17">
        <v>0</v>
      </c>
      <c r="E1720" s="17">
        <v>0</v>
      </c>
      <c r="F1720" s="7" t="str">
        <f>IF(A1720=IFERROR(VLOOKUP(A1720,CATALOGO!$B$2:$B$600,1,FALSE),"Falta"),"", "Falta")</f>
        <v>Falta</v>
      </c>
    </row>
    <row r="1721" spans="1:6" x14ac:dyDescent="0.25">
      <c r="A1721" s="11" t="str">
        <f t="shared" si="26"/>
        <v/>
      </c>
      <c r="B1721" s="17" t="s">
        <v>1859</v>
      </c>
      <c r="C1721" s="17" t="s">
        <v>2015</v>
      </c>
      <c r="D1721" s="17">
        <v>0</v>
      </c>
      <c r="E1721" s="17">
        <v>0</v>
      </c>
      <c r="F1721" s="7" t="str">
        <f>IF(A1721=IFERROR(VLOOKUP(A1721,CATALOGO!$B$2:$B$600,1,FALSE),"Falta"),"", "Falta")</f>
        <v>Falta</v>
      </c>
    </row>
    <row r="1722" spans="1:6" x14ac:dyDescent="0.25">
      <c r="A1722" s="11" t="str">
        <f t="shared" si="26"/>
        <v/>
      </c>
      <c r="B1722" s="17" t="s">
        <v>1859</v>
      </c>
      <c r="C1722" s="17" t="s">
        <v>1859</v>
      </c>
      <c r="D1722" s="17">
        <v>0</v>
      </c>
      <c r="E1722" s="17">
        <v>0</v>
      </c>
      <c r="F1722" s="7" t="str">
        <f>IF(A1722=IFERROR(VLOOKUP(A1722,CATALOGO!$B$2:$B$600,1,FALSE),"Falta"),"", "Falta")</f>
        <v>Falta</v>
      </c>
    </row>
    <row r="1723" spans="1:6" x14ac:dyDescent="0.25">
      <c r="A1723" s="11" t="str">
        <f t="shared" si="26"/>
        <v/>
      </c>
      <c r="B1723" s="17" t="s">
        <v>1859</v>
      </c>
      <c r="C1723" s="17" t="s">
        <v>2016</v>
      </c>
      <c r="D1723" s="17">
        <v>0</v>
      </c>
      <c r="E1723" s="17">
        <v>0</v>
      </c>
      <c r="F1723" s="7" t="str">
        <f>IF(A1723=IFERROR(VLOOKUP(A1723,CATALOGO!$B$2:$B$600,1,FALSE),"Falta"),"", "Falta")</f>
        <v>Falta</v>
      </c>
    </row>
    <row r="1724" spans="1:6" x14ac:dyDescent="0.25">
      <c r="A1724" s="11" t="str">
        <f t="shared" si="26"/>
        <v/>
      </c>
      <c r="B1724" s="17" t="s">
        <v>1859</v>
      </c>
      <c r="C1724" s="17" t="s">
        <v>362</v>
      </c>
      <c r="D1724" s="17">
        <v>1700</v>
      </c>
      <c r="E1724" s="17">
        <v>0</v>
      </c>
      <c r="F1724" s="7" t="str">
        <f>IF(A1724=IFERROR(VLOOKUP(A1724,CATALOGO!$B$2:$B$600,1,FALSE),"Falta"),"", "Falta")</f>
        <v>Falta</v>
      </c>
    </row>
    <row r="1725" spans="1:6" x14ac:dyDescent="0.25">
      <c r="A1725" s="11" t="str">
        <f t="shared" si="26"/>
        <v/>
      </c>
      <c r="B1725" s="17" t="s">
        <v>1859</v>
      </c>
      <c r="C1725" s="17" t="s">
        <v>1859</v>
      </c>
      <c r="D1725" s="17">
        <v>0</v>
      </c>
      <c r="E1725" s="17">
        <v>0</v>
      </c>
      <c r="F1725" s="7" t="str">
        <f>IF(A1725=IFERROR(VLOOKUP(A1725,CATALOGO!$B$2:$B$600,1,FALSE),"Falta"),"", "Falta")</f>
        <v>Falta</v>
      </c>
    </row>
    <row r="1726" spans="1:6" x14ac:dyDescent="0.25">
      <c r="A1726" s="11" t="str">
        <f t="shared" si="26"/>
        <v/>
      </c>
      <c r="B1726" s="17" t="s">
        <v>1859</v>
      </c>
      <c r="C1726" s="17" t="s">
        <v>2017</v>
      </c>
      <c r="D1726" s="17">
        <v>0</v>
      </c>
      <c r="E1726" s="17">
        <v>0</v>
      </c>
      <c r="F1726" s="7" t="str">
        <f>IF(A1726=IFERROR(VLOOKUP(A1726,CATALOGO!$B$2:$B$600,1,FALSE),"Falta"),"", "Falta")</f>
        <v>Falta</v>
      </c>
    </row>
    <row r="1727" spans="1:6" x14ac:dyDescent="0.25">
      <c r="A1727" s="11" t="str">
        <f t="shared" si="26"/>
        <v/>
      </c>
      <c r="B1727" s="17" t="s">
        <v>1859</v>
      </c>
      <c r="C1727" s="17" t="s">
        <v>1859</v>
      </c>
      <c r="D1727" s="17">
        <v>0</v>
      </c>
      <c r="E1727" s="17">
        <v>0</v>
      </c>
      <c r="F1727" s="7" t="str">
        <f>IF(A1727=IFERROR(VLOOKUP(A1727,CATALOGO!$B$2:$B$600,1,FALSE),"Falta"),"", "Falta")</f>
        <v>Falta</v>
      </c>
    </row>
    <row r="1728" spans="1:6" x14ac:dyDescent="0.25">
      <c r="A1728" s="11" t="str">
        <f t="shared" si="26"/>
        <v/>
      </c>
      <c r="B1728" s="17" t="s">
        <v>1859</v>
      </c>
      <c r="C1728" s="17" t="s">
        <v>2018</v>
      </c>
      <c r="D1728" s="17">
        <v>0</v>
      </c>
      <c r="E1728" s="17">
        <v>0</v>
      </c>
      <c r="F1728" s="7" t="str">
        <f>IF(A1728=IFERROR(VLOOKUP(A1728,CATALOGO!$B$2:$B$600,1,FALSE),"Falta"),"", "Falta")</f>
        <v>Falta</v>
      </c>
    </row>
    <row r="1729" spans="1:6" x14ac:dyDescent="0.25">
      <c r="A1729" s="11" t="str">
        <f t="shared" si="26"/>
        <v/>
      </c>
      <c r="B1729" s="17" t="s">
        <v>1859</v>
      </c>
      <c r="C1729" s="17" t="s">
        <v>1859</v>
      </c>
      <c r="D1729" s="17">
        <v>0</v>
      </c>
      <c r="E1729" s="17">
        <v>0</v>
      </c>
      <c r="F1729" s="7" t="str">
        <f>IF(A1729=IFERROR(VLOOKUP(A1729,CATALOGO!$B$2:$B$600,1,FALSE),"Falta"),"", "Falta")</f>
        <v>Falta</v>
      </c>
    </row>
    <row r="1730" spans="1:6" x14ac:dyDescent="0.25">
      <c r="A1730" s="11" t="str">
        <f t="shared" si="26"/>
        <v/>
      </c>
      <c r="B1730" s="17" t="s">
        <v>1859</v>
      </c>
      <c r="C1730" s="17" t="s">
        <v>2019</v>
      </c>
      <c r="D1730" s="17">
        <v>0</v>
      </c>
      <c r="E1730" s="17">
        <v>0</v>
      </c>
      <c r="F1730" s="7" t="str">
        <f>IF(A1730=IFERROR(VLOOKUP(A1730,CATALOGO!$B$2:$B$600,1,FALSE),"Falta"),"", "Falta")</f>
        <v>Falta</v>
      </c>
    </row>
    <row r="1731" spans="1:6" x14ac:dyDescent="0.25">
      <c r="A1731" s="11" t="str">
        <f t="shared" si="26"/>
        <v/>
      </c>
      <c r="B1731" s="17" t="s">
        <v>1859</v>
      </c>
      <c r="C1731" s="17" t="s">
        <v>309</v>
      </c>
      <c r="D1731" s="17">
        <v>21780</v>
      </c>
      <c r="E1731" s="17">
        <v>15</v>
      </c>
      <c r="F1731" s="7" t="str">
        <f>IF(A1731=IFERROR(VLOOKUP(A1731,CATALOGO!$B$2:$B$600,1,FALSE),"Falta"),"", "Falta")</f>
        <v>Falta</v>
      </c>
    </row>
    <row r="1732" spans="1:6" x14ac:dyDescent="0.25">
      <c r="A1732" s="11" t="str">
        <f t="shared" si="26"/>
        <v/>
      </c>
      <c r="B1732" s="17" t="s">
        <v>1859</v>
      </c>
      <c r="C1732" s="17" t="s">
        <v>1859</v>
      </c>
      <c r="D1732" s="17">
        <v>0</v>
      </c>
      <c r="E1732" s="17">
        <v>0</v>
      </c>
      <c r="F1732" s="7" t="str">
        <f>IF(A1732=IFERROR(VLOOKUP(A1732,CATALOGO!$B$2:$B$600,1,FALSE),"Falta"),"", "Falta")</f>
        <v>Falta</v>
      </c>
    </row>
    <row r="1733" spans="1:6" x14ac:dyDescent="0.25">
      <c r="A1733" s="11" t="str">
        <f t="shared" si="26"/>
        <v/>
      </c>
      <c r="B1733" s="17" t="s">
        <v>1859</v>
      </c>
      <c r="C1733" s="17" t="s">
        <v>2020</v>
      </c>
      <c r="D1733" s="17">
        <v>0</v>
      </c>
      <c r="E1733" s="17">
        <v>0</v>
      </c>
      <c r="F1733" s="7" t="str">
        <f>IF(A1733=IFERROR(VLOOKUP(A1733,CATALOGO!$B$2:$B$600,1,FALSE),"Falta"),"", "Falta")</f>
        <v>Falta</v>
      </c>
    </row>
    <row r="1734" spans="1:6" x14ac:dyDescent="0.25">
      <c r="A1734" s="11" t="str">
        <f t="shared" ref="A1734:A1797" si="27">IFERROR(B1734*1,"")</f>
        <v/>
      </c>
      <c r="B1734" s="17" t="s">
        <v>1859</v>
      </c>
      <c r="C1734" s="17" t="s">
        <v>288</v>
      </c>
      <c r="D1734" s="17">
        <v>33000</v>
      </c>
      <c r="E1734" s="17">
        <v>1</v>
      </c>
      <c r="F1734" s="7" t="str">
        <f>IF(A1734=IFERROR(VLOOKUP(A1734,CATALOGO!$B$2:$B$600,1,FALSE),"Falta"),"", "Falta")</f>
        <v>Falta</v>
      </c>
    </row>
    <row r="1735" spans="1:6" x14ac:dyDescent="0.25">
      <c r="A1735" s="11" t="str">
        <f t="shared" si="27"/>
        <v/>
      </c>
      <c r="B1735" s="17" t="s">
        <v>1859</v>
      </c>
      <c r="C1735" s="17" t="s">
        <v>1859</v>
      </c>
      <c r="D1735" s="17">
        <v>0</v>
      </c>
      <c r="E1735" s="17">
        <v>0</v>
      </c>
      <c r="F1735" s="7" t="str">
        <f>IF(A1735=IFERROR(VLOOKUP(A1735,CATALOGO!$B$2:$B$600,1,FALSE),"Falta"),"", "Falta")</f>
        <v>Falta</v>
      </c>
    </row>
    <row r="1736" spans="1:6" x14ac:dyDescent="0.25">
      <c r="A1736" s="11" t="str">
        <f t="shared" si="27"/>
        <v/>
      </c>
      <c r="B1736" s="17" t="s">
        <v>1859</v>
      </c>
      <c r="C1736" s="17" t="s">
        <v>2021</v>
      </c>
      <c r="D1736" s="17">
        <v>0</v>
      </c>
      <c r="E1736" s="17">
        <v>0</v>
      </c>
      <c r="F1736" s="7" t="str">
        <f>IF(A1736=IFERROR(VLOOKUP(A1736,CATALOGO!$B$2:$B$600,1,FALSE),"Falta"),"", "Falta")</f>
        <v>Falta</v>
      </c>
    </row>
    <row r="1737" spans="1:6" x14ac:dyDescent="0.25">
      <c r="A1737" s="11" t="str">
        <f t="shared" si="27"/>
        <v/>
      </c>
      <c r="B1737" s="17" t="s">
        <v>1859</v>
      </c>
      <c r="C1737" s="17" t="s">
        <v>1859</v>
      </c>
      <c r="D1737" s="17">
        <v>0</v>
      </c>
      <c r="E1737" s="17">
        <v>0</v>
      </c>
      <c r="F1737" s="7" t="str">
        <f>IF(A1737=IFERROR(VLOOKUP(A1737,CATALOGO!$B$2:$B$600,1,FALSE),"Falta"),"", "Falta")</f>
        <v>Falta</v>
      </c>
    </row>
    <row r="1738" spans="1:6" x14ac:dyDescent="0.25">
      <c r="A1738" s="11" t="str">
        <f t="shared" si="27"/>
        <v/>
      </c>
      <c r="B1738" s="17" t="s">
        <v>1859</v>
      </c>
      <c r="C1738" s="17" t="s">
        <v>2022</v>
      </c>
      <c r="D1738" s="17">
        <v>0</v>
      </c>
      <c r="E1738" s="17">
        <v>0</v>
      </c>
      <c r="F1738" s="7" t="str">
        <f>IF(A1738=IFERROR(VLOOKUP(A1738,CATALOGO!$B$2:$B$600,1,FALSE),"Falta"),"", "Falta")</f>
        <v>Falta</v>
      </c>
    </row>
    <row r="1739" spans="1:6" x14ac:dyDescent="0.25">
      <c r="A1739" s="11" t="str">
        <f t="shared" si="27"/>
        <v/>
      </c>
      <c r="B1739" s="17" t="s">
        <v>1859</v>
      </c>
      <c r="C1739" s="17" t="s">
        <v>1859</v>
      </c>
      <c r="D1739" s="17">
        <v>0</v>
      </c>
      <c r="E1739" s="17">
        <v>0</v>
      </c>
      <c r="F1739" s="7" t="str">
        <f>IF(A1739=IFERROR(VLOOKUP(A1739,CATALOGO!$B$2:$B$600,1,FALSE),"Falta"),"", "Falta")</f>
        <v>Falta</v>
      </c>
    </row>
    <row r="1740" spans="1:6" x14ac:dyDescent="0.25">
      <c r="A1740" s="11" t="str">
        <f t="shared" si="27"/>
        <v/>
      </c>
      <c r="B1740" s="17" t="s">
        <v>1859</v>
      </c>
      <c r="C1740" s="17" t="s">
        <v>2023</v>
      </c>
      <c r="D1740" s="17">
        <v>0</v>
      </c>
      <c r="E1740" s="17">
        <v>0</v>
      </c>
      <c r="F1740" s="7" t="str">
        <f>IF(A1740=IFERROR(VLOOKUP(A1740,CATALOGO!$B$2:$B$600,1,FALSE),"Falta"),"", "Falta")</f>
        <v>Falta</v>
      </c>
    </row>
    <row r="1741" spans="1:6" x14ac:dyDescent="0.25">
      <c r="A1741" s="11" t="str">
        <f t="shared" si="27"/>
        <v/>
      </c>
      <c r="B1741" s="17" t="s">
        <v>1859</v>
      </c>
      <c r="C1741" s="17" t="s">
        <v>1859</v>
      </c>
      <c r="D1741" s="17">
        <v>0</v>
      </c>
      <c r="E1741" s="17">
        <v>0</v>
      </c>
      <c r="F1741" s="7" t="str">
        <f>IF(A1741=IFERROR(VLOOKUP(A1741,CATALOGO!$B$2:$B$600,1,FALSE),"Falta"),"", "Falta")</f>
        <v>Falta</v>
      </c>
    </row>
    <row r="1742" spans="1:6" x14ac:dyDescent="0.25">
      <c r="A1742" s="11" t="str">
        <f t="shared" si="27"/>
        <v/>
      </c>
      <c r="B1742" s="17" t="s">
        <v>1859</v>
      </c>
      <c r="C1742" s="17" t="s">
        <v>2024</v>
      </c>
      <c r="D1742" s="17">
        <v>0</v>
      </c>
      <c r="E1742" s="17">
        <v>0</v>
      </c>
      <c r="F1742" s="7" t="str">
        <f>IF(A1742=IFERROR(VLOOKUP(A1742,CATALOGO!$B$2:$B$600,1,FALSE),"Falta"),"", "Falta")</f>
        <v>Falta</v>
      </c>
    </row>
    <row r="1743" spans="1:6" x14ac:dyDescent="0.25">
      <c r="A1743" s="11" t="str">
        <f t="shared" si="27"/>
        <v/>
      </c>
      <c r="B1743" s="17" t="s">
        <v>1859</v>
      </c>
      <c r="C1743" s="17" t="s">
        <v>1859</v>
      </c>
      <c r="D1743" s="17">
        <v>0</v>
      </c>
      <c r="E1743" s="17">
        <v>0</v>
      </c>
      <c r="F1743" s="7" t="str">
        <f>IF(A1743=IFERROR(VLOOKUP(A1743,CATALOGO!$B$2:$B$600,1,FALSE),"Falta"),"", "Falta")</f>
        <v>Falta</v>
      </c>
    </row>
    <row r="1744" spans="1:6" x14ac:dyDescent="0.25">
      <c r="A1744" s="11" t="str">
        <f t="shared" si="27"/>
        <v/>
      </c>
      <c r="B1744" s="17" t="s">
        <v>1859</v>
      </c>
      <c r="C1744" s="17" t="s">
        <v>2025</v>
      </c>
      <c r="D1744" s="17">
        <v>0</v>
      </c>
      <c r="E1744" s="17">
        <v>0</v>
      </c>
      <c r="F1744" s="7" t="str">
        <f>IF(A1744=IFERROR(VLOOKUP(A1744,CATALOGO!$B$2:$B$600,1,FALSE),"Falta"),"", "Falta")</f>
        <v>Falta</v>
      </c>
    </row>
    <row r="1745" spans="1:6" x14ac:dyDescent="0.25">
      <c r="A1745" s="11" t="str">
        <f t="shared" si="27"/>
        <v/>
      </c>
      <c r="B1745" s="17" t="s">
        <v>1859</v>
      </c>
      <c r="C1745" s="17" t="s">
        <v>314</v>
      </c>
      <c r="D1745" s="17">
        <v>22990</v>
      </c>
      <c r="E1745" s="17">
        <v>4</v>
      </c>
      <c r="F1745" s="7" t="str">
        <f>IF(A1745=IFERROR(VLOOKUP(A1745,CATALOGO!$B$2:$B$600,1,FALSE),"Falta"),"", "Falta")</f>
        <v>Falta</v>
      </c>
    </row>
    <row r="1746" spans="1:6" x14ac:dyDescent="0.25">
      <c r="A1746" s="11" t="str">
        <f t="shared" si="27"/>
        <v/>
      </c>
      <c r="B1746" s="17" t="s">
        <v>1859</v>
      </c>
      <c r="C1746" s="17" t="s">
        <v>297</v>
      </c>
      <c r="D1746" s="17">
        <v>33000</v>
      </c>
      <c r="E1746" s="17">
        <v>2</v>
      </c>
      <c r="F1746" s="7" t="str">
        <f>IF(A1746=IFERROR(VLOOKUP(A1746,CATALOGO!$B$2:$B$600,1,FALSE),"Falta"),"", "Falta")</f>
        <v>Falta</v>
      </c>
    </row>
    <row r="1747" spans="1:6" x14ac:dyDescent="0.25">
      <c r="A1747" s="11" t="str">
        <f t="shared" si="27"/>
        <v/>
      </c>
      <c r="B1747" s="17" t="s">
        <v>1859</v>
      </c>
      <c r="C1747" s="17" t="s">
        <v>1859</v>
      </c>
      <c r="D1747" s="17">
        <v>0</v>
      </c>
      <c r="E1747" s="17">
        <v>0</v>
      </c>
      <c r="F1747" s="7" t="str">
        <f>IF(A1747=IFERROR(VLOOKUP(A1747,CATALOGO!$B$2:$B$600,1,FALSE),"Falta"),"", "Falta")</f>
        <v>Falta</v>
      </c>
    </row>
    <row r="1748" spans="1:6" x14ac:dyDescent="0.25">
      <c r="A1748" s="11" t="str">
        <f t="shared" si="27"/>
        <v/>
      </c>
      <c r="B1748" s="17" t="s">
        <v>1859</v>
      </c>
      <c r="C1748" s="17" t="s">
        <v>2026</v>
      </c>
      <c r="D1748" s="17">
        <v>0</v>
      </c>
      <c r="E1748" s="17">
        <v>0</v>
      </c>
      <c r="F1748" s="7" t="str">
        <f>IF(A1748=IFERROR(VLOOKUP(A1748,CATALOGO!$B$2:$B$600,1,FALSE),"Falta"),"", "Falta")</f>
        <v>Falta</v>
      </c>
    </row>
    <row r="1749" spans="1:6" x14ac:dyDescent="0.25">
      <c r="A1749" s="11" t="str">
        <f t="shared" si="27"/>
        <v/>
      </c>
      <c r="B1749" s="17" t="s">
        <v>1859</v>
      </c>
      <c r="C1749" s="17" t="s">
        <v>1859</v>
      </c>
      <c r="D1749" s="17">
        <v>0</v>
      </c>
      <c r="E1749" s="17">
        <v>0</v>
      </c>
      <c r="F1749" s="7" t="str">
        <f>IF(A1749=IFERROR(VLOOKUP(A1749,CATALOGO!$B$2:$B$600,1,FALSE),"Falta"),"", "Falta")</f>
        <v>Falta</v>
      </c>
    </row>
    <row r="1750" spans="1:6" x14ac:dyDescent="0.25">
      <c r="A1750" s="11" t="str">
        <f t="shared" si="27"/>
        <v/>
      </c>
      <c r="B1750" s="17" t="s">
        <v>1859</v>
      </c>
      <c r="C1750" s="17" t="s">
        <v>2027</v>
      </c>
      <c r="D1750" s="17">
        <v>0</v>
      </c>
      <c r="E1750" s="17">
        <v>0</v>
      </c>
      <c r="F1750" s="7" t="str">
        <f>IF(A1750=IFERROR(VLOOKUP(A1750,CATALOGO!$B$2:$B$600,1,FALSE),"Falta"),"", "Falta")</f>
        <v>Falta</v>
      </c>
    </row>
    <row r="1751" spans="1:6" x14ac:dyDescent="0.25">
      <c r="A1751" s="11" t="str">
        <f t="shared" si="27"/>
        <v/>
      </c>
      <c r="B1751" s="17" t="s">
        <v>1859</v>
      </c>
      <c r="C1751" s="17" t="s">
        <v>1859</v>
      </c>
      <c r="D1751" s="17">
        <v>0</v>
      </c>
      <c r="E1751" s="17">
        <v>0</v>
      </c>
      <c r="F1751" s="7" t="str">
        <f>IF(A1751=IFERROR(VLOOKUP(A1751,CATALOGO!$B$2:$B$600,1,FALSE),"Falta"),"", "Falta")</f>
        <v>Falta</v>
      </c>
    </row>
    <row r="1752" spans="1:6" x14ac:dyDescent="0.25">
      <c r="A1752" s="11" t="str">
        <f t="shared" si="27"/>
        <v/>
      </c>
      <c r="B1752" s="17" t="s">
        <v>1859</v>
      </c>
      <c r="C1752" s="17" t="s">
        <v>2028</v>
      </c>
      <c r="D1752" s="17">
        <v>0</v>
      </c>
      <c r="E1752" s="17">
        <v>0</v>
      </c>
      <c r="F1752" s="7" t="str">
        <f>IF(A1752=IFERROR(VLOOKUP(A1752,CATALOGO!$B$2:$B$600,1,FALSE),"Falta"),"", "Falta")</f>
        <v>Falta</v>
      </c>
    </row>
    <row r="1753" spans="1:6" x14ac:dyDescent="0.25">
      <c r="A1753" s="11" t="str">
        <f t="shared" si="27"/>
        <v/>
      </c>
      <c r="B1753" s="17" t="s">
        <v>1859</v>
      </c>
      <c r="C1753" s="17" t="s">
        <v>1859</v>
      </c>
      <c r="D1753" s="17">
        <v>0</v>
      </c>
      <c r="E1753" s="17">
        <v>0</v>
      </c>
      <c r="F1753" s="7" t="str">
        <f>IF(A1753=IFERROR(VLOOKUP(A1753,CATALOGO!$B$2:$B$600,1,FALSE),"Falta"),"", "Falta")</f>
        <v>Falta</v>
      </c>
    </row>
    <row r="1754" spans="1:6" x14ac:dyDescent="0.25">
      <c r="A1754" s="11" t="str">
        <f t="shared" si="27"/>
        <v/>
      </c>
      <c r="B1754" s="17" t="s">
        <v>1859</v>
      </c>
      <c r="C1754" s="17" t="s">
        <v>2029</v>
      </c>
      <c r="D1754" s="17">
        <v>0</v>
      </c>
      <c r="E1754" s="17">
        <v>0</v>
      </c>
      <c r="F1754" s="7" t="str">
        <f>IF(A1754=IFERROR(VLOOKUP(A1754,CATALOGO!$B$2:$B$600,1,FALSE),"Falta"),"", "Falta")</f>
        <v>Falta</v>
      </c>
    </row>
    <row r="1755" spans="1:6" x14ac:dyDescent="0.25">
      <c r="A1755" s="11" t="str">
        <f t="shared" si="27"/>
        <v/>
      </c>
      <c r="B1755" s="17" t="s">
        <v>1859</v>
      </c>
      <c r="C1755" s="17" t="s">
        <v>1859</v>
      </c>
      <c r="D1755" s="17">
        <v>0</v>
      </c>
      <c r="E1755" s="17">
        <v>0</v>
      </c>
      <c r="F1755" s="7" t="str">
        <f>IF(A1755=IFERROR(VLOOKUP(A1755,CATALOGO!$B$2:$B$600,1,FALSE),"Falta"),"", "Falta")</f>
        <v>Falta</v>
      </c>
    </row>
    <row r="1756" spans="1:6" x14ac:dyDescent="0.25">
      <c r="A1756" s="11" t="str">
        <f t="shared" si="27"/>
        <v/>
      </c>
      <c r="B1756" s="17" t="s">
        <v>1859</v>
      </c>
      <c r="C1756" s="17" t="s">
        <v>2030</v>
      </c>
      <c r="D1756" s="17">
        <v>0</v>
      </c>
      <c r="E1756" s="17">
        <v>0</v>
      </c>
      <c r="F1756" s="7" t="str">
        <f>IF(A1756=IFERROR(VLOOKUP(A1756,CATALOGO!$B$2:$B$600,1,FALSE),"Falta"),"", "Falta")</f>
        <v>Falta</v>
      </c>
    </row>
    <row r="1757" spans="1:6" x14ac:dyDescent="0.25">
      <c r="A1757" s="11" t="str">
        <f t="shared" si="27"/>
        <v/>
      </c>
      <c r="B1757" s="17" t="s">
        <v>1859</v>
      </c>
      <c r="C1757" s="17" t="s">
        <v>290</v>
      </c>
      <c r="D1757" s="17">
        <v>33000</v>
      </c>
      <c r="E1757" s="17">
        <v>1</v>
      </c>
      <c r="F1757" s="7" t="str">
        <f>IF(A1757=IFERROR(VLOOKUP(A1757,CATALOGO!$B$2:$B$600,1,FALSE),"Falta"),"", "Falta")</f>
        <v>Falta</v>
      </c>
    </row>
    <row r="1758" spans="1:6" x14ac:dyDescent="0.25">
      <c r="A1758" s="11" t="str">
        <f t="shared" si="27"/>
        <v/>
      </c>
      <c r="B1758" s="17" t="s">
        <v>1859</v>
      </c>
      <c r="C1758" s="17" t="s">
        <v>1859</v>
      </c>
      <c r="D1758" s="17">
        <v>0</v>
      </c>
      <c r="E1758" s="17">
        <v>0</v>
      </c>
      <c r="F1758" s="7" t="str">
        <f>IF(A1758=IFERROR(VLOOKUP(A1758,CATALOGO!$B$2:$B$600,1,FALSE),"Falta"),"", "Falta")</f>
        <v>Falta</v>
      </c>
    </row>
    <row r="1759" spans="1:6" x14ac:dyDescent="0.25">
      <c r="A1759" s="11" t="str">
        <f t="shared" si="27"/>
        <v/>
      </c>
      <c r="B1759" s="17" t="s">
        <v>1859</v>
      </c>
      <c r="C1759" s="17" t="s">
        <v>2031</v>
      </c>
      <c r="D1759" s="17">
        <v>0</v>
      </c>
      <c r="E1759" s="17">
        <v>0</v>
      </c>
      <c r="F1759" s="7" t="str">
        <f>IF(A1759=IFERROR(VLOOKUP(A1759,CATALOGO!$B$2:$B$600,1,FALSE),"Falta"),"", "Falta")</f>
        <v>Falta</v>
      </c>
    </row>
    <row r="1760" spans="1:6" x14ac:dyDescent="0.25">
      <c r="A1760" s="11" t="str">
        <f t="shared" si="27"/>
        <v/>
      </c>
      <c r="B1760" s="17" t="s">
        <v>1859</v>
      </c>
      <c r="C1760" s="17" t="s">
        <v>356</v>
      </c>
      <c r="D1760" s="17">
        <v>10713.02</v>
      </c>
      <c r="E1760" s="17">
        <v>1</v>
      </c>
      <c r="F1760" s="7" t="str">
        <f>IF(A1760=IFERROR(VLOOKUP(A1760,CATALOGO!$B$2:$B$600,1,FALSE),"Falta"),"", "Falta")</f>
        <v>Falta</v>
      </c>
    </row>
    <row r="1761" spans="1:6" x14ac:dyDescent="0.25">
      <c r="A1761" s="11" t="str">
        <f t="shared" si="27"/>
        <v/>
      </c>
      <c r="B1761" s="17" t="s">
        <v>1859</v>
      </c>
      <c r="C1761" s="17" t="s">
        <v>296</v>
      </c>
      <c r="D1761" s="17">
        <v>33000</v>
      </c>
      <c r="E1761" s="17">
        <v>8</v>
      </c>
      <c r="F1761" s="7" t="str">
        <f>IF(A1761=IFERROR(VLOOKUP(A1761,CATALOGO!$B$2:$B$600,1,FALSE),"Falta"),"", "Falta")</f>
        <v>Falta</v>
      </c>
    </row>
    <row r="1762" spans="1:6" x14ac:dyDescent="0.25">
      <c r="A1762" s="11" t="str">
        <f t="shared" si="27"/>
        <v/>
      </c>
      <c r="B1762" s="17" t="s">
        <v>1859</v>
      </c>
      <c r="C1762" s="17" t="s">
        <v>1859</v>
      </c>
      <c r="D1762" s="17">
        <v>0</v>
      </c>
      <c r="E1762" s="17">
        <v>0</v>
      </c>
      <c r="F1762" s="7" t="str">
        <f>IF(A1762=IFERROR(VLOOKUP(A1762,CATALOGO!$B$2:$B$600,1,FALSE),"Falta"),"", "Falta")</f>
        <v>Falta</v>
      </c>
    </row>
    <row r="1763" spans="1:6" x14ac:dyDescent="0.25">
      <c r="A1763" s="11" t="str">
        <f t="shared" si="27"/>
        <v/>
      </c>
      <c r="B1763" s="17" t="s">
        <v>1859</v>
      </c>
      <c r="C1763" s="17" t="s">
        <v>2032</v>
      </c>
      <c r="D1763" s="17">
        <v>0</v>
      </c>
      <c r="E1763" s="17">
        <v>0</v>
      </c>
      <c r="F1763" s="7" t="str">
        <f>IF(A1763=IFERROR(VLOOKUP(A1763,CATALOGO!$B$2:$B$600,1,FALSE),"Falta"),"", "Falta")</f>
        <v>Falta</v>
      </c>
    </row>
    <row r="1764" spans="1:6" x14ac:dyDescent="0.25">
      <c r="A1764" s="11" t="str">
        <f t="shared" si="27"/>
        <v/>
      </c>
      <c r="B1764" s="17" t="s">
        <v>1859</v>
      </c>
      <c r="C1764" s="17" t="s">
        <v>1859</v>
      </c>
      <c r="D1764" s="17">
        <v>0</v>
      </c>
      <c r="E1764" s="17">
        <v>0</v>
      </c>
      <c r="F1764" s="7" t="str">
        <f>IF(A1764=IFERROR(VLOOKUP(A1764,CATALOGO!$B$2:$B$600,1,FALSE),"Falta"),"", "Falta")</f>
        <v>Falta</v>
      </c>
    </row>
    <row r="1765" spans="1:6" x14ac:dyDescent="0.25">
      <c r="A1765" s="11" t="str">
        <f t="shared" si="27"/>
        <v/>
      </c>
      <c r="B1765" s="17" t="s">
        <v>1859</v>
      </c>
      <c r="C1765" s="17" t="s">
        <v>2033</v>
      </c>
      <c r="D1765" s="17">
        <v>0</v>
      </c>
      <c r="E1765" s="17">
        <v>0</v>
      </c>
      <c r="F1765" s="7" t="str">
        <f>IF(A1765=IFERROR(VLOOKUP(A1765,CATALOGO!$B$2:$B$600,1,FALSE),"Falta"),"", "Falta")</f>
        <v>Falta</v>
      </c>
    </row>
    <row r="1766" spans="1:6" x14ac:dyDescent="0.25">
      <c r="A1766" s="11" t="str">
        <f t="shared" si="27"/>
        <v/>
      </c>
      <c r="B1766" s="17" t="s">
        <v>1859</v>
      </c>
      <c r="C1766" s="17" t="s">
        <v>1859</v>
      </c>
      <c r="D1766" s="17">
        <v>0</v>
      </c>
      <c r="E1766" s="17">
        <v>0</v>
      </c>
      <c r="F1766" s="7" t="str">
        <f>IF(A1766=IFERROR(VLOOKUP(A1766,CATALOGO!$B$2:$B$600,1,FALSE),"Falta"),"", "Falta")</f>
        <v>Falta</v>
      </c>
    </row>
    <row r="1767" spans="1:6" x14ac:dyDescent="0.25">
      <c r="A1767" s="11" t="str">
        <f t="shared" si="27"/>
        <v/>
      </c>
      <c r="B1767" s="17" t="s">
        <v>1859</v>
      </c>
      <c r="C1767" s="17" t="s">
        <v>2034</v>
      </c>
      <c r="D1767" s="17">
        <v>0</v>
      </c>
      <c r="E1767" s="17">
        <v>0</v>
      </c>
      <c r="F1767" s="7" t="str">
        <f>IF(A1767=IFERROR(VLOOKUP(A1767,CATALOGO!$B$2:$B$600,1,FALSE),"Falta"),"", "Falta")</f>
        <v>Falta</v>
      </c>
    </row>
    <row r="1768" spans="1:6" x14ac:dyDescent="0.25">
      <c r="A1768" s="11" t="str">
        <f t="shared" si="27"/>
        <v/>
      </c>
      <c r="B1768" s="17" t="s">
        <v>1859</v>
      </c>
      <c r="C1768" s="17" t="s">
        <v>1859</v>
      </c>
      <c r="D1768" s="17">
        <v>0</v>
      </c>
      <c r="E1768" s="17">
        <v>0</v>
      </c>
      <c r="F1768" s="7" t="str">
        <f>IF(A1768=IFERROR(VLOOKUP(A1768,CATALOGO!$B$2:$B$600,1,FALSE),"Falta"),"", "Falta")</f>
        <v>Falta</v>
      </c>
    </row>
    <row r="1769" spans="1:6" x14ac:dyDescent="0.25">
      <c r="A1769" s="11" t="str">
        <f t="shared" si="27"/>
        <v/>
      </c>
      <c r="B1769" s="17" t="s">
        <v>1859</v>
      </c>
      <c r="C1769" s="17" t="s">
        <v>2035</v>
      </c>
      <c r="D1769" s="17">
        <v>0</v>
      </c>
      <c r="E1769" s="17">
        <v>0</v>
      </c>
      <c r="F1769" s="7" t="str">
        <f>IF(A1769=IFERROR(VLOOKUP(A1769,CATALOGO!$B$2:$B$600,1,FALSE),"Falta"),"", "Falta")</f>
        <v>Falta</v>
      </c>
    </row>
    <row r="1770" spans="1:6" x14ac:dyDescent="0.25">
      <c r="A1770" s="11" t="str">
        <f t="shared" si="27"/>
        <v/>
      </c>
      <c r="B1770" s="17" t="s">
        <v>1859</v>
      </c>
      <c r="C1770" s="17" t="s">
        <v>1859</v>
      </c>
      <c r="D1770" s="17">
        <v>0</v>
      </c>
      <c r="E1770" s="17">
        <v>0</v>
      </c>
      <c r="F1770" s="7" t="str">
        <f>IF(A1770=IFERROR(VLOOKUP(A1770,CATALOGO!$B$2:$B$600,1,FALSE),"Falta"),"", "Falta")</f>
        <v>Falta</v>
      </c>
    </row>
    <row r="1771" spans="1:6" x14ac:dyDescent="0.25">
      <c r="A1771" s="11" t="str">
        <f t="shared" si="27"/>
        <v/>
      </c>
      <c r="B1771" s="17" t="s">
        <v>1859</v>
      </c>
      <c r="C1771" s="17" t="s">
        <v>2036</v>
      </c>
      <c r="D1771" s="17">
        <v>0</v>
      </c>
      <c r="E1771" s="17">
        <v>0</v>
      </c>
      <c r="F1771" s="7" t="str">
        <f>IF(A1771=IFERROR(VLOOKUP(A1771,CATALOGO!$B$2:$B$600,1,FALSE),"Falta"),"", "Falta")</f>
        <v>Falta</v>
      </c>
    </row>
    <row r="1772" spans="1:6" x14ac:dyDescent="0.25">
      <c r="A1772" s="11" t="str">
        <f t="shared" si="27"/>
        <v/>
      </c>
      <c r="B1772" s="17" t="s">
        <v>1859</v>
      </c>
      <c r="C1772" s="17" t="s">
        <v>2037</v>
      </c>
      <c r="D1772" s="17">
        <v>0</v>
      </c>
      <c r="E1772" s="17">
        <v>0</v>
      </c>
      <c r="F1772" s="7" t="str">
        <f>IF(A1772=IFERROR(VLOOKUP(A1772,CATALOGO!$B$2:$B$600,1,FALSE),"Falta"),"", "Falta")</f>
        <v>Falta</v>
      </c>
    </row>
    <row r="1773" spans="1:6" x14ac:dyDescent="0.25">
      <c r="A1773" s="11" t="str">
        <f t="shared" si="27"/>
        <v/>
      </c>
      <c r="B1773" s="17" t="s">
        <v>1859</v>
      </c>
      <c r="C1773" s="17" t="s">
        <v>623</v>
      </c>
      <c r="D1773" s="17">
        <v>3617.9</v>
      </c>
      <c r="E1773" s="17">
        <v>7</v>
      </c>
      <c r="F1773" s="7" t="str">
        <f>IF(A1773=IFERROR(VLOOKUP(A1773,CATALOGO!$B$2:$B$600,1,FALSE),"Falta"),"", "Falta")</f>
        <v>Falta</v>
      </c>
    </row>
    <row r="1774" spans="1:6" x14ac:dyDescent="0.25">
      <c r="A1774" s="11" t="str">
        <f t="shared" si="27"/>
        <v/>
      </c>
      <c r="B1774" s="17" t="s">
        <v>1859</v>
      </c>
      <c r="C1774" s="17" t="s">
        <v>1859</v>
      </c>
      <c r="D1774" s="17">
        <v>0</v>
      </c>
      <c r="E1774" s="17">
        <v>0</v>
      </c>
      <c r="F1774" s="7" t="str">
        <f>IF(A1774=IFERROR(VLOOKUP(A1774,CATALOGO!$B$2:$B$600,1,FALSE),"Falta"),"", "Falta")</f>
        <v>Falta</v>
      </c>
    </row>
    <row r="1775" spans="1:6" x14ac:dyDescent="0.25">
      <c r="A1775" s="11" t="str">
        <f t="shared" si="27"/>
        <v/>
      </c>
      <c r="B1775" s="17" t="s">
        <v>1859</v>
      </c>
      <c r="C1775" s="17" t="s">
        <v>2038</v>
      </c>
      <c r="D1775" s="17">
        <v>0</v>
      </c>
      <c r="E1775" s="17">
        <v>0</v>
      </c>
      <c r="F1775" s="7" t="str">
        <f>IF(A1775=IFERROR(VLOOKUP(A1775,CATALOGO!$B$2:$B$600,1,FALSE),"Falta"),"", "Falta")</f>
        <v>Falta</v>
      </c>
    </row>
    <row r="1776" spans="1:6" x14ac:dyDescent="0.25">
      <c r="A1776" s="11" t="str">
        <f t="shared" si="27"/>
        <v/>
      </c>
      <c r="B1776" s="17" t="s">
        <v>1859</v>
      </c>
      <c r="C1776" s="17" t="s">
        <v>631</v>
      </c>
      <c r="D1776" s="17">
        <v>3593.69</v>
      </c>
      <c r="E1776" s="17">
        <v>0</v>
      </c>
      <c r="F1776" s="7" t="str">
        <f>IF(A1776=IFERROR(VLOOKUP(A1776,CATALOGO!$B$2:$B$600,1,FALSE),"Falta"),"", "Falta")</f>
        <v>Falta</v>
      </c>
    </row>
    <row r="1777" spans="1:6" x14ac:dyDescent="0.25">
      <c r="A1777" s="11" t="str">
        <f t="shared" si="27"/>
        <v/>
      </c>
      <c r="B1777" s="17" t="s">
        <v>1859</v>
      </c>
      <c r="C1777" s="17" t="s">
        <v>1500</v>
      </c>
      <c r="D1777" s="17">
        <v>3660.24</v>
      </c>
      <c r="E1777" s="17">
        <v>0</v>
      </c>
      <c r="F1777" s="7" t="str">
        <f>IF(A1777=IFERROR(VLOOKUP(A1777,CATALOGO!$B$2:$B$600,1,FALSE),"Falta"),"", "Falta")</f>
        <v>Falta</v>
      </c>
    </row>
    <row r="1778" spans="1:6" x14ac:dyDescent="0.25">
      <c r="A1778" s="11" t="str">
        <f t="shared" si="27"/>
        <v/>
      </c>
      <c r="B1778" s="17" t="s">
        <v>1859</v>
      </c>
      <c r="C1778" s="17" t="s">
        <v>1859</v>
      </c>
      <c r="D1778" s="17">
        <v>0</v>
      </c>
      <c r="E1778" s="17">
        <v>0</v>
      </c>
      <c r="F1778" s="7" t="str">
        <f>IF(A1778=IFERROR(VLOOKUP(A1778,CATALOGO!$B$2:$B$600,1,FALSE),"Falta"),"", "Falta")</f>
        <v>Falta</v>
      </c>
    </row>
    <row r="1779" spans="1:6" x14ac:dyDescent="0.25">
      <c r="A1779" s="11" t="str">
        <f t="shared" si="27"/>
        <v/>
      </c>
      <c r="B1779" s="17" t="s">
        <v>1859</v>
      </c>
      <c r="C1779" s="17" t="s">
        <v>2039</v>
      </c>
      <c r="D1779" s="17">
        <v>0</v>
      </c>
      <c r="E1779" s="17">
        <v>0</v>
      </c>
      <c r="F1779" s="7" t="str">
        <f>IF(A1779=IFERROR(VLOOKUP(A1779,CATALOGO!$B$2:$B$600,1,FALSE),"Falta"),"", "Falta")</f>
        <v>Falta</v>
      </c>
    </row>
    <row r="1780" spans="1:6" x14ac:dyDescent="0.25">
      <c r="A1780" s="11" t="str">
        <f t="shared" si="27"/>
        <v/>
      </c>
      <c r="B1780" s="17" t="s">
        <v>1859</v>
      </c>
      <c r="C1780" s="17" t="s">
        <v>1859</v>
      </c>
      <c r="D1780" s="17">
        <v>0</v>
      </c>
      <c r="E1780" s="17">
        <v>0</v>
      </c>
      <c r="F1780" s="7" t="str">
        <f>IF(A1780=IFERROR(VLOOKUP(A1780,CATALOGO!$B$2:$B$600,1,FALSE),"Falta"),"", "Falta")</f>
        <v>Falta</v>
      </c>
    </row>
    <row r="1781" spans="1:6" x14ac:dyDescent="0.25">
      <c r="A1781" s="11" t="str">
        <f t="shared" si="27"/>
        <v/>
      </c>
      <c r="B1781" s="17" t="s">
        <v>1859</v>
      </c>
      <c r="C1781" s="17" t="s">
        <v>2040</v>
      </c>
      <c r="D1781" s="17">
        <v>0</v>
      </c>
      <c r="E1781" s="17">
        <v>0</v>
      </c>
      <c r="F1781" s="7" t="str">
        <f>IF(A1781=IFERROR(VLOOKUP(A1781,CATALOGO!$B$2:$B$600,1,FALSE),"Falta"),"", "Falta")</f>
        <v>Falta</v>
      </c>
    </row>
    <row r="1782" spans="1:6" x14ac:dyDescent="0.25">
      <c r="A1782" s="11" t="str">
        <f t="shared" si="27"/>
        <v/>
      </c>
      <c r="B1782" s="17" t="s">
        <v>1859</v>
      </c>
      <c r="C1782" s="17" t="s">
        <v>1859</v>
      </c>
      <c r="D1782" s="17">
        <v>0</v>
      </c>
      <c r="E1782" s="17">
        <v>0</v>
      </c>
      <c r="F1782" s="7" t="str">
        <f>IF(A1782=IFERROR(VLOOKUP(A1782,CATALOGO!$B$2:$B$600,1,FALSE),"Falta"),"", "Falta")</f>
        <v>Falta</v>
      </c>
    </row>
    <row r="1783" spans="1:6" x14ac:dyDescent="0.25">
      <c r="A1783" s="11" t="str">
        <f t="shared" si="27"/>
        <v/>
      </c>
      <c r="B1783" s="17" t="s">
        <v>1859</v>
      </c>
      <c r="C1783" s="17" t="s">
        <v>2041</v>
      </c>
      <c r="D1783" s="17">
        <v>0</v>
      </c>
      <c r="E1783" s="17">
        <v>0</v>
      </c>
      <c r="F1783" s="7" t="str">
        <f>IF(A1783=IFERROR(VLOOKUP(A1783,CATALOGO!$B$2:$B$600,1,FALSE),"Falta"),"", "Falta")</f>
        <v>Falta</v>
      </c>
    </row>
    <row r="1784" spans="1:6" x14ac:dyDescent="0.25">
      <c r="A1784" s="11" t="str">
        <f t="shared" si="27"/>
        <v/>
      </c>
      <c r="B1784" s="17" t="s">
        <v>1859</v>
      </c>
      <c r="C1784" s="17" t="s">
        <v>1859</v>
      </c>
      <c r="D1784" s="17">
        <v>0</v>
      </c>
      <c r="E1784" s="17">
        <v>0</v>
      </c>
      <c r="F1784" s="7" t="str">
        <f>IF(A1784=IFERROR(VLOOKUP(A1784,CATALOGO!$B$2:$B$600,1,FALSE),"Falta"),"", "Falta")</f>
        <v>Falta</v>
      </c>
    </row>
    <row r="1785" spans="1:6" x14ac:dyDescent="0.25">
      <c r="A1785" s="11" t="str">
        <f t="shared" si="27"/>
        <v/>
      </c>
      <c r="B1785" s="17" t="s">
        <v>1859</v>
      </c>
      <c r="C1785" s="17" t="s">
        <v>2042</v>
      </c>
      <c r="D1785" s="17">
        <v>0</v>
      </c>
      <c r="E1785" s="17">
        <v>0</v>
      </c>
      <c r="F1785" s="7" t="str">
        <f>IF(A1785=IFERROR(VLOOKUP(A1785,CATALOGO!$B$2:$B$600,1,FALSE),"Falta"),"", "Falta")</f>
        <v>Falta</v>
      </c>
    </row>
    <row r="1786" spans="1:6" x14ac:dyDescent="0.25">
      <c r="A1786" s="11" t="str">
        <f t="shared" si="27"/>
        <v/>
      </c>
      <c r="B1786" s="17" t="s">
        <v>1859</v>
      </c>
      <c r="C1786" s="17" t="s">
        <v>1859</v>
      </c>
      <c r="D1786" s="17">
        <v>0</v>
      </c>
      <c r="E1786" s="17">
        <v>0</v>
      </c>
      <c r="F1786" s="7" t="str">
        <f>IF(A1786=IFERROR(VLOOKUP(A1786,CATALOGO!$B$2:$B$600,1,FALSE),"Falta"),"", "Falta")</f>
        <v>Falta</v>
      </c>
    </row>
    <row r="1787" spans="1:6" x14ac:dyDescent="0.25">
      <c r="A1787" s="11" t="str">
        <f t="shared" si="27"/>
        <v/>
      </c>
      <c r="B1787" s="17" t="s">
        <v>1859</v>
      </c>
      <c r="C1787" s="17" t="s">
        <v>2043</v>
      </c>
      <c r="D1787" s="17">
        <v>0</v>
      </c>
      <c r="E1787" s="17">
        <v>0</v>
      </c>
      <c r="F1787" s="7" t="str">
        <f>IF(A1787=IFERROR(VLOOKUP(A1787,CATALOGO!$B$2:$B$600,1,FALSE),"Falta"),"", "Falta")</f>
        <v>Falta</v>
      </c>
    </row>
    <row r="1788" spans="1:6" x14ac:dyDescent="0.25">
      <c r="A1788" s="11" t="str">
        <f t="shared" si="27"/>
        <v/>
      </c>
      <c r="B1788" s="17" t="s">
        <v>1859</v>
      </c>
      <c r="C1788" s="17" t="s">
        <v>1859</v>
      </c>
      <c r="D1788" s="17">
        <v>0</v>
      </c>
      <c r="E1788" s="17">
        <v>0</v>
      </c>
      <c r="F1788" s="7" t="str">
        <f>IF(A1788=IFERROR(VLOOKUP(A1788,CATALOGO!$B$2:$B$600,1,FALSE),"Falta"),"", "Falta")</f>
        <v>Falta</v>
      </c>
    </row>
    <row r="1789" spans="1:6" x14ac:dyDescent="0.25">
      <c r="A1789" s="11" t="str">
        <f t="shared" si="27"/>
        <v/>
      </c>
      <c r="B1789" s="17" t="s">
        <v>1859</v>
      </c>
      <c r="C1789" s="17" t="s">
        <v>2044</v>
      </c>
      <c r="D1789" s="17">
        <v>0</v>
      </c>
      <c r="E1789" s="17">
        <v>0</v>
      </c>
      <c r="F1789" s="7" t="str">
        <f>IF(A1789=IFERROR(VLOOKUP(A1789,CATALOGO!$B$2:$B$600,1,FALSE),"Falta"),"", "Falta")</f>
        <v>Falta</v>
      </c>
    </row>
    <row r="1790" spans="1:6" x14ac:dyDescent="0.25">
      <c r="A1790" s="11" t="str">
        <f t="shared" si="27"/>
        <v/>
      </c>
      <c r="B1790" s="17" t="s">
        <v>1859</v>
      </c>
      <c r="C1790" s="17" t="s">
        <v>1859</v>
      </c>
      <c r="D1790" s="17">
        <v>0</v>
      </c>
      <c r="E1790" s="17">
        <v>0</v>
      </c>
      <c r="F1790" s="7" t="str">
        <f>IF(A1790=IFERROR(VLOOKUP(A1790,CATALOGO!$B$2:$B$600,1,FALSE),"Falta"),"", "Falta")</f>
        <v>Falta</v>
      </c>
    </row>
    <row r="1791" spans="1:6" x14ac:dyDescent="0.25">
      <c r="A1791" s="11" t="str">
        <f t="shared" si="27"/>
        <v/>
      </c>
      <c r="B1791" s="17" t="s">
        <v>1859</v>
      </c>
      <c r="C1791" s="17" t="s">
        <v>2045</v>
      </c>
      <c r="D1791" s="17">
        <v>0</v>
      </c>
      <c r="E1791" s="17">
        <v>0</v>
      </c>
      <c r="F1791" s="7" t="str">
        <f>IF(A1791=IFERROR(VLOOKUP(A1791,CATALOGO!$B$2:$B$600,1,FALSE),"Falta"),"", "Falta")</f>
        <v>Falta</v>
      </c>
    </row>
    <row r="1792" spans="1:6" x14ac:dyDescent="0.25">
      <c r="A1792" s="11" t="str">
        <f t="shared" si="27"/>
        <v/>
      </c>
      <c r="B1792" s="17" t="s">
        <v>1859</v>
      </c>
      <c r="C1792" s="17" t="s">
        <v>1859</v>
      </c>
      <c r="D1792" s="17">
        <v>0</v>
      </c>
      <c r="E1792" s="17">
        <v>0</v>
      </c>
      <c r="F1792" s="7" t="str">
        <f>IF(A1792=IFERROR(VLOOKUP(A1792,CATALOGO!$B$2:$B$600,1,FALSE),"Falta"),"", "Falta")</f>
        <v>Falta</v>
      </c>
    </row>
    <row r="1793" spans="1:6" x14ac:dyDescent="0.25">
      <c r="A1793" s="11" t="str">
        <f t="shared" si="27"/>
        <v/>
      </c>
      <c r="B1793" s="17" t="s">
        <v>1859</v>
      </c>
      <c r="C1793" s="17" t="s">
        <v>2046</v>
      </c>
      <c r="D1793" s="17">
        <v>0</v>
      </c>
      <c r="E1793" s="17">
        <v>0</v>
      </c>
      <c r="F1793" s="7" t="str">
        <f>IF(A1793=IFERROR(VLOOKUP(A1793,CATALOGO!$B$2:$B$600,1,FALSE),"Falta"),"", "Falta")</f>
        <v>Falta</v>
      </c>
    </row>
    <row r="1794" spans="1:6" x14ac:dyDescent="0.25">
      <c r="A1794" s="11" t="str">
        <f t="shared" si="27"/>
        <v/>
      </c>
      <c r="B1794" s="17" t="s">
        <v>1859</v>
      </c>
      <c r="C1794" s="17" t="s">
        <v>1859</v>
      </c>
      <c r="D1794" s="17">
        <v>0</v>
      </c>
      <c r="E1794" s="17">
        <v>0</v>
      </c>
      <c r="F1794" s="7" t="str">
        <f>IF(A1794=IFERROR(VLOOKUP(A1794,CATALOGO!$B$2:$B$600,1,FALSE),"Falta"),"", "Falta")</f>
        <v>Falta</v>
      </c>
    </row>
    <row r="1795" spans="1:6" x14ac:dyDescent="0.25">
      <c r="A1795" s="11" t="str">
        <f t="shared" si="27"/>
        <v/>
      </c>
      <c r="B1795" s="17" t="s">
        <v>1859</v>
      </c>
      <c r="C1795" s="17" t="s">
        <v>2047</v>
      </c>
      <c r="D1795" s="17">
        <v>0</v>
      </c>
      <c r="E1795" s="17">
        <v>0</v>
      </c>
      <c r="F1795" s="7" t="str">
        <f>IF(A1795=IFERROR(VLOOKUP(A1795,CATALOGO!$B$2:$B$600,1,FALSE),"Falta"),"", "Falta")</f>
        <v>Falta</v>
      </c>
    </row>
    <row r="1796" spans="1:6" x14ac:dyDescent="0.25">
      <c r="A1796" s="11" t="str">
        <f t="shared" si="27"/>
        <v/>
      </c>
      <c r="B1796" s="17" t="s">
        <v>1859</v>
      </c>
      <c r="C1796" s="17" t="s">
        <v>1859</v>
      </c>
      <c r="D1796" s="17">
        <v>0</v>
      </c>
      <c r="E1796" s="17">
        <v>0</v>
      </c>
      <c r="F1796" s="7" t="str">
        <f>IF(A1796=IFERROR(VLOOKUP(A1796,CATALOGO!$B$2:$B$600,1,FALSE),"Falta"),"", "Falta")</f>
        <v>Falta</v>
      </c>
    </row>
    <row r="1797" spans="1:6" x14ac:dyDescent="0.25">
      <c r="A1797" s="11" t="str">
        <f t="shared" si="27"/>
        <v/>
      </c>
      <c r="B1797" s="17" t="s">
        <v>1859</v>
      </c>
      <c r="C1797" s="17" t="s">
        <v>2048</v>
      </c>
      <c r="D1797" s="17">
        <v>0</v>
      </c>
      <c r="E1797" s="17">
        <v>0</v>
      </c>
      <c r="F1797" s="7" t="str">
        <f>IF(A1797=IFERROR(VLOOKUP(A1797,CATALOGO!$B$2:$B$600,1,FALSE),"Falta"),"", "Falta")</f>
        <v>Falta</v>
      </c>
    </row>
    <row r="1798" spans="1:6" x14ac:dyDescent="0.25">
      <c r="A1798" s="11" t="str">
        <f t="shared" ref="A1798:A1861" si="28">IFERROR(B1798*1,"")</f>
        <v/>
      </c>
      <c r="B1798" s="17" t="s">
        <v>1859</v>
      </c>
      <c r="C1798" s="17" t="s">
        <v>351</v>
      </c>
      <c r="D1798" s="17">
        <v>5830</v>
      </c>
      <c r="E1798" s="17">
        <v>0</v>
      </c>
      <c r="F1798" s="7" t="str">
        <f>IF(A1798=IFERROR(VLOOKUP(A1798,CATALOGO!$B$2:$B$600,1,FALSE),"Falta"),"", "Falta")</f>
        <v>Falta</v>
      </c>
    </row>
    <row r="1799" spans="1:6" x14ac:dyDescent="0.25">
      <c r="A1799" s="11" t="str">
        <f t="shared" si="28"/>
        <v/>
      </c>
      <c r="B1799" s="17" t="s">
        <v>1859</v>
      </c>
      <c r="C1799" s="17" t="s">
        <v>2049</v>
      </c>
      <c r="D1799" s="17">
        <v>5830</v>
      </c>
      <c r="E1799" s="17">
        <v>25</v>
      </c>
      <c r="F1799" s="7" t="str">
        <f>IF(A1799=IFERROR(VLOOKUP(A1799,CATALOGO!$B$2:$B$600,1,FALSE),"Falta"),"", "Falta")</f>
        <v>Falta</v>
      </c>
    </row>
    <row r="1800" spans="1:6" x14ac:dyDescent="0.25">
      <c r="A1800" s="11" t="str">
        <f t="shared" si="28"/>
        <v/>
      </c>
      <c r="B1800" s="17" t="s">
        <v>1859</v>
      </c>
      <c r="C1800" s="17" t="s">
        <v>352</v>
      </c>
      <c r="D1800" s="17">
        <v>5355.75</v>
      </c>
      <c r="E1800" s="17">
        <v>12</v>
      </c>
      <c r="F1800" s="7" t="str">
        <f>IF(A1800=IFERROR(VLOOKUP(A1800,CATALOGO!$B$2:$B$600,1,FALSE),"Falta"),"", "Falta")</f>
        <v>Falta</v>
      </c>
    </row>
    <row r="1801" spans="1:6" x14ac:dyDescent="0.25">
      <c r="A1801" s="11" t="str">
        <f t="shared" si="28"/>
        <v/>
      </c>
      <c r="B1801" s="17" t="s">
        <v>1859</v>
      </c>
      <c r="C1801" s="17" t="s">
        <v>2050</v>
      </c>
      <c r="D1801" s="17">
        <v>0</v>
      </c>
      <c r="E1801" s="17">
        <v>0</v>
      </c>
      <c r="F1801" s="7" t="str">
        <f>IF(A1801=IFERROR(VLOOKUP(A1801,CATALOGO!$B$2:$B$600,1,FALSE),"Falta"),"", "Falta")</f>
        <v>Falta</v>
      </c>
    </row>
    <row r="1802" spans="1:6" x14ac:dyDescent="0.25">
      <c r="A1802" s="11" t="str">
        <f t="shared" si="28"/>
        <v/>
      </c>
      <c r="B1802" s="17" t="s">
        <v>1859</v>
      </c>
      <c r="C1802" s="17" t="s">
        <v>2051</v>
      </c>
      <c r="D1802" s="17">
        <v>6121.07</v>
      </c>
      <c r="E1802" s="17">
        <v>0</v>
      </c>
      <c r="F1802" s="7" t="str">
        <f>IF(A1802=IFERROR(VLOOKUP(A1802,CATALOGO!$B$2:$B$600,1,FALSE),"Falta"),"", "Falta")</f>
        <v>Falta</v>
      </c>
    </row>
    <row r="1803" spans="1:6" x14ac:dyDescent="0.25">
      <c r="A1803" s="11" t="str">
        <f t="shared" si="28"/>
        <v/>
      </c>
      <c r="B1803" s="17" t="s">
        <v>1859</v>
      </c>
      <c r="C1803" s="17" t="s">
        <v>1859</v>
      </c>
      <c r="D1803" s="17">
        <v>0</v>
      </c>
      <c r="E1803" s="17">
        <v>0</v>
      </c>
      <c r="F1803" s="7" t="str">
        <f>IF(A1803=IFERROR(VLOOKUP(A1803,CATALOGO!$B$2:$B$600,1,FALSE),"Falta"),"", "Falta")</f>
        <v>Falta</v>
      </c>
    </row>
    <row r="1804" spans="1:6" x14ac:dyDescent="0.25">
      <c r="A1804" s="11" t="str">
        <f t="shared" si="28"/>
        <v/>
      </c>
      <c r="B1804" s="17" t="s">
        <v>1859</v>
      </c>
      <c r="C1804" s="17" t="s">
        <v>2052</v>
      </c>
      <c r="D1804" s="17">
        <v>0</v>
      </c>
      <c r="E1804" s="17">
        <v>0</v>
      </c>
      <c r="F1804" s="7" t="str">
        <f>IF(A1804=IFERROR(VLOOKUP(A1804,CATALOGO!$B$2:$B$600,1,FALSE),"Falta"),"", "Falta")</f>
        <v>Falta</v>
      </c>
    </row>
    <row r="1805" spans="1:6" x14ac:dyDescent="0.25">
      <c r="A1805" s="11" t="str">
        <f t="shared" si="28"/>
        <v/>
      </c>
      <c r="B1805" s="17" t="s">
        <v>1859</v>
      </c>
      <c r="C1805" s="17" t="s">
        <v>2053</v>
      </c>
      <c r="D1805" s="17">
        <v>0</v>
      </c>
      <c r="E1805" s="17">
        <v>7</v>
      </c>
      <c r="F1805" s="7" t="str">
        <f>IF(A1805=IFERROR(VLOOKUP(A1805,CATALOGO!$B$2:$B$600,1,FALSE),"Falta"),"", "Falta")</f>
        <v>Falta</v>
      </c>
    </row>
    <row r="1806" spans="1:6" x14ac:dyDescent="0.25">
      <c r="A1806" s="11" t="str">
        <f t="shared" si="28"/>
        <v/>
      </c>
      <c r="B1806" s="17" t="s">
        <v>1859</v>
      </c>
      <c r="C1806" s="17" t="s">
        <v>1859</v>
      </c>
      <c r="D1806" s="17">
        <v>0</v>
      </c>
      <c r="E1806" s="17">
        <v>0</v>
      </c>
      <c r="F1806" s="7" t="str">
        <f>IF(A1806=IFERROR(VLOOKUP(A1806,CATALOGO!$B$2:$B$600,1,FALSE),"Falta"),"", "Falta")</f>
        <v>Falta</v>
      </c>
    </row>
    <row r="1807" spans="1:6" x14ac:dyDescent="0.25">
      <c r="A1807" s="11" t="str">
        <f t="shared" si="28"/>
        <v/>
      </c>
      <c r="B1807" s="17" t="s">
        <v>1859</v>
      </c>
      <c r="C1807" s="17" t="s">
        <v>2054</v>
      </c>
      <c r="D1807" s="17">
        <v>0</v>
      </c>
      <c r="E1807" s="17">
        <v>0</v>
      </c>
      <c r="F1807" s="7" t="str">
        <f>IF(A1807=IFERROR(VLOOKUP(A1807,CATALOGO!$B$2:$B$600,1,FALSE),"Falta"),"", "Falta")</f>
        <v>Falta</v>
      </c>
    </row>
    <row r="1808" spans="1:6" x14ac:dyDescent="0.25">
      <c r="A1808" s="11" t="str">
        <f t="shared" si="28"/>
        <v/>
      </c>
      <c r="B1808" s="17" t="s">
        <v>1859</v>
      </c>
      <c r="C1808" s="17" t="s">
        <v>2055</v>
      </c>
      <c r="D1808" s="17">
        <v>5900</v>
      </c>
      <c r="E1808" s="17">
        <v>1</v>
      </c>
      <c r="F1808" s="7" t="str">
        <f>IF(A1808=IFERROR(VLOOKUP(A1808,CATALOGO!$B$2:$B$600,1,FALSE),"Falta"),"", "Falta")</f>
        <v>Falta</v>
      </c>
    </row>
    <row r="1809" spans="1:6" x14ac:dyDescent="0.25">
      <c r="A1809" s="11" t="str">
        <f t="shared" si="28"/>
        <v/>
      </c>
      <c r="B1809" s="17" t="s">
        <v>1859</v>
      </c>
      <c r="C1809" s="17" t="s">
        <v>2056</v>
      </c>
      <c r="D1809" s="17">
        <v>0</v>
      </c>
      <c r="E1809" s="17">
        <v>0</v>
      </c>
      <c r="F1809" s="7" t="str">
        <f>IF(A1809=IFERROR(VLOOKUP(A1809,CATALOGO!$B$2:$B$600,1,FALSE),"Falta"),"", "Falta")</f>
        <v>Falta</v>
      </c>
    </row>
    <row r="1810" spans="1:6" x14ac:dyDescent="0.25">
      <c r="A1810" s="11" t="str">
        <f t="shared" si="28"/>
        <v/>
      </c>
      <c r="B1810" s="17" t="s">
        <v>1859</v>
      </c>
      <c r="C1810" s="17" t="s">
        <v>2057</v>
      </c>
      <c r="D1810" s="17">
        <v>0</v>
      </c>
      <c r="E1810" s="17">
        <v>1</v>
      </c>
      <c r="F1810" s="7" t="str">
        <f>IF(A1810=IFERROR(VLOOKUP(A1810,CATALOGO!$B$2:$B$600,1,FALSE),"Falta"),"", "Falta")</f>
        <v>Falta</v>
      </c>
    </row>
    <row r="1811" spans="1:6" x14ac:dyDescent="0.25">
      <c r="A1811" s="11" t="str">
        <f t="shared" si="28"/>
        <v/>
      </c>
      <c r="B1811" s="17" t="s">
        <v>1859</v>
      </c>
      <c r="C1811" s="17" t="s">
        <v>2058</v>
      </c>
      <c r="D1811" s="17">
        <v>0</v>
      </c>
      <c r="E1811" s="17">
        <v>0</v>
      </c>
      <c r="F1811" s="7" t="str">
        <f>IF(A1811=IFERROR(VLOOKUP(A1811,CATALOGO!$B$2:$B$600,1,FALSE),"Falta"),"", "Falta")</f>
        <v>Falta</v>
      </c>
    </row>
    <row r="1812" spans="1:6" x14ac:dyDescent="0.25">
      <c r="A1812" s="11" t="str">
        <f t="shared" si="28"/>
        <v/>
      </c>
      <c r="B1812" s="17" t="s">
        <v>1859</v>
      </c>
      <c r="C1812" s="17" t="s">
        <v>354</v>
      </c>
      <c r="D1812" s="17">
        <v>1682.19</v>
      </c>
      <c r="E1812" s="17">
        <v>13</v>
      </c>
      <c r="F1812" s="7" t="str">
        <f>IF(A1812=IFERROR(VLOOKUP(A1812,CATALOGO!$B$2:$B$600,1,FALSE),"Falta"),"", "Falta")</f>
        <v>Falta</v>
      </c>
    </row>
    <row r="1813" spans="1:6" x14ac:dyDescent="0.25">
      <c r="A1813" s="11" t="str">
        <f t="shared" si="28"/>
        <v/>
      </c>
      <c r="B1813" s="17" t="s">
        <v>1859</v>
      </c>
      <c r="C1813" s="17" t="s">
        <v>1859</v>
      </c>
      <c r="D1813" s="17">
        <v>0</v>
      </c>
      <c r="E1813" s="17">
        <v>0</v>
      </c>
      <c r="F1813" s="7" t="str">
        <f>IF(A1813=IFERROR(VLOOKUP(A1813,CATALOGO!$B$2:$B$600,1,FALSE),"Falta"),"", "Falta")</f>
        <v>Falta</v>
      </c>
    </row>
    <row r="1814" spans="1:6" x14ac:dyDescent="0.25">
      <c r="A1814" s="11" t="str">
        <f t="shared" si="28"/>
        <v/>
      </c>
      <c r="B1814" s="17" t="s">
        <v>1859</v>
      </c>
      <c r="C1814" s="17" t="s">
        <v>2059</v>
      </c>
      <c r="D1814" s="17">
        <v>0</v>
      </c>
      <c r="E1814" s="17">
        <v>0</v>
      </c>
      <c r="F1814" s="7" t="str">
        <f>IF(A1814=IFERROR(VLOOKUP(A1814,CATALOGO!$B$2:$B$600,1,FALSE),"Falta"),"", "Falta")</f>
        <v>Falta</v>
      </c>
    </row>
    <row r="1815" spans="1:6" x14ac:dyDescent="0.25">
      <c r="A1815" s="11" t="str">
        <f t="shared" si="28"/>
        <v/>
      </c>
      <c r="B1815" s="17" t="s">
        <v>1859</v>
      </c>
      <c r="C1815" s="17" t="s">
        <v>2060</v>
      </c>
      <c r="D1815" s="17">
        <v>0</v>
      </c>
      <c r="E1815" s="17">
        <v>0</v>
      </c>
      <c r="F1815" s="7" t="str">
        <f>IF(A1815=IFERROR(VLOOKUP(A1815,CATALOGO!$B$2:$B$600,1,FALSE),"Falta"),"", "Falta")</f>
        <v>Falta</v>
      </c>
    </row>
    <row r="1816" spans="1:6" x14ac:dyDescent="0.25">
      <c r="A1816" s="11" t="str">
        <f t="shared" si="28"/>
        <v/>
      </c>
      <c r="B1816" s="17" t="s">
        <v>1859</v>
      </c>
      <c r="C1816" s="17" t="s">
        <v>2061</v>
      </c>
      <c r="D1816" s="17">
        <v>0</v>
      </c>
      <c r="E1816" s="17">
        <v>0</v>
      </c>
      <c r="F1816" s="7" t="str">
        <f>IF(A1816=IFERROR(VLOOKUP(A1816,CATALOGO!$B$2:$B$600,1,FALSE),"Falta"),"", "Falta")</f>
        <v>Falta</v>
      </c>
    </row>
    <row r="1817" spans="1:6" x14ac:dyDescent="0.25">
      <c r="A1817" s="11" t="str">
        <f t="shared" si="28"/>
        <v/>
      </c>
      <c r="B1817" s="17" t="s">
        <v>1859</v>
      </c>
      <c r="C1817" s="17" t="s">
        <v>337</v>
      </c>
      <c r="D1817" s="17">
        <v>7139</v>
      </c>
      <c r="E1817" s="17">
        <v>0</v>
      </c>
      <c r="F1817" s="7" t="str">
        <f>IF(A1817=IFERROR(VLOOKUP(A1817,CATALOGO!$B$2:$B$600,1,FALSE),"Falta"),"", "Falta")</f>
        <v>Falta</v>
      </c>
    </row>
    <row r="1818" spans="1:6" x14ac:dyDescent="0.25">
      <c r="A1818" s="11" t="str">
        <f t="shared" si="28"/>
        <v/>
      </c>
      <c r="B1818" s="17" t="s">
        <v>1859</v>
      </c>
      <c r="C1818" s="17" t="s">
        <v>2062</v>
      </c>
      <c r="D1818" s="17">
        <v>0</v>
      </c>
      <c r="E1818" s="17">
        <v>0</v>
      </c>
      <c r="F1818" s="7" t="str">
        <f>IF(A1818=IFERROR(VLOOKUP(A1818,CATALOGO!$B$2:$B$600,1,FALSE),"Falta"),"", "Falta")</f>
        <v>Falta</v>
      </c>
    </row>
    <row r="1819" spans="1:6" x14ac:dyDescent="0.25">
      <c r="A1819" s="11" t="str">
        <f t="shared" si="28"/>
        <v/>
      </c>
      <c r="B1819" s="17" t="s">
        <v>1859</v>
      </c>
      <c r="C1819" s="17" t="s">
        <v>404</v>
      </c>
      <c r="D1819" s="17">
        <v>390</v>
      </c>
      <c r="E1819" s="17">
        <v>19</v>
      </c>
      <c r="F1819" s="7" t="str">
        <f>IF(A1819=IFERROR(VLOOKUP(A1819,CATALOGO!$B$2:$B$600,1,FALSE),"Falta"),"", "Falta")</f>
        <v>Falta</v>
      </c>
    </row>
    <row r="1820" spans="1:6" x14ac:dyDescent="0.25">
      <c r="A1820" s="11" t="str">
        <f t="shared" si="28"/>
        <v/>
      </c>
      <c r="B1820" s="17" t="s">
        <v>1859</v>
      </c>
      <c r="C1820" s="17" t="s">
        <v>1859</v>
      </c>
      <c r="D1820" s="17">
        <v>0</v>
      </c>
      <c r="E1820" s="17">
        <v>0</v>
      </c>
      <c r="F1820" s="7" t="str">
        <f>IF(A1820=IFERROR(VLOOKUP(A1820,CATALOGO!$B$2:$B$600,1,FALSE),"Falta"),"", "Falta")</f>
        <v>Falta</v>
      </c>
    </row>
    <row r="1821" spans="1:6" x14ac:dyDescent="0.25">
      <c r="A1821" s="11" t="str">
        <f t="shared" si="28"/>
        <v/>
      </c>
      <c r="B1821" s="17" t="s">
        <v>1859</v>
      </c>
      <c r="C1821" s="17" t="s">
        <v>2063</v>
      </c>
      <c r="D1821" s="17">
        <v>0</v>
      </c>
      <c r="E1821" s="17">
        <v>0</v>
      </c>
      <c r="F1821" s="7" t="str">
        <f>IF(A1821=IFERROR(VLOOKUP(A1821,CATALOGO!$B$2:$B$600,1,FALSE),"Falta"),"", "Falta")</f>
        <v>Falta</v>
      </c>
    </row>
    <row r="1822" spans="1:6" x14ac:dyDescent="0.25">
      <c r="A1822" s="11" t="str">
        <f t="shared" si="28"/>
        <v/>
      </c>
      <c r="B1822" s="17" t="s">
        <v>1859</v>
      </c>
      <c r="C1822" s="17" t="s">
        <v>1861</v>
      </c>
      <c r="D1822" s="17">
        <v>0</v>
      </c>
      <c r="E1822" s="17">
        <v>0</v>
      </c>
      <c r="F1822" s="7" t="str">
        <f>IF(A1822=IFERROR(VLOOKUP(A1822,CATALOGO!$B$2:$B$600,1,FALSE),"Falta"),"", "Falta")</f>
        <v>Falta</v>
      </c>
    </row>
    <row r="1823" spans="1:6" x14ac:dyDescent="0.25">
      <c r="A1823" s="11" t="str">
        <f t="shared" si="28"/>
        <v/>
      </c>
      <c r="B1823" s="17" t="s">
        <v>1859</v>
      </c>
      <c r="C1823" s="17" t="s">
        <v>660</v>
      </c>
      <c r="D1823" s="17">
        <v>4259.1899999999996</v>
      </c>
      <c r="E1823" s="17">
        <v>42</v>
      </c>
      <c r="F1823" s="7" t="str">
        <f>IF(A1823=IFERROR(VLOOKUP(A1823,CATALOGO!$B$2:$B$600,1,FALSE),"Falta"),"", "Falta")</f>
        <v>Falta</v>
      </c>
    </row>
    <row r="1824" spans="1:6" x14ac:dyDescent="0.25">
      <c r="A1824" s="11" t="str">
        <f t="shared" si="28"/>
        <v/>
      </c>
      <c r="B1824" s="17" t="s">
        <v>1859</v>
      </c>
      <c r="C1824" s="17" t="s">
        <v>1859</v>
      </c>
      <c r="D1824" s="17">
        <v>0</v>
      </c>
      <c r="E1824" s="17">
        <v>0</v>
      </c>
      <c r="F1824" s="7" t="str">
        <f>IF(A1824=IFERROR(VLOOKUP(A1824,CATALOGO!$B$2:$B$600,1,FALSE),"Falta"),"", "Falta")</f>
        <v>Falta</v>
      </c>
    </row>
    <row r="1825" spans="1:6" x14ac:dyDescent="0.25">
      <c r="A1825" s="11" t="str">
        <f t="shared" si="28"/>
        <v/>
      </c>
      <c r="B1825" s="17" t="s">
        <v>1859</v>
      </c>
      <c r="C1825" s="17" t="s">
        <v>2064</v>
      </c>
      <c r="D1825" s="17">
        <v>0</v>
      </c>
      <c r="E1825" s="17">
        <v>0</v>
      </c>
      <c r="F1825" s="7" t="str">
        <f>IF(A1825=IFERROR(VLOOKUP(A1825,CATALOGO!$B$2:$B$600,1,FALSE),"Falta"),"", "Falta")</f>
        <v>Falta</v>
      </c>
    </row>
    <row r="1826" spans="1:6" x14ac:dyDescent="0.25">
      <c r="A1826" s="11" t="str">
        <f t="shared" si="28"/>
        <v/>
      </c>
      <c r="B1826" s="17" t="s">
        <v>1859</v>
      </c>
      <c r="C1826" s="17" t="s">
        <v>323</v>
      </c>
      <c r="D1826" s="17">
        <v>7502</v>
      </c>
      <c r="E1826" s="17">
        <v>9</v>
      </c>
      <c r="F1826" s="7" t="str">
        <f>IF(A1826=IFERROR(VLOOKUP(A1826,CATALOGO!$B$2:$B$600,1,FALSE),"Falta"),"", "Falta")</f>
        <v>Falta</v>
      </c>
    </row>
    <row r="1827" spans="1:6" x14ac:dyDescent="0.25">
      <c r="A1827" s="11" t="str">
        <f t="shared" si="28"/>
        <v/>
      </c>
      <c r="B1827" s="17" t="s">
        <v>1859</v>
      </c>
      <c r="C1827" s="17" t="s">
        <v>1859</v>
      </c>
      <c r="D1827" s="17">
        <v>0</v>
      </c>
      <c r="E1827" s="17">
        <v>0</v>
      </c>
      <c r="F1827" s="7" t="str">
        <f>IF(A1827=IFERROR(VLOOKUP(A1827,CATALOGO!$B$2:$B$600,1,FALSE),"Falta"),"", "Falta")</f>
        <v>Falta</v>
      </c>
    </row>
    <row r="1828" spans="1:6" x14ac:dyDescent="0.25">
      <c r="A1828" s="11" t="str">
        <f t="shared" si="28"/>
        <v/>
      </c>
      <c r="B1828" s="17" t="s">
        <v>1859</v>
      </c>
      <c r="C1828" s="17" t="s">
        <v>2065</v>
      </c>
      <c r="D1828" s="17">
        <v>0</v>
      </c>
      <c r="E1828" s="17">
        <v>0</v>
      </c>
      <c r="F1828" s="7" t="str">
        <f>IF(A1828=IFERROR(VLOOKUP(A1828,CATALOGO!$B$2:$B$600,1,FALSE),"Falta"),"", "Falta")</f>
        <v>Falta</v>
      </c>
    </row>
    <row r="1829" spans="1:6" x14ac:dyDescent="0.25">
      <c r="A1829" s="11" t="str">
        <f t="shared" si="28"/>
        <v/>
      </c>
      <c r="B1829" s="17" t="s">
        <v>1859</v>
      </c>
      <c r="C1829" s="17" t="s">
        <v>1859</v>
      </c>
      <c r="D1829" s="17">
        <v>0</v>
      </c>
      <c r="E1829" s="17">
        <v>0</v>
      </c>
      <c r="F1829" s="7" t="str">
        <f>IF(A1829=IFERROR(VLOOKUP(A1829,CATALOGO!$B$2:$B$600,1,FALSE),"Falta"),"", "Falta")</f>
        <v>Falta</v>
      </c>
    </row>
    <row r="1830" spans="1:6" x14ac:dyDescent="0.25">
      <c r="A1830" s="11" t="str">
        <f t="shared" si="28"/>
        <v/>
      </c>
      <c r="B1830" s="17" t="s">
        <v>1859</v>
      </c>
      <c r="C1830" s="17" t="s">
        <v>2066</v>
      </c>
      <c r="D1830" s="17">
        <v>0</v>
      </c>
      <c r="E1830" s="17">
        <v>0</v>
      </c>
      <c r="F1830" s="7" t="str">
        <f>IF(A1830=IFERROR(VLOOKUP(A1830,CATALOGO!$B$2:$B$600,1,FALSE),"Falta"),"", "Falta")</f>
        <v>Falta</v>
      </c>
    </row>
    <row r="1831" spans="1:6" x14ac:dyDescent="0.25">
      <c r="A1831" s="11" t="str">
        <f t="shared" si="28"/>
        <v/>
      </c>
      <c r="B1831" s="17" t="s">
        <v>1859</v>
      </c>
      <c r="C1831" s="17" t="s">
        <v>2067</v>
      </c>
      <c r="D1831" s="17">
        <v>0</v>
      </c>
      <c r="E1831" s="17">
        <v>0</v>
      </c>
      <c r="F1831" s="7" t="str">
        <f>IF(A1831=IFERROR(VLOOKUP(A1831,CATALOGO!$B$2:$B$600,1,FALSE),"Falta"),"", "Falta")</f>
        <v>Falta</v>
      </c>
    </row>
    <row r="1832" spans="1:6" x14ac:dyDescent="0.25">
      <c r="A1832" s="11" t="str">
        <f t="shared" si="28"/>
        <v/>
      </c>
      <c r="B1832" s="17" t="s">
        <v>1859</v>
      </c>
      <c r="C1832" s="17" t="s">
        <v>300</v>
      </c>
      <c r="D1832" s="17">
        <v>4285.82</v>
      </c>
      <c r="E1832" s="17">
        <v>90</v>
      </c>
      <c r="F1832" s="7" t="str">
        <f>IF(A1832=IFERROR(VLOOKUP(A1832,CATALOGO!$B$2:$B$600,1,FALSE),"Falta"),"", "Falta")</f>
        <v>Falta</v>
      </c>
    </row>
    <row r="1833" spans="1:6" x14ac:dyDescent="0.25">
      <c r="A1833" s="11" t="str">
        <f t="shared" si="28"/>
        <v/>
      </c>
      <c r="B1833" s="17" t="s">
        <v>1859</v>
      </c>
      <c r="C1833" s="17" t="s">
        <v>629</v>
      </c>
      <c r="D1833" s="17">
        <v>3061.29</v>
      </c>
      <c r="E1833" s="17">
        <v>0</v>
      </c>
      <c r="F1833" s="7" t="str">
        <f>IF(A1833=IFERROR(VLOOKUP(A1833,CATALOGO!$B$2:$B$600,1,FALSE),"Falta"),"", "Falta")</f>
        <v>Falta</v>
      </c>
    </row>
    <row r="1834" spans="1:6" x14ac:dyDescent="0.25">
      <c r="A1834" s="11" t="str">
        <f t="shared" si="28"/>
        <v/>
      </c>
      <c r="B1834" s="17" t="s">
        <v>1859</v>
      </c>
      <c r="C1834" s="17" t="s">
        <v>1859</v>
      </c>
      <c r="D1834" s="17">
        <v>0</v>
      </c>
      <c r="E1834" s="17">
        <v>0</v>
      </c>
      <c r="F1834" s="7" t="str">
        <f>IF(A1834=IFERROR(VLOOKUP(A1834,CATALOGO!$B$2:$B$600,1,FALSE),"Falta"),"", "Falta")</f>
        <v>Falta</v>
      </c>
    </row>
    <row r="1835" spans="1:6" x14ac:dyDescent="0.25">
      <c r="A1835" s="11" t="str">
        <f t="shared" si="28"/>
        <v/>
      </c>
      <c r="B1835" s="17" t="s">
        <v>1859</v>
      </c>
      <c r="C1835" s="17" t="s">
        <v>2068</v>
      </c>
      <c r="D1835" s="17">
        <v>0</v>
      </c>
      <c r="E1835" s="17">
        <v>0</v>
      </c>
      <c r="F1835" s="7" t="str">
        <f>IF(A1835=IFERROR(VLOOKUP(A1835,CATALOGO!$B$2:$B$600,1,FALSE),"Falta"),"", "Falta")</f>
        <v>Falta</v>
      </c>
    </row>
    <row r="1836" spans="1:6" x14ac:dyDescent="0.25">
      <c r="A1836" s="11" t="str">
        <f t="shared" si="28"/>
        <v/>
      </c>
      <c r="B1836" s="17" t="s">
        <v>1859</v>
      </c>
      <c r="C1836" s="17" t="s">
        <v>324</v>
      </c>
      <c r="D1836" s="17">
        <v>7139</v>
      </c>
      <c r="E1836" s="17">
        <v>170</v>
      </c>
      <c r="F1836" s="7" t="str">
        <f>IF(A1836=IFERROR(VLOOKUP(A1836,CATALOGO!$B$2:$B$600,1,FALSE),"Falta"),"", "Falta")</f>
        <v>Falta</v>
      </c>
    </row>
    <row r="1837" spans="1:6" x14ac:dyDescent="0.25">
      <c r="A1837" s="11" t="str">
        <f t="shared" si="28"/>
        <v/>
      </c>
      <c r="B1837" s="17" t="s">
        <v>1859</v>
      </c>
      <c r="C1837" s="17" t="s">
        <v>2069</v>
      </c>
      <c r="D1837" s="17">
        <v>3886.96</v>
      </c>
      <c r="E1837" s="17">
        <v>0</v>
      </c>
      <c r="F1837" s="7" t="str">
        <f>IF(A1837=IFERROR(VLOOKUP(A1837,CATALOGO!$B$2:$B$600,1,FALSE),"Falta"),"", "Falta")</f>
        <v>Falta</v>
      </c>
    </row>
    <row r="1838" spans="1:6" x14ac:dyDescent="0.25">
      <c r="A1838" s="11" t="str">
        <f t="shared" si="28"/>
        <v/>
      </c>
      <c r="B1838" s="17" t="s">
        <v>1859</v>
      </c>
      <c r="C1838" s="17" t="s">
        <v>325</v>
      </c>
      <c r="D1838" s="17">
        <v>7345.59</v>
      </c>
      <c r="E1838" s="17">
        <v>8</v>
      </c>
      <c r="F1838" s="7" t="str">
        <f>IF(A1838=IFERROR(VLOOKUP(A1838,CATALOGO!$B$2:$B$600,1,FALSE),"Falta"),"", "Falta")</f>
        <v>Falta</v>
      </c>
    </row>
    <row r="1839" spans="1:6" x14ac:dyDescent="0.25">
      <c r="A1839" s="11" t="str">
        <f t="shared" si="28"/>
        <v/>
      </c>
      <c r="B1839" s="17" t="s">
        <v>1859</v>
      </c>
      <c r="C1839" s="17" t="s">
        <v>1859</v>
      </c>
      <c r="D1839" s="17">
        <v>0</v>
      </c>
      <c r="E1839" s="17">
        <v>0</v>
      </c>
      <c r="F1839" s="7" t="str">
        <f>IF(A1839=IFERROR(VLOOKUP(A1839,CATALOGO!$B$2:$B$600,1,FALSE),"Falta"),"", "Falta")</f>
        <v>Falta</v>
      </c>
    </row>
    <row r="1840" spans="1:6" x14ac:dyDescent="0.25">
      <c r="A1840" s="11" t="str">
        <f t="shared" si="28"/>
        <v/>
      </c>
      <c r="B1840" s="17" t="s">
        <v>1859</v>
      </c>
      <c r="C1840" s="17" t="s">
        <v>2070</v>
      </c>
      <c r="D1840" s="17">
        <v>0</v>
      </c>
      <c r="E1840" s="17">
        <v>0</v>
      </c>
      <c r="F1840" s="7" t="str">
        <f>IF(A1840=IFERROR(VLOOKUP(A1840,CATALOGO!$B$2:$B$600,1,FALSE),"Falta"),"", "Falta")</f>
        <v>Falta</v>
      </c>
    </row>
    <row r="1841" spans="1:6" x14ac:dyDescent="0.25">
      <c r="A1841" s="11" t="str">
        <f t="shared" si="28"/>
        <v/>
      </c>
      <c r="B1841" s="17" t="s">
        <v>1859</v>
      </c>
      <c r="C1841" s="17" t="s">
        <v>1859</v>
      </c>
      <c r="D1841" s="17">
        <v>0</v>
      </c>
      <c r="E1841" s="17">
        <v>0</v>
      </c>
      <c r="F1841" s="7" t="str">
        <f>IF(A1841=IFERROR(VLOOKUP(A1841,CATALOGO!$B$2:$B$600,1,FALSE),"Falta"),"", "Falta")</f>
        <v>Falta</v>
      </c>
    </row>
    <row r="1842" spans="1:6" x14ac:dyDescent="0.25">
      <c r="A1842" s="11" t="str">
        <f t="shared" si="28"/>
        <v/>
      </c>
      <c r="B1842" s="17" t="s">
        <v>1859</v>
      </c>
      <c r="C1842" s="17" t="s">
        <v>2071</v>
      </c>
      <c r="D1842" s="17">
        <v>0</v>
      </c>
      <c r="E1842" s="17">
        <v>0</v>
      </c>
      <c r="F1842" s="7" t="str">
        <f>IF(A1842=IFERROR(VLOOKUP(A1842,CATALOGO!$B$2:$B$600,1,FALSE),"Falta"),"", "Falta")</f>
        <v>Falta</v>
      </c>
    </row>
    <row r="1843" spans="1:6" x14ac:dyDescent="0.25">
      <c r="A1843" s="11" t="str">
        <f t="shared" si="28"/>
        <v/>
      </c>
      <c r="B1843" s="17" t="s">
        <v>1859</v>
      </c>
      <c r="C1843" s="17" t="s">
        <v>649</v>
      </c>
      <c r="D1843" s="17">
        <v>4259.1899999999996</v>
      </c>
      <c r="E1843" s="17">
        <v>6</v>
      </c>
      <c r="F1843" s="7" t="str">
        <f>IF(A1843=IFERROR(VLOOKUP(A1843,CATALOGO!$B$2:$B$600,1,FALSE),"Falta"),"", "Falta")</f>
        <v>Falta</v>
      </c>
    </row>
    <row r="1844" spans="1:6" x14ac:dyDescent="0.25">
      <c r="A1844" s="11" t="str">
        <f t="shared" si="28"/>
        <v/>
      </c>
      <c r="B1844" s="17" t="s">
        <v>1859</v>
      </c>
      <c r="C1844" s="17" t="s">
        <v>1501</v>
      </c>
      <c r="D1844" s="17">
        <v>4392.29</v>
      </c>
      <c r="E1844" s="17">
        <v>1</v>
      </c>
      <c r="F1844" s="7" t="str">
        <f>IF(A1844=IFERROR(VLOOKUP(A1844,CATALOGO!$B$2:$B$600,1,FALSE),"Falta"),"", "Falta")</f>
        <v>Falta</v>
      </c>
    </row>
    <row r="1845" spans="1:6" x14ac:dyDescent="0.25">
      <c r="A1845" s="11" t="str">
        <f t="shared" si="28"/>
        <v/>
      </c>
      <c r="B1845" s="17" t="s">
        <v>1859</v>
      </c>
      <c r="C1845" s="17" t="s">
        <v>333</v>
      </c>
      <c r="D1845" s="17">
        <v>3599.99</v>
      </c>
      <c r="E1845" s="17">
        <v>62</v>
      </c>
      <c r="F1845" s="7" t="str">
        <f>IF(A1845=IFERROR(VLOOKUP(A1845,CATALOGO!$B$2:$B$600,1,FALSE),"Falta"),"", "Falta")</f>
        <v>Falta</v>
      </c>
    </row>
    <row r="1846" spans="1:6" x14ac:dyDescent="0.25">
      <c r="A1846" s="11" t="str">
        <f t="shared" si="28"/>
        <v/>
      </c>
      <c r="B1846" s="17" t="s">
        <v>1859</v>
      </c>
      <c r="C1846" s="17" t="s">
        <v>640</v>
      </c>
      <c r="D1846" s="17">
        <v>3617.9</v>
      </c>
      <c r="E1846" s="17">
        <v>193</v>
      </c>
      <c r="F1846" s="7" t="str">
        <f>IF(A1846=IFERROR(VLOOKUP(A1846,CATALOGO!$B$2:$B$600,1,FALSE),"Falta"),"", "Falta")</f>
        <v>Falta</v>
      </c>
    </row>
    <row r="1847" spans="1:6" x14ac:dyDescent="0.25">
      <c r="A1847" s="11" t="str">
        <f t="shared" si="28"/>
        <v/>
      </c>
      <c r="B1847" s="17" t="s">
        <v>1859</v>
      </c>
      <c r="C1847" s="17" t="s">
        <v>641</v>
      </c>
      <c r="D1847" s="17">
        <v>3859.9</v>
      </c>
      <c r="E1847" s="17">
        <v>80</v>
      </c>
      <c r="F1847" s="7" t="str">
        <f>IF(A1847=IFERROR(VLOOKUP(A1847,CATALOGO!$B$2:$B$600,1,FALSE),"Falta"),"", "Falta")</f>
        <v>Falta</v>
      </c>
    </row>
    <row r="1848" spans="1:6" x14ac:dyDescent="0.25">
      <c r="A1848" s="11" t="str">
        <f t="shared" si="28"/>
        <v/>
      </c>
      <c r="B1848" s="17" t="s">
        <v>1859</v>
      </c>
      <c r="C1848" s="17" t="s">
        <v>650</v>
      </c>
      <c r="D1848" s="17">
        <v>3617.9</v>
      </c>
      <c r="E1848" s="17">
        <v>39</v>
      </c>
      <c r="F1848" s="7" t="str">
        <f>IF(A1848=IFERROR(VLOOKUP(A1848,CATALOGO!$B$2:$B$600,1,FALSE),"Falta"),"", "Falta")</f>
        <v>Falta</v>
      </c>
    </row>
    <row r="1849" spans="1:6" x14ac:dyDescent="0.25">
      <c r="A1849" s="11" t="str">
        <f t="shared" si="28"/>
        <v/>
      </c>
      <c r="B1849" s="17" t="s">
        <v>1859</v>
      </c>
      <c r="C1849" s="17" t="s">
        <v>651</v>
      </c>
      <c r="D1849" s="17">
        <v>3859.9</v>
      </c>
      <c r="E1849" s="17">
        <v>9</v>
      </c>
      <c r="F1849" s="7" t="str">
        <f>IF(A1849=IFERROR(VLOOKUP(A1849,CATALOGO!$B$2:$B$600,1,FALSE),"Falta"),"", "Falta")</f>
        <v>Falta</v>
      </c>
    </row>
    <row r="1850" spans="1:6" x14ac:dyDescent="0.25">
      <c r="A1850" s="11" t="str">
        <f t="shared" si="28"/>
        <v/>
      </c>
      <c r="B1850" s="17" t="s">
        <v>1859</v>
      </c>
      <c r="C1850" s="17" t="s">
        <v>658</v>
      </c>
      <c r="D1850" s="17">
        <v>3617.9</v>
      </c>
      <c r="E1850" s="17">
        <v>172</v>
      </c>
      <c r="F1850" s="7" t="str">
        <f>IF(A1850=IFERROR(VLOOKUP(A1850,CATALOGO!$B$2:$B$600,1,FALSE),"Falta"),"", "Falta")</f>
        <v>Falta</v>
      </c>
    </row>
    <row r="1851" spans="1:6" x14ac:dyDescent="0.25">
      <c r="A1851" s="11" t="str">
        <f t="shared" si="28"/>
        <v/>
      </c>
      <c r="B1851" s="17" t="s">
        <v>1859</v>
      </c>
      <c r="C1851" s="17" t="s">
        <v>659</v>
      </c>
      <c r="D1851" s="17">
        <v>3729</v>
      </c>
      <c r="E1851" s="17">
        <v>34</v>
      </c>
      <c r="F1851" s="7" t="str">
        <f>IF(A1851=IFERROR(VLOOKUP(A1851,CATALOGO!$B$2:$B$600,1,FALSE),"Falta"),"", "Falta")</f>
        <v>Falta</v>
      </c>
    </row>
    <row r="1852" spans="1:6" x14ac:dyDescent="0.25">
      <c r="A1852" s="11" t="str">
        <f t="shared" si="28"/>
        <v/>
      </c>
      <c r="B1852" s="17" t="s">
        <v>1859</v>
      </c>
      <c r="C1852" s="17" t="s">
        <v>1859</v>
      </c>
      <c r="D1852" s="17">
        <v>0</v>
      </c>
      <c r="E1852" s="17">
        <v>0</v>
      </c>
      <c r="F1852" s="7" t="str">
        <f>IF(A1852=IFERROR(VLOOKUP(A1852,CATALOGO!$B$2:$B$600,1,FALSE),"Falta"),"", "Falta")</f>
        <v>Falta</v>
      </c>
    </row>
    <row r="1853" spans="1:6" x14ac:dyDescent="0.25">
      <c r="A1853" s="11" t="str">
        <f t="shared" si="28"/>
        <v/>
      </c>
      <c r="B1853" s="17" t="s">
        <v>1859</v>
      </c>
      <c r="C1853" s="17" t="s">
        <v>2072</v>
      </c>
      <c r="D1853" s="17">
        <v>0</v>
      </c>
      <c r="E1853" s="17">
        <v>1</v>
      </c>
      <c r="F1853" s="7" t="str">
        <f>IF(A1853=IFERROR(VLOOKUP(A1853,CATALOGO!$B$2:$B$600,1,FALSE),"Falta"),"", "Falta")</f>
        <v>Falta</v>
      </c>
    </row>
    <row r="1854" spans="1:6" x14ac:dyDescent="0.25">
      <c r="A1854" s="11" t="str">
        <f t="shared" si="28"/>
        <v/>
      </c>
      <c r="B1854" s="17" t="s">
        <v>1859</v>
      </c>
      <c r="C1854" s="17" t="s">
        <v>1859</v>
      </c>
      <c r="D1854" s="17">
        <v>0</v>
      </c>
      <c r="E1854" s="17">
        <v>0</v>
      </c>
      <c r="F1854" s="7" t="str">
        <f>IF(A1854=IFERROR(VLOOKUP(A1854,CATALOGO!$B$2:$B$600,1,FALSE),"Falta"),"", "Falta")</f>
        <v>Falta</v>
      </c>
    </row>
    <row r="1855" spans="1:6" x14ac:dyDescent="0.25">
      <c r="A1855" s="11" t="str">
        <f t="shared" si="28"/>
        <v/>
      </c>
      <c r="B1855" s="17" t="s">
        <v>1859</v>
      </c>
      <c r="C1855" s="17" t="s">
        <v>2073</v>
      </c>
      <c r="D1855" s="17">
        <v>0</v>
      </c>
      <c r="E1855" s="17">
        <v>0</v>
      </c>
      <c r="F1855" s="7" t="str">
        <f>IF(A1855=IFERROR(VLOOKUP(A1855,CATALOGO!$B$2:$B$600,1,FALSE),"Falta"),"", "Falta")</f>
        <v>Falta</v>
      </c>
    </row>
    <row r="1856" spans="1:6" x14ac:dyDescent="0.25">
      <c r="A1856" s="11" t="str">
        <f t="shared" si="28"/>
        <v/>
      </c>
      <c r="B1856" s="17" t="s">
        <v>1859</v>
      </c>
      <c r="C1856" s="17" t="s">
        <v>647</v>
      </c>
      <c r="D1856" s="17">
        <v>4259.1899999999996</v>
      </c>
      <c r="E1856" s="17">
        <v>82</v>
      </c>
      <c r="F1856" s="7" t="str">
        <f>IF(A1856=IFERROR(VLOOKUP(A1856,CATALOGO!$B$2:$B$600,1,FALSE),"Falta"),"", "Falta")</f>
        <v>Falta</v>
      </c>
    </row>
    <row r="1857" spans="1:6" x14ac:dyDescent="0.25">
      <c r="A1857" s="11" t="str">
        <f t="shared" si="28"/>
        <v/>
      </c>
      <c r="B1857" s="17" t="s">
        <v>1859</v>
      </c>
      <c r="C1857" s="17" t="s">
        <v>648</v>
      </c>
      <c r="D1857" s="17">
        <v>4325.74</v>
      </c>
      <c r="E1857" s="17">
        <v>10</v>
      </c>
      <c r="F1857" s="7" t="str">
        <f>IF(A1857=IFERROR(VLOOKUP(A1857,CATALOGO!$B$2:$B$600,1,FALSE),"Falta"),"", "Falta")</f>
        <v>Falta</v>
      </c>
    </row>
    <row r="1858" spans="1:6" x14ac:dyDescent="0.25">
      <c r="A1858" s="11" t="str">
        <f t="shared" si="28"/>
        <v/>
      </c>
      <c r="B1858" s="17" t="s">
        <v>1859</v>
      </c>
      <c r="C1858" s="17" t="s">
        <v>627</v>
      </c>
      <c r="D1858" s="17">
        <v>4259.1899999999996</v>
      </c>
      <c r="E1858" s="17">
        <v>1</v>
      </c>
      <c r="F1858" s="7" t="str">
        <f>IF(A1858=IFERROR(VLOOKUP(A1858,CATALOGO!$B$2:$B$600,1,FALSE),"Falta"),"", "Falta")</f>
        <v>Falta</v>
      </c>
    </row>
    <row r="1859" spans="1:6" x14ac:dyDescent="0.25">
      <c r="A1859" s="11" t="str">
        <f t="shared" si="28"/>
        <v/>
      </c>
      <c r="B1859" s="17" t="s">
        <v>1859</v>
      </c>
      <c r="C1859" s="17" t="s">
        <v>663</v>
      </c>
      <c r="D1859" s="17">
        <v>4259.1899999999996</v>
      </c>
      <c r="E1859" s="17">
        <v>27</v>
      </c>
      <c r="F1859" s="7" t="str">
        <f>IF(A1859=IFERROR(VLOOKUP(A1859,CATALOGO!$B$2:$B$600,1,FALSE),"Falta"),"", "Falta")</f>
        <v>Falta</v>
      </c>
    </row>
    <row r="1860" spans="1:6" x14ac:dyDescent="0.25">
      <c r="A1860" s="11" t="str">
        <f t="shared" si="28"/>
        <v/>
      </c>
      <c r="B1860" s="17" t="s">
        <v>1859</v>
      </c>
      <c r="C1860" s="17" t="s">
        <v>655</v>
      </c>
      <c r="D1860" s="17">
        <v>4259.1899999999996</v>
      </c>
      <c r="E1860" s="17">
        <v>10</v>
      </c>
      <c r="F1860" s="7" t="str">
        <f>IF(A1860=IFERROR(VLOOKUP(A1860,CATALOGO!$B$2:$B$600,1,FALSE),"Falta"),"", "Falta")</f>
        <v>Falta</v>
      </c>
    </row>
    <row r="1861" spans="1:6" x14ac:dyDescent="0.25">
      <c r="A1861" s="11" t="str">
        <f t="shared" si="28"/>
        <v/>
      </c>
      <c r="B1861" s="17" t="s">
        <v>1859</v>
      </c>
      <c r="C1861" s="17" t="s">
        <v>626</v>
      </c>
      <c r="D1861" s="17">
        <v>4259.1899999999996</v>
      </c>
      <c r="E1861" s="17">
        <v>4</v>
      </c>
      <c r="F1861" s="7" t="str">
        <f>IF(A1861=IFERROR(VLOOKUP(A1861,CATALOGO!$B$2:$B$600,1,FALSE),"Falta"),"", "Falta")</f>
        <v>Falta</v>
      </c>
    </row>
    <row r="1862" spans="1:6" x14ac:dyDescent="0.25">
      <c r="A1862" s="11" t="str">
        <f t="shared" ref="A1862:A1925" si="29">IFERROR(B1862*1,"")</f>
        <v/>
      </c>
      <c r="B1862" s="17" t="s">
        <v>1859</v>
      </c>
      <c r="C1862" s="17" t="s">
        <v>1859</v>
      </c>
      <c r="D1862" s="17">
        <v>0</v>
      </c>
      <c r="E1862" s="17">
        <v>0</v>
      </c>
      <c r="F1862" s="7" t="str">
        <f>IF(A1862=IFERROR(VLOOKUP(A1862,CATALOGO!$B$2:$B$600,1,FALSE),"Falta"),"", "Falta")</f>
        <v>Falta</v>
      </c>
    </row>
    <row r="1863" spans="1:6" x14ac:dyDescent="0.25">
      <c r="A1863" s="11" t="str">
        <f t="shared" si="29"/>
        <v/>
      </c>
      <c r="B1863" s="17" t="s">
        <v>1859</v>
      </c>
      <c r="C1863" s="17" t="s">
        <v>2074</v>
      </c>
      <c r="D1863" s="17">
        <v>0</v>
      </c>
      <c r="E1863" s="17">
        <v>0</v>
      </c>
      <c r="F1863" s="7" t="str">
        <f>IF(A1863=IFERROR(VLOOKUP(A1863,CATALOGO!$B$2:$B$600,1,FALSE),"Falta"),"", "Falta")</f>
        <v>Falta</v>
      </c>
    </row>
    <row r="1864" spans="1:6" x14ac:dyDescent="0.25">
      <c r="A1864" s="11" t="str">
        <f t="shared" si="29"/>
        <v/>
      </c>
      <c r="B1864" s="17" t="s">
        <v>1859</v>
      </c>
      <c r="C1864" s="17" t="s">
        <v>628</v>
      </c>
      <c r="D1864" s="17">
        <v>4259.1899999999996</v>
      </c>
      <c r="E1864" s="17">
        <v>5</v>
      </c>
      <c r="F1864" s="7" t="str">
        <f>IF(A1864=IFERROR(VLOOKUP(A1864,CATALOGO!$B$2:$B$600,1,FALSE),"Falta"),"", "Falta")</f>
        <v>Falta</v>
      </c>
    </row>
    <row r="1865" spans="1:6" x14ac:dyDescent="0.25">
      <c r="A1865" s="11" t="str">
        <f t="shared" si="29"/>
        <v/>
      </c>
      <c r="B1865" s="17" t="s">
        <v>1859</v>
      </c>
      <c r="C1865" s="17" t="s">
        <v>662</v>
      </c>
      <c r="D1865" s="17">
        <v>4325.74</v>
      </c>
      <c r="E1865" s="17">
        <v>0</v>
      </c>
      <c r="F1865" s="7" t="str">
        <f>IF(A1865=IFERROR(VLOOKUP(A1865,CATALOGO!$B$2:$B$600,1,FALSE),"Falta"),"", "Falta")</f>
        <v>Falta</v>
      </c>
    </row>
    <row r="1866" spans="1:6" x14ac:dyDescent="0.25">
      <c r="A1866" s="11" t="str">
        <f t="shared" si="29"/>
        <v/>
      </c>
      <c r="B1866" s="17" t="s">
        <v>1859</v>
      </c>
      <c r="C1866" s="17" t="s">
        <v>1859</v>
      </c>
      <c r="D1866" s="17">
        <v>0</v>
      </c>
      <c r="E1866" s="17">
        <v>0</v>
      </c>
      <c r="F1866" s="7" t="str">
        <f>IF(A1866=IFERROR(VLOOKUP(A1866,CATALOGO!$B$2:$B$600,1,FALSE),"Falta"),"", "Falta")</f>
        <v>Falta</v>
      </c>
    </row>
    <row r="1867" spans="1:6" x14ac:dyDescent="0.25">
      <c r="A1867" s="11" t="str">
        <f t="shared" si="29"/>
        <v/>
      </c>
      <c r="B1867" s="17" t="s">
        <v>1859</v>
      </c>
      <c r="C1867" s="17" t="s">
        <v>2075</v>
      </c>
      <c r="D1867" s="17">
        <v>0</v>
      </c>
      <c r="E1867" s="17">
        <v>0</v>
      </c>
      <c r="F1867" s="7" t="str">
        <f>IF(A1867=IFERROR(VLOOKUP(A1867,CATALOGO!$B$2:$B$600,1,FALSE),"Falta"),"", "Falta")</f>
        <v>Falta</v>
      </c>
    </row>
    <row r="1868" spans="1:6" x14ac:dyDescent="0.25">
      <c r="A1868" s="11" t="str">
        <f t="shared" si="29"/>
        <v/>
      </c>
      <c r="B1868" s="17" t="s">
        <v>1859</v>
      </c>
      <c r="C1868" s="17" t="s">
        <v>654</v>
      </c>
      <c r="D1868" s="17">
        <v>4325.74</v>
      </c>
      <c r="E1868" s="17">
        <v>3</v>
      </c>
      <c r="F1868" s="7" t="str">
        <f>IF(A1868=IFERROR(VLOOKUP(A1868,CATALOGO!$B$2:$B$600,1,FALSE),"Falta"),"", "Falta")</f>
        <v>Falta</v>
      </c>
    </row>
    <row r="1869" spans="1:6" x14ac:dyDescent="0.25">
      <c r="A1869" s="11" t="str">
        <f t="shared" si="29"/>
        <v/>
      </c>
      <c r="B1869" s="17" t="s">
        <v>1859</v>
      </c>
      <c r="C1869" s="17" t="s">
        <v>1859</v>
      </c>
      <c r="D1869" s="17">
        <v>0</v>
      </c>
      <c r="E1869" s="17">
        <v>0</v>
      </c>
      <c r="F1869" s="7" t="str">
        <f>IF(A1869=IFERROR(VLOOKUP(A1869,CATALOGO!$B$2:$B$600,1,FALSE),"Falta"),"", "Falta")</f>
        <v>Falta</v>
      </c>
    </row>
    <row r="1870" spans="1:6" x14ac:dyDescent="0.25">
      <c r="A1870" s="11" t="str">
        <f t="shared" si="29"/>
        <v/>
      </c>
      <c r="B1870" s="17" t="s">
        <v>1859</v>
      </c>
      <c r="C1870" s="17" t="s">
        <v>2076</v>
      </c>
      <c r="D1870" s="17">
        <v>0</v>
      </c>
      <c r="E1870" s="17">
        <v>0</v>
      </c>
      <c r="F1870" s="7" t="str">
        <f>IF(A1870=IFERROR(VLOOKUP(A1870,CATALOGO!$B$2:$B$600,1,FALSE),"Falta"),"", "Falta")</f>
        <v>Falta</v>
      </c>
    </row>
    <row r="1871" spans="1:6" x14ac:dyDescent="0.25">
      <c r="A1871" s="11" t="str">
        <f t="shared" si="29"/>
        <v/>
      </c>
      <c r="B1871" s="17" t="s">
        <v>1859</v>
      </c>
      <c r="C1871" s="17" t="s">
        <v>664</v>
      </c>
      <c r="D1871" s="17">
        <v>4325.74</v>
      </c>
      <c r="E1871" s="17">
        <v>3</v>
      </c>
      <c r="F1871" s="7" t="str">
        <f>IF(A1871=IFERROR(VLOOKUP(A1871,CATALOGO!$B$2:$B$600,1,FALSE),"Falta"),"", "Falta")</f>
        <v>Falta</v>
      </c>
    </row>
    <row r="1872" spans="1:6" x14ac:dyDescent="0.25">
      <c r="A1872" s="11" t="str">
        <f t="shared" si="29"/>
        <v/>
      </c>
      <c r="B1872" s="17" t="s">
        <v>1859</v>
      </c>
      <c r="C1872" s="17" t="s">
        <v>646</v>
      </c>
      <c r="D1872" s="17">
        <v>4259.1899999999996</v>
      </c>
      <c r="E1872" s="17">
        <v>3</v>
      </c>
      <c r="F1872" s="7" t="str">
        <f>IF(A1872=IFERROR(VLOOKUP(A1872,CATALOGO!$B$2:$B$600,1,FALSE),"Falta"),"", "Falta")</f>
        <v>Falta</v>
      </c>
    </row>
    <row r="1873" spans="1:6" x14ac:dyDescent="0.25">
      <c r="A1873" s="11" t="str">
        <f t="shared" si="29"/>
        <v/>
      </c>
      <c r="B1873" s="17" t="s">
        <v>1859</v>
      </c>
      <c r="C1873" s="17" t="s">
        <v>1859</v>
      </c>
      <c r="D1873" s="17">
        <v>0</v>
      </c>
      <c r="E1873" s="17">
        <v>0</v>
      </c>
      <c r="F1873" s="7" t="str">
        <f>IF(A1873=IFERROR(VLOOKUP(A1873,CATALOGO!$B$2:$B$600,1,FALSE),"Falta"),"", "Falta")</f>
        <v>Falta</v>
      </c>
    </row>
    <row r="1874" spans="1:6" x14ac:dyDescent="0.25">
      <c r="A1874" s="11" t="str">
        <f t="shared" si="29"/>
        <v/>
      </c>
      <c r="B1874" s="17" t="s">
        <v>1859</v>
      </c>
      <c r="C1874" s="17" t="s">
        <v>2077</v>
      </c>
      <c r="D1874" s="17">
        <v>0</v>
      </c>
      <c r="E1874" s="17">
        <v>0</v>
      </c>
      <c r="F1874" s="7" t="str">
        <f>IF(A1874=IFERROR(VLOOKUP(A1874,CATALOGO!$B$2:$B$600,1,FALSE),"Falta"),"", "Falta")</f>
        <v>Falta</v>
      </c>
    </row>
    <row r="1875" spans="1:6" x14ac:dyDescent="0.25">
      <c r="A1875" s="11" t="str">
        <f t="shared" si="29"/>
        <v/>
      </c>
      <c r="B1875" s="17" t="s">
        <v>1859</v>
      </c>
      <c r="C1875" s="17" t="s">
        <v>326</v>
      </c>
      <c r="D1875" s="17">
        <v>7139</v>
      </c>
      <c r="E1875" s="17">
        <v>228</v>
      </c>
      <c r="F1875" s="7" t="str">
        <f>IF(A1875=IFERROR(VLOOKUP(A1875,CATALOGO!$B$2:$B$600,1,FALSE),"Falta"),"", "Falta")</f>
        <v>Falta</v>
      </c>
    </row>
    <row r="1876" spans="1:6" x14ac:dyDescent="0.25">
      <c r="A1876" s="11" t="str">
        <f t="shared" si="29"/>
        <v/>
      </c>
      <c r="B1876" s="17" t="s">
        <v>1859</v>
      </c>
      <c r="C1876" s="17" t="s">
        <v>2078</v>
      </c>
      <c r="D1876" s="17">
        <v>4111.21</v>
      </c>
      <c r="E1876" s="17">
        <v>0</v>
      </c>
      <c r="F1876" s="7" t="str">
        <f>IF(A1876=IFERROR(VLOOKUP(A1876,CATALOGO!$B$2:$B$600,1,FALSE),"Falta"),"", "Falta")</f>
        <v>Falta</v>
      </c>
    </row>
    <row r="1877" spans="1:6" x14ac:dyDescent="0.25">
      <c r="A1877" s="11" t="str">
        <f t="shared" si="29"/>
        <v/>
      </c>
      <c r="B1877" s="17" t="s">
        <v>1859</v>
      </c>
      <c r="C1877" s="17" t="s">
        <v>327</v>
      </c>
      <c r="D1877" s="17">
        <v>7345.59</v>
      </c>
      <c r="E1877" s="17">
        <v>31</v>
      </c>
      <c r="F1877" s="7" t="str">
        <f>IF(A1877=IFERROR(VLOOKUP(A1877,CATALOGO!$B$2:$B$600,1,FALSE),"Falta"),"", "Falta")</f>
        <v>Falta</v>
      </c>
    </row>
    <row r="1878" spans="1:6" x14ac:dyDescent="0.25">
      <c r="A1878" s="11" t="str">
        <f t="shared" si="29"/>
        <v/>
      </c>
      <c r="B1878" s="17" t="s">
        <v>1859</v>
      </c>
      <c r="C1878" s="17" t="s">
        <v>307</v>
      </c>
      <c r="D1878" s="17">
        <v>3992.99</v>
      </c>
      <c r="E1878" s="17">
        <v>87</v>
      </c>
      <c r="F1878" s="7" t="str">
        <f>IF(A1878=IFERROR(VLOOKUP(A1878,CATALOGO!$B$2:$B$600,1,FALSE),"Falta"),"", "Falta")</f>
        <v>Falta</v>
      </c>
    </row>
    <row r="1879" spans="1:6" x14ac:dyDescent="0.25">
      <c r="A1879" s="11" t="str">
        <f t="shared" si="29"/>
        <v/>
      </c>
      <c r="B1879" s="17" t="s">
        <v>1859</v>
      </c>
      <c r="C1879" s="17" t="s">
        <v>308</v>
      </c>
      <c r="D1879" s="17">
        <v>3825.1</v>
      </c>
      <c r="E1879" s="17">
        <v>0</v>
      </c>
      <c r="F1879" s="7" t="str">
        <f>IF(A1879=IFERROR(VLOOKUP(A1879,CATALOGO!$B$2:$B$600,1,FALSE),"Falta"),"", "Falta")</f>
        <v>Falta</v>
      </c>
    </row>
    <row r="1880" spans="1:6" x14ac:dyDescent="0.25">
      <c r="A1880" s="11" t="str">
        <f t="shared" si="29"/>
        <v/>
      </c>
      <c r="B1880" s="17" t="s">
        <v>1859</v>
      </c>
      <c r="C1880" s="17" t="s">
        <v>1503</v>
      </c>
      <c r="D1880" s="17">
        <v>3059.77</v>
      </c>
      <c r="E1880" s="17">
        <v>55</v>
      </c>
      <c r="F1880" s="7" t="str">
        <f>IF(A1880=IFERROR(VLOOKUP(A1880,CATALOGO!$B$2:$B$600,1,FALSE),"Falta"),"", "Falta")</f>
        <v>Falta</v>
      </c>
    </row>
    <row r="1881" spans="1:6" x14ac:dyDescent="0.25">
      <c r="A1881" s="11" t="str">
        <f t="shared" si="29"/>
        <v/>
      </c>
      <c r="B1881" s="17" t="s">
        <v>1859</v>
      </c>
      <c r="C1881" s="17" t="s">
        <v>357</v>
      </c>
      <c r="D1881" s="17">
        <v>3059.77</v>
      </c>
      <c r="E1881" s="17">
        <v>42</v>
      </c>
      <c r="F1881" s="7" t="str">
        <f>IF(A1881=IFERROR(VLOOKUP(A1881,CATALOGO!$B$2:$B$600,1,FALSE),"Falta"),"", "Falta")</f>
        <v>Falta</v>
      </c>
    </row>
    <row r="1882" spans="1:6" x14ac:dyDescent="0.25">
      <c r="A1882" s="11" t="str">
        <f t="shared" si="29"/>
        <v/>
      </c>
      <c r="B1882" s="17" t="s">
        <v>1859</v>
      </c>
      <c r="C1882" s="17" t="s">
        <v>358</v>
      </c>
      <c r="D1882" s="17">
        <v>3059.77</v>
      </c>
      <c r="E1882" s="17">
        <v>0</v>
      </c>
      <c r="F1882" s="7" t="str">
        <f>IF(A1882=IFERROR(VLOOKUP(A1882,CATALOGO!$B$2:$B$600,1,FALSE),"Falta"),"", "Falta")</f>
        <v>Falta</v>
      </c>
    </row>
    <row r="1883" spans="1:6" x14ac:dyDescent="0.25">
      <c r="A1883" s="11" t="str">
        <f t="shared" si="29"/>
        <v/>
      </c>
      <c r="B1883" s="17" t="s">
        <v>1859</v>
      </c>
      <c r="C1883" s="17" t="s">
        <v>1504</v>
      </c>
      <c r="D1883" s="17">
        <v>6121.07</v>
      </c>
      <c r="E1883" s="17">
        <v>0</v>
      </c>
      <c r="F1883" s="7" t="str">
        <f>IF(A1883=IFERROR(VLOOKUP(A1883,CATALOGO!$B$2:$B$600,1,FALSE),"Falta"),"", "Falta")</f>
        <v>Falta</v>
      </c>
    </row>
    <row r="1884" spans="1:6" x14ac:dyDescent="0.25">
      <c r="A1884" s="11" t="str">
        <f t="shared" si="29"/>
        <v/>
      </c>
      <c r="B1884" s="17" t="s">
        <v>1859</v>
      </c>
      <c r="C1884" s="17" t="s">
        <v>328</v>
      </c>
      <c r="D1884" s="17">
        <v>6121.07</v>
      </c>
      <c r="E1884" s="17">
        <v>5</v>
      </c>
      <c r="F1884" s="7" t="str">
        <f>IF(A1884=IFERROR(VLOOKUP(A1884,CATALOGO!$B$2:$B$600,1,FALSE),"Falta"),"", "Falta")</f>
        <v>Falta</v>
      </c>
    </row>
    <row r="1885" spans="1:6" x14ac:dyDescent="0.25">
      <c r="A1885" s="11" t="str">
        <f t="shared" si="29"/>
        <v/>
      </c>
      <c r="B1885" s="17" t="s">
        <v>1859</v>
      </c>
      <c r="C1885" s="17" t="s">
        <v>1859</v>
      </c>
      <c r="D1885" s="17">
        <v>0</v>
      </c>
      <c r="E1885" s="17">
        <v>0</v>
      </c>
      <c r="F1885" s="7" t="str">
        <f>IF(A1885=IFERROR(VLOOKUP(A1885,CATALOGO!$B$2:$B$600,1,FALSE),"Falta"),"", "Falta")</f>
        <v>Falta</v>
      </c>
    </row>
    <row r="1886" spans="1:6" x14ac:dyDescent="0.25">
      <c r="A1886" s="11" t="str">
        <f t="shared" si="29"/>
        <v/>
      </c>
      <c r="B1886" s="17" t="s">
        <v>1859</v>
      </c>
      <c r="C1886" s="17" t="s">
        <v>2079</v>
      </c>
      <c r="D1886" s="17">
        <v>0</v>
      </c>
      <c r="E1886" s="17">
        <v>0</v>
      </c>
      <c r="F1886" s="7" t="str">
        <f>IF(A1886=IFERROR(VLOOKUP(A1886,CATALOGO!$B$2:$B$600,1,FALSE),"Falta"),"", "Falta")</f>
        <v>Falta</v>
      </c>
    </row>
    <row r="1887" spans="1:6" x14ac:dyDescent="0.25">
      <c r="A1887" s="11" t="str">
        <f t="shared" si="29"/>
        <v/>
      </c>
      <c r="B1887" s="17" t="s">
        <v>1859</v>
      </c>
      <c r="C1887" s="17" t="s">
        <v>329</v>
      </c>
      <c r="D1887" s="17">
        <v>3518.97</v>
      </c>
      <c r="E1887" s="17">
        <v>38</v>
      </c>
      <c r="F1887" s="7" t="str">
        <f>IF(A1887=IFERROR(VLOOKUP(A1887,CATALOGO!$B$2:$B$600,1,FALSE),"Falta"),"", "Falta")</f>
        <v>Falta</v>
      </c>
    </row>
    <row r="1888" spans="1:6" x14ac:dyDescent="0.25">
      <c r="A1888" s="11" t="str">
        <f t="shared" si="29"/>
        <v/>
      </c>
      <c r="B1888" s="17" t="s">
        <v>1859</v>
      </c>
      <c r="C1888" s="17" t="s">
        <v>1506</v>
      </c>
      <c r="D1888" s="17">
        <v>3059.77</v>
      </c>
      <c r="E1888" s="17">
        <v>1</v>
      </c>
      <c r="F1888" s="7" t="str">
        <f>IF(A1888=IFERROR(VLOOKUP(A1888,CATALOGO!$B$2:$B$600,1,FALSE),"Falta"),"", "Falta")</f>
        <v>Falta</v>
      </c>
    </row>
    <row r="1889" spans="1:6" x14ac:dyDescent="0.25">
      <c r="A1889" s="11" t="str">
        <f t="shared" si="29"/>
        <v/>
      </c>
      <c r="B1889" s="17" t="s">
        <v>1859</v>
      </c>
      <c r="C1889" s="17" t="s">
        <v>1859</v>
      </c>
      <c r="D1889" s="17">
        <v>0</v>
      </c>
      <c r="E1889" s="17">
        <v>0</v>
      </c>
      <c r="F1889" s="7" t="str">
        <f>IF(A1889=IFERROR(VLOOKUP(A1889,CATALOGO!$B$2:$B$600,1,FALSE),"Falta"),"", "Falta")</f>
        <v>Falta</v>
      </c>
    </row>
    <row r="1890" spans="1:6" x14ac:dyDescent="0.25">
      <c r="A1890" s="11" t="str">
        <f t="shared" si="29"/>
        <v/>
      </c>
      <c r="B1890" s="17" t="s">
        <v>1859</v>
      </c>
      <c r="C1890" s="17" t="s">
        <v>2080</v>
      </c>
      <c r="D1890" s="17">
        <v>0</v>
      </c>
      <c r="E1890" s="17">
        <v>0</v>
      </c>
      <c r="F1890" s="7" t="str">
        <f>IF(A1890=IFERROR(VLOOKUP(A1890,CATALOGO!$B$2:$B$600,1,FALSE),"Falta"),"", "Falta")</f>
        <v>Falta</v>
      </c>
    </row>
    <row r="1891" spans="1:6" x14ac:dyDescent="0.25">
      <c r="A1891" s="11" t="str">
        <f t="shared" si="29"/>
        <v/>
      </c>
      <c r="B1891" s="17" t="s">
        <v>1859</v>
      </c>
      <c r="C1891" s="17" t="s">
        <v>1507</v>
      </c>
      <c r="D1891" s="17">
        <v>3059.77</v>
      </c>
      <c r="E1891" s="17">
        <v>0</v>
      </c>
      <c r="F1891" s="7" t="str">
        <f>IF(A1891=IFERROR(VLOOKUP(A1891,CATALOGO!$B$2:$B$600,1,FALSE),"Falta"),"", "Falta")</f>
        <v>Falta</v>
      </c>
    </row>
    <row r="1892" spans="1:6" x14ac:dyDescent="0.25">
      <c r="A1892" s="11" t="str">
        <f t="shared" si="29"/>
        <v/>
      </c>
      <c r="B1892" s="17" t="s">
        <v>1859</v>
      </c>
      <c r="C1892" s="17" t="s">
        <v>1508</v>
      </c>
      <c r="D1892" s="17">
        <v>3059.77</v>
      </c>
      <c r="E1892" s="17">
        <v>1</v>
      </c>
      <c r="F1892" s="7" t="str">
        <f>IF(A1892=IFERROR(VLOOKUP(A1892,CATALOGO!$B$2:$B$600,1,FALSE),"Falta"),"", "Falta")</f>
        <v>Falta</v>
      </c>
    </row>
    <row r="1893" spans="1:6" x14ac:dyDescent="0.25">
      <c r="A1893" s="11" t="str">
        <f t="shared" si="29"/>
        <v/>
      </c>
      <c r="B1893" s="17" t="s">
        <v>1859</v>
      </c>
      <c r="C1893" s="17" t="s">
        <v>1509</v>
      </c>
      <c r="D1893" s="17">
        <v>3059.77</v>
      </c>
      <c r="E1893" s="17">
        <v>7</v>
      </c>
      <c r="F1893" s="7" t="str">
        <f>IF(A1893=IFERROR(VLOOKUP(A1893,CATALOGO!$B$2:$B$600,1,FALSE),"Falta"),"", "Falta")</f>
        <v>Falta</v>
      </c>
    </row>
    <row r="1894" spans="1:6" x14ac:dyDescent="0.25">
      <c r="A1894" s="11" t="str">
        <f t="shared" si="29"/>
        <v/>
      </c>
      <c r="B1894" s="17" t="s">
        <v>1859</v>
      </c>
      <c r="C1894" s="17" t="s">
        <v>1510</v>
      </c>
      <c r="D1894" s="17">
        <v>3672.03</v>
      </c>
      <c r="E1894" s="17">
        <v>0</v>
      </c>
      <c r="F1894" s="7" t="str">
        <f>IF(A1894=IFERROR(VLOOKUP(A1894,CATALOGO!$B$2:$B$600,1,FALSE),"Falta"),"", "Falta")</f>
        <v>Falta</v>
      </c>
    </row>
    <row r="1895" spans="1:6" x14ac:dyDescent="0.25">
      <c r="A1895" s="11" t="str">
        <f t="shared" si="29"/>
        <v/>
      </c>
      <c r="B1895" s="17" t="s">
        <v>1859</v>
      </c>
      <c r="C1895" s="17" t="s">
        <v>1859</v>
      </c>
      <c r="D1895" s="17">
        <v>0</v>
      </c>
      <c r="E1895" s="17">
        <v>0</v>
      </c>
      <c r="F1895" s="7" t="str">
        <f>IF(A1895=IFERROR(VLOOKUP(A1895,CATALOGO!$B$2:$B$600,1,FALSE),"Falta"),"", "Falta")</f>
        <v>Falta</v>
      </c>
    </row>
    <row r="1896" spans="1:6" x14ac:dyDescent="0.25">
      <c r="A1896" s="11" t="str">
        <f t="shared" si="29"/>
        <v/>
      </c>
      <c r="B1896" s="17" t="s">
        <v>1859</v>
      </c>
      <c r="C1896" s="17" t="s">
        <v>2081</v>
      </c>
      <c r="D1896" s="17">
        <v>0</v>
      </c>
      <c r="E1896" s="17">
        <v>0</v>
      </c>
      <c r="F1896" s="7" t="str">
        <f>IF(A1896=IFERROR(VLOOKUP(A1896,CATALOGO!$B$2:$B$600,1,FALSE),"Falta"),"", "Falta")</f>
        <v>Falta</v>
      </c>
    </row>
    <row r="1897" spans="1:6" x14ac:dyDescent="0.25">
      <c r="A1897" s="11" t="str">
        <f t="shared" si="29"/>
        <v/>
      </c>
      <c r="B1897" s="17" t="s">
        <v>1859</v>
      </c>
      <c r="C1897" s="17" t="s">
        <v>1511</v>
      </c>
      <c r="D1897" s="17">
        <v>3672.03</v>
      </c>
      <c r="E1897" s="17">
        <v>1</v>
      </c>
      <c r="F1897" s="7" t="str">
        <f>IF(A1897=IFERROR(VLOOKUP(A1897,CATALOGO!$B$2:$B$600,1,FALSE),"Falta"),"", "Falta")</f>
        <v>Falta</v>
      </c>
    </row>
    <row r="1898" spans="1:6" x14ac:dyDescent="0.25">
      <c r="A1898" s="11" t="str">
        <f t="shared" si="29"/>
        <v/>
      </c>
      <c r="B1898" s="17" t="s">
        <v>1859</v>
      </c>
      <c r="C1898" s="17" t="s">
        <v>1512</v>
      </c>
      <c r="D1898" s="17">
        <v>3672.03</v>
      </c>
      <c r="E1898" s="17">
        <v>0</v>
      </c>
      <c r="F1898" s="7" t="str">
        <f>IF(A1898=IFERROR(VLOOKUP(A1898,CATALOGO!$B$2:$B$600,1,FALSE),"Falta"),"", "Falta")</f>
        <v>Falta</v>
      </c>
    </row>
    <row r="1899" spans="1:6" x14ac:dyDescent="0.25">
      <c r="A1899" s="11" t="str">
        <f t="shared" si="29"/>
        <v/>
      </c>
      <c r="B1899" s="17" t="s">
        <v>1859</v>
      </c>
      <c r="C1899" s="17" t="s">
        <v>1513</v>
      </c>
      <c r="D1899" s="17">
        <v>3518.97</v>
      </c>
      <c r="E1899" s="17">
        <v>3</v>
      </c>
      <c r="F1899" s="7" t="str">
        <f>IF(A1899=IFERROR(VLOOKUP(A1899,CATALOGO!$B$2:$B$600,1,FALSE),"Falta"),"", "Falta")</f>
        <v>Falta</v>
      </c>
    </row>
    <row r="1900" spans="1:6" x14ac:dyDescent="0.25">
      <c r="A1900" s="11" t="str">
        <f t="shared" si="29"/>
        <v/>
      </c>
      <c r="B1900" s="17" t="s">
        <v>1859</v>
      </c>
      <c r="C1900" s="17" t="s">
        <v>1514</v>
      </c>
      <c r="D1900" s="17">
        <v>3059.77</v>
      </c>
      <c r="E1900" s="17">
        <v>13</v>
      </c>
      <c r="F1900" s="7" t="str">
        <f>IF(A1900=IFERROR(VLOOKUP(A1900,CATALOGO!$B$2:$B$600,1,FALSE),"Falta"),"", "Falta")</f>
        <v>Falta</v>
      </c>
    </row>
    <row r="1901" spans="1:6" x14ac:dyDescent="0.25">
      <c r="A1901" s="11" t="str">
        <f t="shared" si="29"/>
        <v/>
      </c>
      <c r="B1901" s="17" t="s">
        <v>1859</v>
      </c>
      <c r="C1901" s="17" t="s">
        <v>1859</v>
      </c>
      <c r="D1901" s="17">
        <v>0</v>
      </c>
      <c r="E1901" s="17">
        <v>0</v>
      </c>
      <c r="F1901" s="7" t="str">
        <f>IF(A1901=IFERROR(VLOOKUP(A1901,CATALOGO!$B$2:$B$600,1,FALSE),"Falta"),"", "Falta")</f>
        <v>Falta</v>
      </c>
    </row>
    <row r="1902" spans="1:6" x14ac:dyDescent="0.25">
      <c r="A1902" s="11" t="str">
        <f t="shared" si="29"/>
        <v/>
      </c>
      <c r="B1902" s="17" t="s">
        <v>1859</v>
      </c>
      <c r="C1902" s="17" t="s">
        <v>2082</v>
      </c>
      <c r="D1902" s="17">
        <v>0</v>
      </c>
      <c r="E1902" s="17">
        <v>0</v>
      </c>
      <c r="F1902" s="7" t="str">
        <f>IF(A1902=IFERROR(VLOOKUP(A1902,CATALOGO!$B$2:$B$600,1,FALSE),"Falta"),"", "Falta")</f>
        <v>Falta</v>
      </c>
    </row>
    <row r="1903" spans="1:6" x14ac:dyDescent="0.25">
      <c r="A1903" s="11" t="str">
        <f t="shared" si="29"/>
        <v/>
      </c>
      <c r="B1903" s="17" t="s">
        <v>1859</v>
      </c>
      <c r="C1903" s="17" t="s">
        <v>622</v>
      </c>
      <c r="D1903" s="17">
        <v>3061.29</v>
      </c>
      <c r="E1903" s="17">
        <v>2</v>
      </c>
      <c r="F1903" s="7" t="str">
        <f>IF(A1903=IFERROR(VLOOKUP(A1903,CATALOGO!$B$2:$B$600,1,FALSE),"Falta"),"", "Falta")</f>
        <v>Falta</v>
      </c>
    </row>
    <row r="1904" spans="1:6" x14ac:dyDescent="0.25">
      <c r="A1904" s="11" t="str">
        <f t="shared" si="29"/>
        <v/>
      </c>
      <c r="B1904" s="17" t="s">
        <v>1859</v>
      </c>
      <c r="C1904" s="17" t="s">
        <v>1859</v>
      </c>
      <c r="D1904" s="17">
        <v>0</v>
      </c>
      <c r="E1904" s="17">
        <v>0</v>
      </c>
      <c r="F1904" s="7" t="str">
        <f>IF(A1904=IFERROR(VLOOKUP(A1904,CATALOGO!$B$2:$B$600,1,FALSE),"Falta"),"", "Falta")</f>
        <v>Falta</v>
      </c>
    </row>
    <row r="1905" spans="1:6" x14ac:dyDescent="0.25">
      <c r="A1905" s="11" t="str">
        <f t="shared" si="29"/>
        <v/>
      </c>
      <c r="B1905" s="17" t="s">
        <v>1859</v>
      </c>
      <c r="C1905" s="17" t="s">
        <v>2083</v>
      </c>
      <c r="D1905" s="17">
        <v>0</v>
      </c>
      <c r="E1905" s="17">
        <v>0</v>
      </c>
      <c r="F1905" s="7" t="str">
        <f>IF(A1905=IFERROR(VLOOKUP(A1905,CATALOGO!$B$2:$B$600,1,FALSE),"Falta"),"", "Falta")</f>
        <v>Falta</v>
      </c>
    </row>
    <row r="1906" spans="1:6" x14ac:dyDescent="0.25">
      <c r="A1906" s="11" t="str">
        <f t="shared" si="29"/>
        <v/>
      </c>
      <c r="B1906" s="17" t="s">
        <v>1859</v>
      </c>
      <c r="C1906" s="17" t="s">
        <v>1859</v>
      </c>
      <c r="D1906" s="17">
        <v>0</v>
      </c>
      <c r="E1906" s="17">
        <v>0</v>
      </c>
      <c r="F1906" s="7" t="str">
        <f>IF(A1906=IFERROR(VLOOKUP(A1906,CATALOGO!$B$2:$B$600,1,FALSE),"Falta"),"", "Falta")</f>
        <v>Falta</v>
      </c>
    </row>
    <row r="1907" spans="1:6" x14ac:dyDescent="0.25">
      <c r="A1907" s="11" t="str">
        <f t="shared" si="29"/>
        <v/>
      </c>
      <c r="B1907" s="17" t="s">
        <v>1859</v>
      </c>
      <c r="C1907" s="17" t="s">
        <v>2084</v>
      </c>
      <c r="D1907" s="17">
        <v>0</v>
      </c>
      <c r="E1907" s="17">
        <v>0</v>
      </c>
      <c r="F1907" s="7" t="str">
        <f>IF(A1907=IFERROR(VLOOKUP(A1907,CATALOGO!$B$2:$B$600,1,FALSE),"Falta"),"", "Falta")</f>
        <v>Falta</v>
      </c>
    </row>
    <row r="1908" spans="1:6" x14ac:dyDescent="0.25">
      <c r="A1908" s="11" t="str">
        <f t="shared" si="29"/>
        <v/>
      </c>
      <c r="B1908" s="17" t="s">
        <v>1859</v>
      </c>
      <c r="C1908" s="17" t="s">
        <v>1859</v>
      </c>
      <c r="D1908" s="17">
        <v>0</v>
      </c>
      <c r="E1908" s="17">
        <v>0</v>
      </c>
      <c r="F1908" s="7" t="str">
        <f>IF(A1908=IFERROR(VLOOKUP(A1908,CATALOGO!$B$2:$B$600,1,FALSE),"Falta"),"", "Falta")</f>
        <v>Falta</v>
      </c>
    </row>
    <row r="1909" spans="1:6" x14ac:dyDescent="0.25">
      <c r="A1909" s="11" t="str">
        <f t="shared" si="29"/>
        <v/>
      </c>
      <c r="B1909" s="17" t="s">
        <v>1859</v>
      </c>
      <c r="C1909" s="17" t="s">
        <v>2085</v>
      </c>
      <c r="D1909" s="17">
        <v>0</v>
      </c>
      <c r="E1909" s="17">
        <v>0</v>
      </c>
      <c r="F1909" s="7" t="str">
        <f>IF(A1909=IFERROR(VLOOKUP(A1909,CATALOGO!$B$2:$B$600,1,FALSE),"Falta"),"", "Falta")</f>
        <v>Falta</v>
      </c>
    </row>
    <row r="1910" spans="1:6" x14ac:dyDescent="0.25">
      <c r="A1910" s="11" t="str">
        <f t="shared" si="29"/>
        <v/>
      </c>
      <c r="B1910" s="17" t="s">
        <v>1859</v>
      </c>
      <c r="C1910" s="17" t="s">
        <v>1859</v>
      </c>
      <c r="D1910" s="17">
        <v>0</v>
      </c>
      <c r="E1910" s="17">
        <v>0</v>
      </c>
      <c r="F1910" s="7" t="str">
        <f>IF(A1910=IFERROR(VLOOKUP(A1910,CATALOGO!$B$2:$B$600,1,FALSE),"Falta"),"", "Falta")</f>
        <v>Falta</v>
      </c>
    </row>
    <row r="1911" spans="1:6" x14ac:dyDescent="0.25">
      <c r="A1911" s="11" t="str">
        <f t="shared" si="29"/>
        <v/>
      </c>
      <c r="B1911" s="17" t="s">
        <v>1859</v>
      </c>
      <c r="C1911" s="17" t="s">
        <v>2086</v>
      </c>
      <c r="D1911" s="17">
        <v>0</v>
      </c>
      <c r="E1911" s="17">
        <v>0</v>
      </c>
      <c r="F1911" s="7" t="str">
        <f>IF(A1911=IFERROR(VLOOKUP(A1911,CATALOGO!$B$2:$B$600,1,FALSE),"Falta"),"", "Falta")</f>
        <v>Falta</v>
      </c>
    </row>
    <row r="1912" spans="1:6" x14ac:dyDescent="0.25">
      <c r="A1912" s="11" t="str">
        <f t="shared" si="29"/>
        <v/>
      </c>
      <c r="B1912" s="17" t="s">
        <v>1859</v>
      </c>
      <c r="C1912" s="17" t="s">
        <v>1859</v>
      </c>
      <c r="D1912" s="17">
        <v>0</v>
      </c>
      <c r="E1912" s="17">
        <v>0</v>
      </c>
      <c r="F1912" s="7" t="str">
        <f>IF(A1912=IFERROR(VLOOKUP(A1912,CATALOGO!$B$2:$B$600,1,FALSE),"Falta"),"", "Falta")</f>
        <v>Falta</v>
      </c>
    </row>
    <row r="1913" spans="1:6" x14ac:dyDescent="0.25">
      <c r="A1913" s="11" t="str">
        <f t="shared" si="29"/>
        <v/>
      </c>
      <c r="B1913" s="17" t="s">
        <v>1859</v>
      </c>
      <c r="C1913" s="17" t="s">
        <v>2087</v>
      </c>
      <c r="D1913" s="17">
        <v>0</v>
      </c>
      <c r="E1913" s="17">
        <v>0</v>
      </c>
      <c r="F1913" s="7" t="str">
        <f>IF(A1913=IFERROR(VLOOKUP(A1913,CATALOGO!$B$2:$B$600,1,FALSE),"Falta"),"", "Falta")</f>
        <v>Falta</v>
      </c>
    </row>
    <row r="1914" spans="1:6" x14ac:dyDescent="0.25">
      <c r="A1914" s="11" t="str">
        <f t="shared" si="29"/>
        <v/>
      </c>
      <c r="B1914" s="17" t="s">
        <v>1859</v>
      </c>
      <c r="C1914" s="17" t="s">
        <v>304</v>
      </c>
      <c r="D1914" s="17">
        <v>3992.99</v>
      </c>
      <c r="E1914" s="17">
        <v>159</v>
      </c>
      <c r="F1914" s="7" t="str">
        <f>IF(A1914=IFERROR(VLOOKUP(A1914,CATALOGO!$B$2:$B$600,1,FALSE),"Falta"),"", "Falta")</f>
        <v>Falta</v>
      </c>
    </row>
    <row r="1915" spans="1:6" x14ac:dyDescent="0.25">
      <c r="A1915" s="11" t="str">
        <f t="shared" si="29"/>
        <v/>
      </c>
      <c r="B1915" s="17" t="s">
        <v>1859</v>
      </c>
      <c r="C1915" s="17" t="s">
        <v>305</v>
      </c>
      <c r="D1915" s="17">
        <v>3825.1</v>
      </c>
      <c r="E1915" s="17">
        <v>20</v>
      </c>
      <c r="F1915" s="7" t="str">
        <f>IF(A1915=IFERROR(VLOOKUP(A1915,CATALOGO!$B$2:$B$600,1,FALSE),"Falta"),"", "Falta")</f>
        <v>Falta</v>
      </c>
    </row>
    <row r="1916" spans="1:6" x14ac:dyDescent="0.25">
      <c r="A1916" s="11" t="str">
        <f t="shared" si="29"/>
        <v/>
      </c>
      <c r="B1916" s="17" t="s">
        <v>1859</v>
      </c>
      <c r="C1916" s="17" t="s">
        <v>1859</v>
      </c>
      <c r="D1916" s="17">
        <v>0</v>
      </c>
      <c r="E1916" s="17">
        <v>0</v>
      </c>
      <c r="F1916" s="7" t="str">
        <f>IF(A1916=IFERROR(VLOOKUP(A1916,CATALOGO!$B$2:$B$600,1,FALSE),"Falta"),"", "Falta")</f>
        <v>Falta</v>
      </c>
    </row>
    <row r="1917" spans="1:6" x14ac:dyDescent="0.25">
      <c r="A1917" s="11" t="str">
        <f t="shared" si="29"/>
        <v/>
      </c>
      <c r="B1917" s="17" t="s">
        <v>1859</v>
      </c>
      <c r="C1917" s="17" t="s">
        <v>2088</v>
      </c>
      <c r="D1917" s="17">
        <v>0</v>
      </c>
      <c r="E1917" s="17">
        <v>0</v>
      </c>
      <c r="F1917" s="7" t="str">
        <f>IF(A1917=IFERROR(VLOOKUP(A1917,CATALOGO!$B$2:$B$600,1,FALSE),"Falta"),"", "Falta")</f>
        <v>Falta</v>
      </c>
    </row>
    <row r="1918" spans="1:6" x14ac:dyDescent="0.25">
      <c r="A1918" s="11" t="str">
        <f t="shared" si="29"/>
        <v/>
      </c>
      <c r="B1918" s="17" t="s">
        <v>1859</v>
      </c>
      <c r="C1918" s="17" t="s">
        <v>1859</v>
      </c>
      <c r="D1918" s="17">
        <v>0</v>
      </c>
      <c r="E1918" s="17">
        <v>0</v>
      </c>
      <c r="F1918" s="7" t="str">
        <f>IF(A1918=IFERROR(VLOOKUP(A1918,CATALOGO!$B$2:$B$600,1,FALSE),"Falta"),"", "Falta")</f>
        <v>Falta</v>
      </c>
    </row>
    <row r="1919" spans="1:6" x14ac:dyDescent="0.25">
      <c r="A1919" s="11" t="str">
        <f t="shared" si="29"/>
        <v/>
      </c>
      <c r="B1919" s="17" t="s">
        <v>1859</v>
      </c>
      <c r="C1919" s="17" t="s">
        <v>2089</v>
      </c>
      <c r="D1919" s="17">
        <v>0</v>
      </c>
      <c r="E1919" s="17">
        <v>0</v>
      </c>
      <c r="F1919" s="7" t="str">
        <f>IF(A1919=IFERROR(VLOOKUP(A1919,CATALOGO!$B$2:$B$600,1,FALSE),"Falta"),"", "Falta")</f>
        <v>Falta</v>
      </c>
    </row>
    <row r="1920" spans="1:6" x14ac:dyDescent="0.25">
      <c r="A1920" s="11" t="str">
        <f t="shared" si="29"/>
        <v/>
      </c>
      <c r="B1920" s="17" t="s">
        <v>1859</v>
      </c>
      <c r="C1920" s="17" t="s">
        <v>321</v>
      </c>
      <c r="D1920" s="17">
        <v>7345.59</v>
      </c>
      <c r="E1920" s="17">
        <v>28</v>
      </c>
      <c r="F1920" s="7" t="str">
        <f>IF(A1920=IFERROR(VLOOKUP(A1920,CATALOGO!$B$2:$B$600,1,FALSE),"Falta"),"", "Falta")</f>
        <v>Falta</v>
      </c>
    </row>
    <row r="1921" spans="1:6" x14ac:dyDescent="0.25">
      <c r="A1921" s="11" t="str">
        <f t="shared" si="29"/>
        <v/>
      </c>
      <c r="B1921" s="17" t="s">
        <v>1859</v>
      </c>
      <c r="C1921" s="17" t="s">
        <v>322</v>
      </c>
      <c r="D1921" s="17">
        <v>7139</v>
      </c>
      <c r="E1921" s="17">
        <v>215</v>
      </c>
      <c r="F1921" s="7" t="str">
        <f>IF(A1921=IFERROR(VLOOKUP(A1921,CATALOGO!$B$2:$B$600,1,FALSE),"Falta"),"", "Falta")</f>
        <v>Falta</v>
      </c>
    </row>
    <row r="1922" spans="1:6" x14ac:dyDescent="0.25">
      <c r="A1922" s="11" t="str">
        <f t="shared" si="29"/>
        <v/>
      </c>
      <c r="B1922" s="17" t="s">
        <v>1859</v>
      </c>
      <c r="C1922" s="17" t="s">
        <v>2090</v>
      </c>
      <c r="D1922" s="17">
        <v>2980</v>
      </c>
      <c r="E1922" s="17">
        <v>0</v>
      </c>
      <c r="F1922" s="7" t="str">
        <f>IF(A1922=IFERROR(VLOOKUP(A1922,CATALOGO!$B$2:$B$600,1,FALSE),"Falta"),"", "Falta")</f>
        <v>Falta</v>
      </c>
    </row>
    <row r="1923" spans="1:6" x14ac:dyDescent="0.25">
      <c r="A1923" s="11" t="str">
        <f t="shared" si="29"/>
        <v/>
      </c>
      <c r="B1923" s="17" t="s">
        <v>1859</v>
      </c>
      <c r="C1923" s="17" t="s">
        <v>399</v>
      </c>
      <c r="D1923" s="17">
        <v>2661.99</v>
      </c>
      <c r="E1923" s="17">
        <v>23</v>
      </c>
      <c r="F1923" s="7" t="str">
        <f>IF(A1923=IFERROR(VLOOKUP(A1923,CATALOGO!$B$2:$B$600,1,FALSE),"Falta"),"", "Falta")</f>
        <v>Falta</v>
      </c>
    </row>
    <row r="1924" spans="1:6" x14ac:dyDescent="0.25">
      <c r="A1924" s="11" t="str">
        <f t="shared" si="29"/>
        <v/>
      </c>
      <c r="B1924" s="17" t="s">
        <v>1859</v>
      </c>
      <c r="C1924" s="17" t="s">
        <v>402</v>
      </c>
      <c r="D1924" s="17">
        <v>2355.52</v>
      </c>
      <c r="E1924" s="17">
        <v>0</v>
      </c>
      <c r="F1924" s="7" t="str">
        <f>IF(A1924=IFERROR(VLOOKUP(A1924,CATALOGO!$B$2:$B$600,1,FALSE),"Falta"),"", "Falta")</f>
        <v>Falta</v>
      </c>
    </row>
    <row r="1925" spans="1:6" x14ac:dyDescent="0.25">
      <c r="A1925" s="11" t="str">
        <f t="shared" si="29"/>
        <v/>
      </c>
      <c r="B1925" s="17" t="s">
        <v>1859</v>
      </c>
      <c r="C1925" s="17" t="s">
        <v>401</v>
      </c>
      <c r="D1925" s="17">
        <v>3197.38</v>
      </c>
      <c r="E1925" s="17">
        <v>0</v>
      </c>
      <c r="F1925" s="7" t="str">
        <f>IF(A1925=IFERROR(VLOOKUP(A1925,CATALOGO!$B$2:$B$600,1,FALSE),"Falta"),"", "Falta")</f>
        <v>Falta</v>
      </c>
    </row>
    <row r="1926" spans="1:6" x14ac:dyDescent="0.25">
      <c r="A1926" s="11" t="str">
        <f t="shared" ref="A1926:A1989" si="30">IFERROR(B1926*1,"")</f>
        <v/>
      </c>
      <c r="B1926" s="17" t="s">
        <v>1859</v>
      </c>
      <c r="C1926" s="17" t="s">
        <v>1859</v>
      </c>
      <c r="D1926" s="17">
        <v>0</v>
      </c>
      <c r="E1926" s="17">
        <v>0</v>
      </c>
      <c r="F1926" s="7" t="str">
        <f>IF(A1926=IFERROR(VLOOKUP(A1926,CATALOGO!$B$2:$B$600,1,FALSE),"Falta"),"", "Falta")</f>
        <v>Falta</v>
      </c>
    </row>
    <row r="1927" spans="1:6" x14ac:dyDescent="0.25">
      <c r="A1927" s="11" t="str">
        <f t="shared" si="30"/>
        <v/>
      </c>
      <c r="B1927" s="17" t="s">
        <v>1859</v>
      </c>
      <c r="C1927" s="17" t="s">
        <v>2091</v>
      </c>
      <c r="D1927" s="17">
        <v>0</v>
      </c>
      <c r="E1927" s="17">
        <v>0</v>
      </c>
      <c r="F1927" s="7" t="str">
        <f>IF(A1927=IFERROR(VLOOKUP(A1927,CATALOGO!$B$2:$B$600,1,FALSE),"Falta"),"", "Falta")</f>
        <v>Falta</v>
      </c>
    </row>
    <row r="1928" spans="1:6" x14ac:dyDescent="0.25">
      <c r="A1928" s="11" t="str">
        <f t="shared" si="30"/>
        <v/>
      </c>
      <c r="B1928" s="17" t="s">
        <v>1859</v>
      </c>
      <c r="C1928" s="17" t="s">
        <v>1859</v>
      </c>
      <c r="D1928" s="17">
        <v>0</v>
      </c>
      <c r="E1928" s="17">
        <v>0</v>
      </c>
      <c r="F1928" s="7" t="str">
        <f>IF(A1928=IFERROR(VLOOKUP(A1928,CATALOGO!$B$2:$B$600,1,FALSE),"Falta"),"", "Falta")</f>
        <v>Falta</v>
      </c>
    </row>
    <row r="1929" spans="1:6" x14ac:dyDescent="0.25">
      <c r="A1929" s="11" t="str">
        <f t="shared" si="30"/>
        <v/>
      </c>
      <c r="B1929" s="17" t="s">
        <v>1859</v>
      </c>
      <c r="C1929" s="17" t="s">
        <v>2092</v>
      </c>
      <c r="D1929" s="17">
        <v>0</v>
      </c>
      <c r="E1929" s="17">
        <v>0</v>
      </c>
      <c r="F1929" s="7" t="str">
        <f>IF(A1929=IFERROR(VLOOKUP(A1929,CATALOGO!$B$2:$B$600,1,FALSE),"Falta"),"", "Falta")</f>
        <v>Falta</v>
      </c>
    </row>
    <row r="1930" spans="1:6" x14ac:dyDescent="0.25">
      <c r="A1930" s="11" t="str">
        <f t="shared" si="30"/>
        <v/>
      </c>
      <c r="B1930" s="17" t="s">
        <v>1859</v>
      </c>
      <c r="C1930" s="17" t="s">
        <v>1859</v>
      </c>
      <c r="D1930" s="17">
        <v>0</v>
      </c>
      <c r="E1930" s="17">
        <v>0</v>
      </c>
      <c r="F1930" s="7" t="str">
        <f>IF(A1930=IFERROR(VLOOKUP(A1930,CATALOGO!$B$2:$B$600,1,FALSE),"Falta"),"", "Falta")</f>
        <v>Falta</v>
      </c>
    </row>
    <row r="1931" spans="1:6" x14ac:dyDescent="0.25">
      <c r="A1931" s="11" t="str">
        <f t="shared" si="30"/>
        <v/>
      </c>
      <c r="B1931" s="17" t="s">
        <v>1859</v>
      </c>
      <c r="C1931" s="17" t="s">
        <v>2093</v>
      </c>
      <c r="D1931" s="17">
        <v>0</v>
      </c>
      <c r="E1931" s="17">
        <v>0</v>
      </c>
      <c r="F1931" s="7" t="str">
        <f>IF(A1931=IFERROR(VLOOKUP(A1931,CATALOGO!$B$2:$B$600,1,FALSE),"Falta"),"", "Falta")</f>
        <v>Falta</v>
      </c>
    </row>
    <row r="1932" spans="1:6" x14ac:dyDescent="0.25">
      <c r="A1932" s="11" t="str">
        <f t="shared" si="30"/>
        <v/>
      </c>
      <c r="B1932" s="17" t="s">
        <v>1859</v>
      </c>
      <c r="C1932" s="17" t="s">
        <v>1859</v>
      </c>
      <c r="D1932" s="17">
        <v>0</v>
      </c>
      <c r="E1932" s="17">
        <v>0</v>
      </c>
      <c r="F1932" s="7" t="str">
        <f>IF(A1932=IFERROR(VLOOKUP(A1932,CATALOGO!$B$2:$B$600,1,FALSE),"Falta"),"", "Falta")</f>
        <v>Falta</v>
      </c>
    </row>
    <row r="1933" spans="1:6" x14ac:dyDescent="0.25">
      <c r="A1933" s="11" t="str">
        <f t="shared" si="30"/>
        <v/>
      </c>
      <c r="B1933" s="17" t="s">
        <v>1859</v>
      </c>
      <c r="C1933" s="17" t="s">
        <v>1859</v>
      </c>
      <c r="D1933" s="17">
        <v>0</v>
      </c>
      <c r="E1933" s="17">
        <v>0</v>
      </c>
      <c r="F1933" s="7" t="str">
        <f>IF(A1933=IFERROR(VLOOKUP(A1933,CATALOGO!$B$2:$B$600,1,FALSE),"Falta"),"", "Falta")</f>
        <v>Falta</v>
      </c>
    </row>
    <row r="1934" spans="1:6" x14ac:dyDescent="0.25">
      <c r="A1934" s="11" t="str">
        <f t="shared" si="30"/>
        <v/>
      </c>
      <c r="B1934" s="17" t="s">
        <v>1859</v>
      </c>
      <c r="C1934" s="17" t="s">
        <v>2094</v>
      </c>
      <c r="D1934" s="17">
        <v>0</v>
      </c>
      <c r="E1934" s="17">
        <v>0</v>
      </c>
      <c r="F1934" s="7" t="str">
        <f>IF(A1934=IFERROR(VLOOKUP(A1934,CATALOGO!$B$2:$B$600,1,FALSE),"Falta"),"", "Falta")</f>
        <v>Falta</v>
      </c>
    </row>
    <row r="1935" spans="1:6" x14ac:dyDescent="0.25">
      <c r="A1935" s="11" t="str">
        <f t="shared" si="30"/>
        <v/>
      </c>
      <c r="B1935" s="17" t="s">
        <v>1859</v>
      </c>
      <c r="C1935" s="17" t="s">
        <v>1859</v>
      </c>
      <c r="D1935" s="17">
        <v>0</v>
      </c>
      <c r="E1935" s="17">
        <v>0</v>
      </c>
      <c r="F1935" s="7" t="str">
        <f>IF(A1935=IFERROR(VLOOKUP(A1935,CATALOGO!$B$2:$B$600,1,FALSE),"Falta"),"", "Falta")</f>
        <v>Falta</v>
      </c>
    </row>
    <row r="1936" spans="1:6" x14ac:dyDescent="0.25">
      <c r="A1936" s="11" t="str">
        <f t="shared" si="30"/>
        <v/>
      </c>
      <c r="B1936" s="17" t="s">
        <v>1859</v>
      </c>
      <c r="C1936" s="17" t="s">
        <v>2095</v>
      </c>
      <c r="D1936" s="17">
        <v>0</v>
      </c>
      <c r="E1936" s="17">
        <v>0</v>
      </c>
      <c r="F1936" s="7" t="str">
        <f>IF(A1936=IFERROR(VLOOKUP(A1936,CATALOGO!$B$2:$B$600,1,FALSE),"Falta"),"", "Falta")</f>
        <v>Falta</v>
      </c>
    </row>
    <row r="1937" spans="1:6" x14ac:dyDescent="0.25">
      <c r="A1937" s="11" t="str">
        <f t="shared" si="30"/>
        <v/>
      </c>
      <c r="B1937" s="17" t="s">
        <v>1859</v>
      </c>
      <c r="C1937" s="17" t="s">
        <v>1859</v>
      </c>
      <c r="D1937" s="17">
        <v>0</v>
      </c>
      <c r="E1937" s="17">
        <v>0</v>
      </c>
      <c r="F1937" s="7" t="str">
        <f>IF(A1937=IFERROR(VLOOKUP(A1937,CATALOGO!$B$2:$B$600,1,FALSE),"Falta"),"", "Falta")</f>
        <v>Falta</v>
      </c>
    </row>
    <row r="1938" spans="1:6" x14ac:dyDescent="0.25">
      <c r="A1938" s="11" t="str">
        <f t="shared" si="30"/>
        <v/>
      </c>
      <c r="B1938" s="17" t="s">
        <v>1859</v>
      </c>
      <c r="C1938" s="17" t="s">
        <v>2096</v>
      </c>
      <c r="D1938" s="17">
        <v>0</v>
      </c>
      <c r="E1938" s="17">
        <v>0</v>
      </c>
      <c r="F1938" s="7" t="str">
        <f>IF(A1938=IFERROR(VLOOKUP(A1938,CATALOGO!$B$2:$B$600,1,FALSE),"Falta"),"", "Falta")</f>
        <v>Falta</v>
      </c>
    </row>
    <row r="1939" spans="1:6" x14ac:dyDescent="0.25">
      <c r="A1939" s="11" t="str">
        <f t="shared" si="30"/>
        <v/>
      </c>
      <c r="B1939" s="17" t="s">
        <v>1859</v>
      </c>
      <c r="C1939" s="17" t="s">
        <v>413</v>
      </c>
      <c r="D1939" s="17">
        <v>18149.990000000002</v>
      </c>
      <c r="E1939" s="17">
        <v>1</v>
      </c>
      <c r="F1939" s="7" t="str">
        <f>IF(A1939=IFERROR(VLOOKUP(A1939,CATALOGO!$B$2:$B$600,1,FALSE),"Falta"),"", "Falta")</f>
        <v>Falta</v>
      </c>
    </row>
    <row r="1940" spans="1:6" x14ac:dyDescent="0.25">
      <c r="A1940" s="11" t="str">
        <f t="shared" si="30"/>
        <v/>
      </c>
      <c r="B1940" s="17" t="s">
        <v>1859</v>
      </c>
      <c r="C1940" s="17" t="s">
        <v>1859</v>
      </c>
      <c r="D1940" s="17">
        <v>0</v>
      </c>
      <c r="E1940" s="17">
        <v>0</v>
      </c>
      <c r="F1940" s="7" t="str">
        <f>IF(A1940=IFERROR(VLOOKUP(A1940,CATALOGO!$B$2:$B$600,1,FALSE),"Falta"),"", "Falta")</f>
        <v>Falta</v>
      </c>
    </row>
    <row r="1941" spans="1:6" x14ac:dyDescent="0.25">
      <c r="A1941" s="11" t="str">
        <f t="shared" si="30"/>
        <v/>
      </c>
      <c r="B1941" s="17" t="s">
        <v>1859</v>
      </c>
      <c r="C1941" s="17" t="s">
        <v>2097</v>
      </c>
      <c r="D1941" s="17">
        <v>0</v>
      </c>
      <c r="E1941" s="17">
        <v>0</v>
      </c>
      <c r="F1941" s="7" t="str">
        <f>IF(A1941=IFERROR(VLOOKUP(A1941,CATALOGO!$B$2:$B$600,1,FALSE),"Falta"),"", "Falta")</f>
        <v>Falta</v>
      </c>
    </row>
    <row r="1942" spans="1:6" x14ac:dyDescent="0.25">
      <c r="A1942" s="11" t="str">
        <f t="shared" si="30"/>
        <v/>
      </c>
      <c r="B1942" s="17" t="s">
        <v>1859</v>
      </c>
      <c r="C1942" s="17" t="s">
        <v>30</v>
      </c>
      <c r="D1942" s="17">
        <v>61224.47</v>
      </c>
      <c r="E1942" s="17">
        <v>0</v>
      </c>
      <c r="F1942" s="7" t="str">
        <f>IF(A1942=IFERROR(VLOOKUP(A1942,CATALOGO!$B$2:$B$600,1,FALSE),"Falta"),"", "Falta")</f>
        <v>Falta</v>
      </c>
    </row>
    <row r="1943" spans="1:6" x14ac:dyDescent="0.25">
      <c r="A1943" s="11" t="str">
        <f t="shared" si="30"/>
        <v/>
      </c>
      <c r="B1943" s="17" t="s">
        <v>1859</v>
      </c>
      <c r="C1943" s="17" t="s">
        <v>1859</v>
      </c>
      <c r="D1943" s="17">
        <v>0</v>
      </c>
      <c r="E1943" s="17">
        <v>0</v>
      </c>
      <c r="F1943" s="7" t="str">
        <f>IF(A1943=IFERROR(VLOOKUP(A1943,CATALOGO!$B$2:$B$600,1,FALSE),"Falta"),"", "Falta")</f>
        <v>Falta</v>
      </c>
    </row>
    <row r="1944" spans="1:6" x14ac:dyDescent="0.25">
      <c r="A1944" s="11" t="str">
        <f t="shared" si="30"/>
        <v/>
      </c>
      <c r="B1944" s="17" t="s">
        <v>1859</v>
      </c>
      <c r="C1944" s="17" t="s">
        <v>2098</v>
      </c>
      <c r="D1944" s="17">
        <v>0</v>
      </c>
      <c r="E1944" s="17">
        <v>0</v>
      </c>
      <c r="F1944" s="7" t="str">
        <f>IF(A1944=IFERROR(VLOOKUP(A1944,CATALOGO!$B$2:$B$600,1,FALSE),"Falta"),"", "Falta")</f>
        <v>Falta</v>
      </c>
    </row>
    <row r="1945" spans="1:6" x14ac:dyDescent="0.25">
      <c r="A1945" s="11" t="str">
        <f t="shared" si="30"/>
        <v/>
      </c>
      <c r="B1945" s="17" t="s">
        <v>1859</v>
      </c>
      <c r="C1945" s="17" t="s">
        <v>841</v>
      </c>
      <c r="D1945" s="17">
        <v>1222.99</v>
      </c>
      <c r="E1945" s="17">
        <v>2</v>
      </c>
      <c r="F1945" s="7" t="str">
        <f>IF(A1945=IFERROR(VLOOKUP(A1945,CATALOGO!$B$2:$B$600,1,FALSE),"Falta"),"", "Falta")</f>
        <v>Falta</v>
      </c>
    </row>
    <row r="1946" spans="1:6" x14ac:dyDescent="0.25">
      <c r="A1946" s="11" t="str">
        <f t="shared" si="30"/>
        <v/>
      </c>
      <c r="B1946" s="17" t="s">
        <v>1859</v>
      </c>
      <c r="C1946" s="17" t="s">
        <v>1859</v>
      </c>
      <c r="D1946" s="17">
        <v>0</v>
      </c>
      <c r="E1946" s="17">
        <v>0</v>
      </c>
      <c r="F1946" s="7" t="str">
        <f>IF(A1946=IFERROR(VLOOKUP(A1946,CATALOGO!$B$2:$B$600,1,FALSE),"Falta"),"", "Falta")</f>
        <v>Falta</v>
      </c>
    </row>
    <row r="1947" spans="1:6" x14ac:dyDescent="0.25">
      <c r="A1947" s="11" t="str">
        <f t="shared" si="30"/>
        <v/>
      </c>
      <c r="B1947" s="17" t="s">
        <v>1859</v>
      </c>
      <c r="C1947" s="17" t="s">
        <v>2099</v>
      </c>
      <c r="D1947" s="17">
        <v>0</v>
      </c>
      <c r="E1947" s="17">
        <v>0</v>
      </c>
      <c r="F1947" s="7" t="str">
        <f>IF(A1947=IFERROR(VLOOKUP(A1947,CATALOGO!$B$2:$B$600,1,FALSE),"Falta"),"", "Falta")</f>
        <v>Falta</v>
      </c>
    </row>
    <row r="1948" spans="1:6" x14ac:dyDescent="0.25">
      <c r="A1948" s="11" t="str">
        <f t="shared" si="30"/>
        <v/>
      </c>
      <c r="B1948" s="17" t="s">
        <v>1859</v>
      </c>
      <c r="C1948" s="17" t="s">
        <v>838</v>
      </c>
      <c r="D1948" s="17">
        <v>1600</v>
      </c>
      <c r="E1948" s="17">
        <v>73</v>
      </c>
      <c r="F1948" s="7" t="str">
        <f>IF(A1948=IFERROR(VLOOKUP(A1948,CATALOGO!$B$2:$B$600,1,FALSE),"Falta"),"", "Falta")</f>
        <v>Falta</v>
      </c>
    </row>
    <row r="1949" spans="1:6" x14ac:dyDescent="0.25">
      <c r="A1949" s="11" t="str">
        <f t="shared" si="30"/>
        <v/>
      </c>
      <c r="B1949" s="17" t="s">
        <v>1859</v>
      </c>
      <c r="C1949" s="17" t="s">
        <v>1859</v>
      </c>
      <c r="D1949" s="17">
        <v>0</v>
      </c>
      <c r="E1949" s="17">
        <v>0</v>
      </c>
      <c r="F1949" s="7" t="str">
        <f>IF(A1949=IFERROR(VLOOKUP(A1949,CATALOGO!$B$2:$B$600,1,FALSE),"Falta"),"", "Falta")</f>
        <v>Falta</v>
      </c>
    </row>
    <row r="1950" spans="1:6" x14ac:dyDescent="0.25">
      <c r="A1950" s="11" t="str">
        <f t="shared" si="30"/>
        <v/>
      </c>
      <c r="B1950" s="17" t="s">
        <v>1859</v>
      </c>
      <c r="C1950" s="17" t="s">
        <v>2100</v>
      </c>
      <c r="D1950" s="17">
        <v>0</v>
      </c>
      <c r="E1950" s="17">
        <v>0</v>
      </c>
      <c r="F1950" s="7" t="str">
        <f>IF(A1950=IFERROR(VLOOKUP(A1950,CATALOGO!$B$2:$B$600,1,FALSE),"Falta"),"", "Falta")</f>
        <v>Falta</v>
      </c>
    </row>
    <row r="1951" spans="1:6" x14ac:dyDescent="0.25">
      <c r="A1951" s="11" t="str">
        <f t="shared" si="30"/>
        <v/>
      </c>
      <c r="B1951" s="17" t="s">
        <v>1859</v>
      </c>
      <c r="C1951" s="17" t="s">
        <v>1859</v>
      </c>
      <c r="D1951" s="17">
        <v>0</v>
      </c>
      <c r="E1951" s="17">
        <v>0</v>
      </c>
      <c r="F1951" s="7" t="str">
        <f>IF(A1951=IFERROR(VLOOKUP(A1951,CATALOGO!$B$2:$B$600,1,FALSE),"Falta"),"", "Falta")</f>
        <v>Falta</v>
      </c>
    </row>
    <row r="1952" spans="1:6" x14ac:dyDescent="0.25">
      <c r="A1952" s="11" t="str">
        <f t="shared" si="30"/>
        <v/>
      </c>
      <c r="B1952" s="17" t="s">
        <v>1859</v>
      </c>
      <c r="C1952" s="17" t="s">
        <v>2101</v>
      </c>
      <c r="D1952" s="17">
        <v>0</v>
      </c>
      <c r="E1952" s="17">
        <v>0</v>
      </c>
      <c r="F1952" s="7" t="str">
        <f>IF(A1952=IFERROR(VLOOKUP(A1952,CATALOGO!$B$2:$B$600,1,FALSE),"Falta"),"", "Falta")</f>
        <v>Falta</v>
      </c>
    </row>
    <row r="1953" spans="1:6" x14ac:dyDescent="0.25">
      <c r="A1953" s="11" t="str">
        <f t="shared" si="30"/>
        <v/>
      </c>
      <c r="B1953" s="17" t="s">
        <v>1859</v>
      </c>
      <c r="C1953" s="17" t="s">
        <v>1859</v>
      </c>
      <c r="D1953" s="17">
        <v>0</v>
      </c>
      <c r="E1953" s="17">
        <v>0</v>
      </c>
      <c r="F1953" s="7" t="str">
        <f>IF(A1953=IFERROR(VLOOKUP(A1953,CATALOGO!$B$2:$B$600,1,FALSE),"Falta"),"", "Falta")</f>
        <v>Falta</v>
      </c>
    </row>
    <row r="1954" spans="1:6" x14ac:dyDescent="0.25">
      <c r="A1954" s="11" t="str">
        <f t="shared" si="30"/>
        <v/>
      </c>
      <c r="B1954" s="17" t="s">
        <v>1859</v>
      </c>
      <c r="C1954" s="17" t="s">
        <v>2102</v>
      </c>
      <c r="D1954" s="17">
        <v>0</v>
      </c>
      <c r="E1954" s="17">
        <v>0</v>
      </c>
      <c r="F1954" s="7" t="str">
        <f>IF(A1954=IFERROR(VLOOKUP(A1954,CATALOGO!$B$2:$B$600,1,FALSE),"Falta"),"", "Falta")</f>
        <v>Falta</v>
      </c>
    </row>
    <row r="1955" spans="1:6" x14ac:dyDescent="0.25">
      <c r="A1955" s="11" t="str">
        <f t="shared" si="30"/>
        <v/>
      </c>
      <c r="B1955" s="17" t="s">
        <v>1859</v>
      </c>
      <c r="C1955" s="17" t="s">
        <v>860</v>
      </c>
      <c r="D1955" s="17">
        <v>304.39999999999998</v>
      </c>
      <c r="E1955" s="17">
        <v>0</v>
      </c>
      <c r="F1955" s="7" t="str">
        <f>IF(A1955=IFERROR(VLOOKUP(A1955,CATALOGO!$B$2:$B$600,1,FALSE),"Falta"),"", "Falta")</f>
        <v>Falta</v>
      </c>
    </row>
    <row r="1956" spans="1:6" x14ac:dyDescent="0.25">
      <c r="A1956" s="11" t="str">
        <f t="shared" si="30"/>
        <v/>
      </c>
      <c r="B1956" s="17" t="s">
        <v>1859</v>
      </c>
      <c r="C1956" s="17" t="s">
        <v>1859</v>
      </c>
      <c r="D1956" s="17">
        <v>0</v>
      </c>
      <c r="E1956" s="17">
        <v>0</v>
      </c>
      <c r="F1956" s="7" t="str">
        <f>IF(A1956=IFERROR(VLOOKUP(A1956,CATALOGO!$B$2:$B$600,1,FALSE),"Falta"),"", "Falta")</f>
        <v>Falta</v>
      </c>
    </row>
    <row r="1957" spans="1:6" x14ac:dyDescent="0.25">
      <c r="A1957" s="11" t="str">
        <f t="shared" si="30"/>
        <v/>
      </c>
      <c r="B1957" s="17" t="s">
        <v>1859</v>
      </c>
      <c r="C1957" s="17" t="s">
        <v>1859</v>
      </c>
      <c r="D1957" s="17">
        <v>0</v>
      </c>
      <c r="E1957" s="17">
        <v>0</v>
      </c>
      <c r="F1957" s="7" t="str">
        <f>IF(A1957=IFERROR(VLOOKUP(A1957,CATALOGO!$B$2:$B$600,1,FALSE),"Falta"),"", "Falta")</f>
        <v>Falta</v>
      </c>
    </row>
    <row r="1958" spans="1:6" x14ac:dyDescent="0.25">
      <c r="A1958" s="11" t="str">
        <f t="shared" si="30"/>
        <v/>
      </c>
      <c r="B1958" s="17" t="s">
        <v>1859</v>
      </c>
      <c r="C1958" s="17" t="s">
        <v>2103</v>
      </c>
      <c r="D1958" s="17">
        <v>0</v>
      </c>
      <c r="E1958" s="17">
        <v>0</v>
      </c>
      <c r="F1958" s="7" t="str">
        <f>IF(A1958=IFERROR(VLOOKUP(A1958,CATALOGO!$B$2:$B$600,1,FALSE),"Falta"),"", "Falta")</f>
        <v>Falta</v>
      </c>
    </row>
    <row r="1959" spans="1:6" x14ac:dyDescent="0.25">
      <c r="A1959" s="11" t="str">
        <f t="shared" si="30"/>
        <v/>
      </c>
      <c r="B1959" s="17" t="s">
        <v>1859</v>
      </c>
      <c r="C1959" s="17" t="s">
        <v>1859</v>
      </c>
      <c r="D1959" s="17">
        <v>0</v>
      </c>
      <c r="E1959" s="17">
        <v>0</v>
      </c>
      <c r="F1959" s="7" t="str">
        <f>IF(A1959=IFERROR(VLOOKUP(A1959,CATALOGO!$B$2:$B$600,1,FALSE),"Falta"),"", "Falta")</f>
        <v>Falta</v>
      </c>
    </row>
    <row r="1960" spans="1:6" x14ac:dyDescent="0.25">
      <c r="A1960" s="11" t="str">
        <f t="shared" si="30"/>
        <v/>
      </c>
      <c r="B1960" s="17" t="s">
        <v>1859</v>
      </c>
      <c r="C1960" s="17" t="s">
        <v>2104</v>
      </c>
      <c r="D1960" s="17">
        <v>0</v>
      </c>
      <c r="E1960" s="17">
        <v>0</v>
      </c>
      <c r="F1960" s="7" t="str">
        <f>IF(A1960=IFERROR(VLOOKUP(A1960,CATALOGO!$B$2:$B$600,1,FALSE),"Falta"),"", "Falta")</f>
        <v>Falta</v>
      </c>
    </row>
    <row r="1961" spans="1:6" x14ac:dyDescent="0.25">
      <c r="A1961" s="11" t="str">
        <f t="shared" si="30"/>
        <v/>
      </c>
      <c r="B1961" s="17" t="s">
        <v>1859</v>
      </c>
      <c r="C1961" s="17" t="s">
        <v>1859</v>
      </c>
      <c r="D1961" s="17">
        <v>0</v>
      </c>
      <c r="E1961" s="17">
        <v>0</v>
      </c>
      <c r="F1961" s="7" t="str">
        <f>IF(A1961=IFERROR(VLOOKUP(A1961,CATALOGO!$B$2:$B$600,1,FALSE),"Falta"),"", "Falta")</f>
        <v>Falta</v>
      </c>
    </row>
    <row r="1962" spans="1:6" x14ac:dyDescent="0.25">
      <c r="A1962" s="11" t="str">
        <f t="shared" si="30"/>
        <v/>
      </c>
      <c r="B1962" s="17" t="s">
        <v>1859</v>
      </c>
      <c r="C1962" s="17" t="s">
        <v>2105</v>
      </c>
      <c r="D1962" s="17">
        <v>0</v>
      </c>
      <c r="E1962" s="17">
        <v>0</v>
      </c>
      <c r="F1962" s="7" t="str">
        <f>IF(A1962=IFERROR(VLOOKUP(A1962,CATALOGO!$B$2:$B$600,1,FALSE),"Falta"),"", "Falta")</f>
        <v>Falta</v>
      </c>
    </row>
    <row r="1963" spans="1:6" x14ac:dyDescent="0.25">
      <c r="A1963" s="11" t="str">
        <f t="shared" si="30"/>
        <v/>
      </c>
      <c r="B1963" s="17" t="s">
        <v>1859</v>
      </c>
      <c r="C1963" s="17" t="s">
        <v>2106</v>
      </c>
      <c r="D1963" s="17">
        <v>900</v>
      </c>
      <c r="E1963" s="17">
        <v>0</v>
      </c>
      <c r="F1963" s="7" t="str">
        <f>IF(A1963=IFERROR(VLOOKUP(A1963,CATALOGO!$B$2:$B$600,1,FALSE),"Falta"),"", "Falta")</f>
        <v>Falta</v>
      </c>
    </row>
    <row r="1964" spans="1:6" x14ac:dyDescent="0.25">
      <c r="A1964" s="11" t="str">
        <f t="shared" si="30"/>
        <v/>
      </c>
      <c r="B1964" s="17" t="s">
        <v>1859</v>
      </c>
      <c r="C1964" s="17" t="s">
        <v>1859</v>
      </c>
      <c r="D1964" s="17">
        <v>0</v>
      </c>
      <c r="E1964" s="17">
        <v>0</v>
      </c>
      <c r="F1964" s="7" t="str">
        <f>IF(A1964=IFERROR(VLOOKUP(A1964,CATALOGO!$B$2:$B$600,1,FALSE),"Falta"),"", "Falta")</f>
        <v>Falta</v>
      </c>
    </row>
    <row r="1965" spans="1:6" x14ac:dyDescent="0.25">
      <c r="A1965" s="11" t="str">
        <f t="shared" si="30"/>
        <v/>
      </c>
      <c r="B1965" s="16" t="s">
        <v>1859</v>
      </c>
      <c r="C1965" s="16" t="s">
        <v>2107</v>
      </c>
      <c r="D1965" s="16">
        <v>0</v>
      </c>
      <c r="E1965" s="16">
        <v>0</v>
      </c>
      <c r="F1965" s="7" t="str">
        <f>IF(A1965=IFERROR(VLOOKUP(A1965,CATALOGO!$B$2:$B$600,1,FALSE),"Falta"),"", "Falta")</f>
        <v>Falta</v>
      </c>
    </row>
    <row r="1966" spans="1:6" x14ac:dyDescent="0.25">
      <c r="A1966" s="11" t="str">
        <f t="shared" si="30"/>
        <v/>
      </c>
      <c r="B1966" s="16" t="s">
        <v>1859</v>
      </c>
      <c r="C1966" s="16" t="s">
        <v>1859</v>
      </c>
      <c r="D1966" s="16">
        <v>0</v>
      </c>
      <c r="E1966" s="16">
        <v>0</v>
      </c>
      <c r="F1966" s="7" t="str">
        <f>IF(A1966=IFERROR(VLOOKUP(A1966,CATALOGO!$B$2:$B$600,1,FALSE),"Falta"),"", "Falta")</f>
        <v>Falta</v>
      </c>
    </row>
    <row r="1967" spans="1:6" x14ac:dyDescent="0.25">
      <c r="A1967" s="11" t="str">
        <f t="shared" si="30"/>
        <v/>
      </c>
      <c r="B1967" s="16" t="s">
        <v>1859</v>
      </c>
      <c r="C1967" s="16" t="s">
        <v>2108</v>
      </c>
      <c r="D1967" s="16">
        <v>0</v>
      </c>
      <c r="E1967" s="16">
        <v>0</v>
      </c>
      <c r="F1967" s="7" t="str">
        <f>IF(A1967=IFERROR(VLOOKUP(A1967,CATALOGO!$B$2:$B$600,1,FALSE),"Falta"),"", "Falta")</f>
        <v>Falta</v>
      </c>
    </row>
    <row r="1968" spans="1:6" x14ac:dyDescent="0.25">
      <c r="A1968" s="11" t="str">
        <f t="shared" si="30"/>
        <v/>
      </c>
      <c r="B1968" s="15" t="s">
        <v>1859</v>
      </c>
      <c r="C1968" s="15" t="s">
        <v>1859</v>
      </c>
      <c r="D1968" s="15">
        <v>0</v>
      </c>
      <c r="E1968" s="15">
        <v>0</v>
      </c>
      <c r="F1968" s="7" t="str">
        <f>IF(A1968=IFERROR(VLOOKUP(A1968,CATALOGO!$B$2:$B$600,1,FALSE),"Falta"),"", "Falta")</f>
        <v>Falta</v>
      </c>
    </row>
    <row r="1969" spans="1:6" x14ac:dyDescent="0.25">
      <c r="A1969" s="11" t="str">
        <f t="shared" si="30"/>
        <v/>
      </c>
      <c r="B1969" s="15" t="s">
        <v>1859</v>
      </c>
      <c r="C1969" s="15" t="s">
        <v>2109</v>
      </c>
      <c r="D1969" s="15">
        <v>0</v>
      </c>
      <c r="E1969" s="15">
        <v>0</v>
      </c>
      <c r="F1969" s="7" t="str">
        <f>IF(A1969=IFERROR(VLOOKUP(A1969,CATALOGO!$B$2:$B$600,1,FALSE),"Falta"),"", "Falta")</f>
        <v>Falta</v>
      </c>
    </row>
    <row r="1970" spans="1:6" x14ac:dyDescent="0.25">
      <c r="A1970" s="11" t="str">
        <f t="shared" si="30"/>
        <v/>
      </c>
      <c r="B1970" s="15" t="s">
        <v>1859</v>
      </c>
      <c r="C1970" s="15" t="s">
        <v>1859</v>
      </c>
      <c r="D1970" s="15">
        <v>0</v>
      </c>
      <c r="E1970" s="15">
        <v>0</v>
      </c>
      <c r="F1970" s="7" t="str">
        <f>IF(A1970=IFERROR(VLOOKUP(A1970,CATALOGO!$B$2:$B$600,1,FALSE),"Falta"),"", "Falta")</f>
        <v>Falta</v>
      </c>
    </row>
    <row r="1971" spans="1:6" x14ac:dyDescent="0.25">
      <c r="A1971" s="11" t="str">
        <f t="shared" si="30"/>
        <v/>
      </c>
      <c r="B1971" s="15" t="s">
        <v>1859</v>
      </c>
      <c r="C1971" s="15" t="s">
        <v>2110</v>
      </c>
      <c r="D1971" s="15">
        <v>0</v>
      </c>
      <c r="E1971" s="15">
        <v>0</v>
      </c>
      <c r="F1971" s="7" t="str">
        <f>IF(A1971=IFERROR(VLOOKUP(A1971,CATALOGO!$B$2:$B$600,1,FALSE),"Falta"),"", "Falta")</f>
        <v>Falta</v>
      </c>
    </row>
    <row r="1972" spans="1:6" x14ac:dyDescent="0.25">
      <c r="A1972" s="11" t="str">
        <f t="shared" si="30"/>
        <v/>
      </c>
      <c r="B1972" s="15" t="s">
        <v>1859</v>
      </c>
      <c r="C1972" s="15" t="s">
        <v>1859</v>
      </c>
      <c r="D1972" s="15">
        <v>0</v>
      </c>
      <c r="E1972" s="15">
        <v>0</v>
      </c>
      <c r="F1972" s="7" t="str">
        <f>IF(A1972=IFERROR(VLOOKUP(A1972,CATALOGO!$B$2:$B$600,1,FALSE),"Falta"),"", "Falta")</f>
        <v>Falta</v>
      </c>
    </row>
    <row r="1973" spans="1:6" x14ac:dyDescent="0.25">
      <c r="A1973" s="11" t="str">
        <f t="shared" si="30"/>
        <v/>
      </c>
      <c r="B1973" s="6" t="s">
        <v>1859</v>
      </c>
      <c r="C1973" s="6" t="s">
        <v>2111</v>
      </c>
      <c r="D1973" s="6">
        <v>0</v>
      </c>
      <c r="E1973" s="1">
        <v>0</v>
      </c>
      <c r="F1973" s="7" t="str">
        <f>IF(A1973=IFERROR(VLOOKUP(A1973,CATALOGO!$B$2:$B$600,1,FALSE),"Falta"),"", "Falta")</f>
        <v>Falta</v>
      </c>
    </row>
    <row r="1974" spans="1:6" x14ac:dyDescent="0.25">
      <c r="A1974" s="11" t="str">
        <f t="shared" si="30"/>
        <v/>
      </c>
      <c r="B1974" s="6" t="s">
        <v>1859</v>
      </c>
      <c r="C1974" s="6" t="s">
        <v>1859</v>
      </c>
      <c r="D1974" s="6">
        <v>0</v>
      </c>
      <c r="E1974" s="1">
        <v>0</v>
      </c>
      <c r="F1974" s="7" t="str">
        <f>IF(A1974=IFERROR(VLOOKUP(A1974,CATALOGO!$B$2:$B$600,1,FALSE),"Falta"),"", "Falta")</f>
        <v>Falta</v>
      </c>
    </row>
    <row r="1975" spans="1:6" x14ac:dyDescent="0.25">
      <c r="A1975" s="11" t="str">
        <f t="shared" si="30"/>
        <v/>
      </c>
      <c r="B1975" s="6" t="s">
        <v>1859</v>
      </c>
      <c r="C1975" s="6" t="s">
        <v>2112</v>
      </c>
      <c r="D1975" s="6">
        <v>0</v>
      </c>
      <c r="E1975" s="1">
        <v>0</v>
      </c>
      <c r="F1975" s="7" t="str">
        <f>IF(A1975=IFERROR(VLOOKUP(A1975,CATALOGO!$B$2:$B$600,1,FALSE),"Falta"),"", "Falta")</f>
        <v>Falta</v>
      </c>
    </row>
    <row r="1976" spans="1:6" x14ac:dyDescent="0.25">
      <c r="A1976" s="11" t="str">
        <f t="shared" si="30"/>
        <v/>
      </c>
      <c r="B1976" s="6" t="s">
        <v>1859</v>
      </c>
      <c r="C1976" s="6" t="s">
        <v>1859</v>
      </c>
      <c r="D1976" s="6">
        <v>0</v>
      </c>
      <c r="E1976" s="1">
        <v>0</v>
      </c>
      <c r="F1976" s="7" t="str">
        <f>IF(A1976=IFERROR(VLOOKUP(A1976,CATALOGO!$B$2:$B$600,1,FALSE),"Falta"),"", "Falta")</f>
        <v>Falta</v>
      </c>
    </row>
    <row r="1977" spans="1:6" x14ac:dyDescent="0.25">
      <c r="A1977" s="11" t="str">
        <f t="shared" si="30"/>
        <v/>
      </c>
      <c r="B1977" s="6" t="s">
        <v>1859</v>
      </c>
      <c r="C1977" s="6" t="s">
        <v>2113</v>
      </c>
      <c r="D1977" s="6">
        <v>0</v>
      </c>
      <c r="E1977" s="1">
        <v>0</v>
      </c>
      <c r="F1977" s="7" t="str">
        <f>IF(A1977=IFERROR(VLOOKUP(A1977,CATALOGO!$B$2:$B$600,1,FALSE),"Falta"),"", "Falta")</f>
        <v>Falta</v>
      </c>
    </row>
    <row r="1978" spans="1:6" x14ac:dyDescent="0.25">
      <c r="A1978" s="11" t="str">
        <f t="shared" si="30"/>
        <v/>
      </c>
      <c r="B1978" s="6" t="s">
        <v>1859</v>
      </c>
      <c r="C1978" s="6" t="s">
        <v>1859</v>
      </c>
      <c r="D1978" s="6">
        <v>0</v>
      </c>
      <c r="E1978" s="1">
        <v>0</v>
      </c>
      <c r="F1978" s="7" t="str">
        <f>IF(A1978=IFERROR(VLOOKUP(A1978,CATALOGO!$B$2:$B$600,1,FALSE),"Falta"),"", "Falta")</f>
        <v>Falta</v>
      </c>
    </row>
    <row r="1979" spans="1:6" x14ac:dyDescent="0.25">
      <c r="A1979" s="11" t="str">
        <f t="shared" si="30"/>
        <v/>
      </c>
      <c r="B1979" s="6" t="s">
        <v>1859</v>
      </c>
      <c r="C1979" s="6" t="s">
        <v>2114</v>
      </c>
      <c r="D1979" s="6">
        <v>0</v>
      </c>
      <c r="E1979" s="1">
        <v>0</v>
      </c>
      <c r="F1979" s="7" t="str">
        <f>IF(A1979=IFERROR(VLOOKUP(A1979,CATALOGO!$B$2:$B$600,1,FALSE),"Falta"),"", "Falta")</f>
        <v>Falta</v>
      </c>
    </row>
    <row r="1980" spans="1:6" x14ac:dyDescent="0.25">
      <c r="A1980" s="11" t="str">
        <f t="shared" si="30"/>
        <v/>
      </c>
      <c r="B1980" s="6" t="s">
        <v>1859</v>
      </c>
      <c r="C1980" s="6" t="s">
        <v>1859</v>
      </c>
      <c r="D1980" s="6">
        <v>0</v>
      </c>
      <c r="E1980" s="1">
        <v>0</v>
      </c>
      <c r="F1980" s="7" t="str">
        <f>IF(A1980=IFERROR(VLOOKUP(A1980,CATALOGO!$B$2:$B$600,1,FALSE),"Falta"),"", "Falta")</f>
        <v>Falta</v>
      </c>
    </row>
    <row r="1981" spans="1:6" x14ac:dyDescent="0.25">
      <c r="A1981" s="11" t="str">
        <f t="shared" si="30"/>
        <v/>
      </c>
      <c r="B1981" s="6" t="s">
        <v>1859</v>
      </c>
      <c r="C1981" s="6" t="s">
        <v>2115</v>
      </c>
      <c r="D1981" s="6">
        <v>0</v>
      </c>
      <c r="E1981" s="1">
        <v>0</v>
      </c>
      <c r="F1981" s="7" t="str">
        <f>IF(A1981=IFERROR(VLOOKUP(A1981,CATALOGO!$B$2:$B$600,1,FALSE),"Falta"),"", "Falta")</f>
        <v>Falta</v>
      </c>
    </row>
    <row r="1982" spans="1:6" x14ac:dyDescent="0.25">
      <c r="A1982" s="11" t="str">
        <f t="shared" si="30"/>
        <v/>
      </c>
      <c r="B1982" s="6" t="s">
        <v>1859</v>
      </c>
      <c r="C1982" s="6" t="s">
        <v>1859</v>
      </c>
      <c r="D1982" s="6">
        <v>0</v>
      </c>
      <c r="E1982" s="1">
        <v>0</v>
      </c>
      <c r="F1982" s="7" t="str">
        <f>IF(A1982=IFERROR(VLOOKUP(A1982,CATALOGO!$B$2:$B$600,1,FALSE),"Falta"),"", "Falta")</f>
        <v>Falta</v>
      </c>
    </row>
    <row r="1983" spans="1:6" x14ac:dyDescent="0.25">
      <c r="A1983" s="11" t="str">
        <f t="shared" si="30"/>
        <v/>
      </c>
      <c r="B1983" s="6" t="s">
        <v>1859</v>
      </c>
      <c r="C1983" s="6" t="s">
        <v>2116</v>
      </c>
      <c r="D1983" s="6">
        <v>0</v>
      </c>
      <c r="E1983" s="1">
        <v>0</v>
      </c>
      <c r="F1983" s="7" t="str">
        <f>IF(A1983=IFERROR(VLOOKUP(A1983,CATALOGO!$B$2:$B$600,1,FALSE),"Falta"),"", "Falta")</f>
        <v>Falta</v>
      </c>
    </row>
    <row r="1984" spans="1:6" x14ac:dyDescent="0.25">
      <c r="A1984" s="11" t="str">
        <f t="shared" si="30"/>
        <v/>
      </c>
      <c r="B1984" s="6" t="s">
        <v>1859</v>
      </c>
      <c r="C1984" s="6" t="s">
        <v>1859</v>
      </c>
      <c r="D1984" s="6">
        <v>0</v>
      </c>
      <c r="E1984" s="1">
        <v>0</v>
      </c>
      <c r="F1984" s="7" t="str">
        <f>IF(A1984=IFERROR(VLOOKUP(A1984,CATALOGO!$B$2:$B$600,1,FALSE),"Falta"),"", "Falta")</f>
        <v>Falta</v>
      </c>
    </row>
    <row r="1985" spans="1:6" x14ac:dyDescent="0.25">
      <c r="A1985" s="11" t="str">
        <f t="shared" si="30"/>
        <v/>
      </c>
      <c r="B1985" s="6" t="s">
        <v>1859</v>
      </c>
      <c r="C1985" s="6" t="s">
        <v>2117</v>
      </c>
      <c r="D1985" s="6">
        <v>0</v>
      </c>
      <c r="E1985" s="1">
        <v>0</v>
      </c>
      <c r="F1985" s="7" t="str">
        <f>IF(A1985=IFERROR(VLOOKUP(A1985,CATALOGO!$B$2:$B$600,1,FALSE),"Falta"),"", "Falta")</f>
        <v>Falta</v>
      </c>
    </row>
    <row r="1986" spans="1:6" x14ac:dyDescent="0.25">
      <c r="A1986" s="11" t="str">
        <f t="shared" si="30"/>
        <v/>
      </c>
      <c r="B1986" s="6" t="s">
        <v>1859</v>
      </c>
      <c r="C1986" s="6" t="s">
        <v>1859</v>
      </c>
      <c r="D1986" s="6">
        <v>0</v>
      </c>
      <c r="E1986" s="1">
        <v>0</v>
      </c>
      <c r="F1986" s="7" t="str">
        <f>IF(A1986=IFERROR(VLOOKUP(A1986,CATALOGO!$B$2:$B$600,1,FALSE),"Falta"),"", "Falta")</f>
        <v>Falta</v>
      </c>
    </row>
    <row r="1987" spans="1:6" x14ac:dyDescent="0.25">
      <c r="A1987" s="11" t="str">
        <f t="shared" si="30"/>
        <v/>
      </c>
      <c r="B1987" s="6" t="s">
        <v>1859</v>
      </c>
      <c r="C1987" s="6" t="s">
        <v>2118</v>
      </c>
      <c r="D1987" s="6">
        <v>0</v>
      </c>
      <c r="E1987" s="1">
        <v>0</v>
      </c>
      <c r="F1987" s="7" t="str">
        <f>IF(A1987=IFERROR(VLOOKUP(A1987,CATALOGO!$B$2:$B$600,1,FALSE),"Falta"),"", "Falta")</f>
        <v>Falta</v>
      </c>
    </row>
    <row r="1988" spans="1:6" x14ac:dyDescent="0.25">
      <c r="A1988" s="11" t="str">
        <f t="shared" si="30"/>
        <v/>
      </c>
      <c r="B1988" s="6" t="s">
        <v>1859</v>
      </c>
      <c r="C1988" s="6" t="s">
        <v>1859</v>
      </c>
      <c r="D1988" s="6">
        <v>0</v>
      </c>
      <c r="E1988" s="1">
        <v>0</v>
      </c>
      <c r="F1988" s="7" t="str">
        <f>IF(A1988=IFERROR(VLOOKUP(A1988,CATALOGO!$B$2:$B$600,1,FALSE),"Falta"),"", "Falta")</f>
        <v>Falta</v>
      </c>
    </row>
    <row r="1989" spans="1:6" x14ac:dyDescent="0.25">
      <c r="A1989" s="11" t="str">
        <f t="shared" si="30"/>
        <v/>
      </c>
      <c r="B1989" s="6" t="s">
        <v>1859</v>
      </c>
      <c r="C1989" s="6" t="s">
        <v>2119</v>
      </c>
      <c r="D1989" s="6">
        <v>0</v>
      </c>
      <c r="E1989" s="1">
        <v>0</v>
      </c>
      <c r="F1989" s="7" t="str">
        <f>IF(A1989=IFERROR(VLOOKUP(A1989,CATALOGO!$B$2:$B$600,1,FALSE),"Falta"),"", "Falta")</f>
        <v>Falta</v>
      </c>
    </row>
    <row r="1990" spans="1:6" x14ac:dyDescent="0.25">
      <c r="A1990" s="11" t="str">
        <f t="shared" ref="A1990:A2053" si="31">IFERROR(B1990*1,"")</f>
        <v/>
      </c>
      <c r="B1990" s="6" t="s">
        <v>1859</v>
      </c>
      <c r="C1990" s="6" t="s">
        <v>1859</v>
      </c>
      <c r="D1990" s="6">
        <v>0</v>
      </c>
      <c r="E1990" s="1">
        <v>0</v>
      </c>
      <c r="F1990" s="7" t="str">
        <f>IF(A1990=IFERROR(VLOOKUP(A1990,CATALOGO!$B$2:$B$600,1,FALSE),"Falta"),"", "Falta")</f>
        <v>Falta</v>
      </c>
    </row>
    <row r="1991" spans="1:6" x14ac:dyDescent="0.25">
      <c r="A1991" s="11" t="str">
        <f t="shared" si="31"/>
        <v/>
      </c>
      <c r="B1991" s="6" t="s">
        <v>1859</v>
      </c>
      <c r="C1991" s="6" t="s">
        <v>2120</v>
      </c>
      <c r="D1991" s="6">
        <v>0</v>
      </c>
      <c r="E1991" s="1">
        <v>0</v>
      </c>
      <c r="F1991" s="7" t="str">
        <f>IF(A1991=IFERROR(VLOOKUP(A1991,CATALOGO!$B$2:$B$600,1,FALSE),"Falta"),"", "Falta")</f>
        <v>Falta</v>
      </c>
    </row>
    <row r="1992" spans="1:6" x14ac:dyDescent="0.25">
      <c r="A1992" s="11" t="str">
        <f t="shared" si="31"/>
        <v/>
      </c>
      <c r="B1992" s="6" t="s">
        <v>1859</v>
      </c>
      <c r="C1992" s="6" t="s">
        <v>1067</v>
      </c>
      <c r="D1992" s="6">
        <v>6600</v>
      </c>
      <c r="E1992" s="1">
        <v>3</v>
      </c>
      <c r="F1992" s="7" t="str">
        <f>IF(A1992=IFERROR(VLOOKUP(A1992,CATALOGO!$B$2:$B$600,1,FALSE),"Falta"),"", "Falta")</f>
        <v>Falta</v>
      </c>
    </row>
    <row r="1993" spans="1:6" x14ac:dyDescent="0.25">
      <c r="A1993" s="11" t="str">
        <f t="shared" si="31"/>
        <v/>
      </c>
      <c r="B1993" s="6" t="s">
        <v>1859</v>
      </c>
      <c r="C1993" s="6" t="s">
        <v>1068</v>
      </c>
      <c r="D1993" s="6">
        <v>3000</v>
      </c>
      <c r="E1993" s="1">
        <v>3</v>
      </c>
      <c r="F1993" s="7" t="str">
        <f>IF(A1993=IFERROR(VLOOKUP(A1993,CATALOGO!$B$2:$B$600,1,FALSE),"Falta"),"", "Falta")</f>
        <v>Falta</v>
      </c>
    </row>
    <row r="1994" spans="1:6" x14ac:dyDescent="0.25">
      <c r="A1994" s="11" t="str">
        <f t="shared" si="31"/>
        <v/>
      </c>
      <c r="B1994" s="6" t="s">
        <v>1859</v>
      </c>
      <c r="C1994" s="6" t="s">
        <v>1859</v>
      </c>
      <c r="D1994" s="6">
        <v>0</v>
      </c>
      <c r="E1994" s="1">
        <v>0</v>
      </c>
      <c r="F1994" s="7" t="str">
        <f>IF(A1994=IFERROR(VLOOKUP(A1994,CATALOGO!$B$2:$B$600,1,FALSE),"Falta"),"", "Falta")</f>
        <v>Falta</v>
      </c>
    </row>
    <row r="1995" spans="1:6" x14ac:dyDescent="0.25">
      <c r="A1995" s="11" t="str">
        <f t="shared" si="31"/>
        <v/>
      </c>
      <c r="B1995" s="6" t="s">
        <v>1859</v>
      </c>
      <c r="C1995" s="6" t="s">
        <v>2121</v>
      </c>
      <c r="D1995" s="6">
        <v>0</v>
      </c>
      <c r="E1995" s="1">
        <v>0</v>
      </c>
      <c r="F1995" s="7" t="str">
        <f>IF(A1995=IFERROR(VLOOKUP(A1995,CATALOGO!$B$2:$B$600,1,FALSE),"Falta"),"", "Falta")</f>
        <v>Falta</v>
      </c>
    </row>
    <row r="1996" spans="1:6" x14ac:dyDescent="0.25">
      <c r="A1996" s="11" t="str">
        <f t="shared" si="31"/>
        <v/>
      </c>
      <c r="B1996" s="6" t="s">
        <v>1859</v>
      </c>
      <c r="C1996" s="6" t="s">
        <v>1859</v>
      </c>
      <c r="D1996" s="6">
        <v>0</v>
      </c>
      <c r="E1996" s="1">
        <v>0</v>
      </c>
      <c r="F1996" s="7" t="str">
        <f>IF(A1996=IFERROR(VLOOKUP(A1996,CATALOGO!$B$2:$B$600,1,FALSE),"Falta"),"", "Falta")</f>
        <v>Falta</v>
      </c>
    </row>
    <row r="1997" spans="1:6" x14ac:dyDescent="0.25">
      <c r="A1997" s="11" t="str">
        <f t="shared" si="31"/>
        <v/>
      </c>
      <c r="B1997" s="6" t="s">
        <v>1859</v>
      </c>
      <c r="C1997" s="6" t="s">
        <v>2122</v>
      </c>
      <c r="D1997" s="6">
        <v>0</v>
      </c>
      <c r="E1997" s="1">
        <v>0</v>
      </c>
      <c r="F1997" s="7" t="str">
        <f>IF(A1997=IFERROR(VLOOKUP(A1997,CATALOGO!$B$2:$B$600,1,FALSE),"Falta"),"", "Falta")</f>
        <v>Falta</v>
      </c>
    </row>
    <row r="1998" spans="1:6" x14ac:dyDescent="0.25">
      <c r="A1998" s="11" t="str">
        <f t="shared" si="31"/>
        <v/>
      </c>
      <c r="B1998" s="6" t="s">
        <v>1859</v>
      </c>
      <c r="C1998" s="6" t="s">
        <v>1069</v>
      </c>
      <c r="D1998" s="6">
        <v>12000</v>
      </c>
      <c r="E1998" s="1">
        <v>3</v>
      </c>
      <c r="F1998" s="7" t="str">
        <f>IF(A1998=IFERROR(VLOOKUP(A1998,CATALOGO!$B$2:$B$600,1,FALSE),"Falta"),"", "Falta")</f>
        <v>Falta</v>
      </c>
    </row>
    <row r="1999" spans="1:6" x14ac:dyDescent="0.25">
      <c r="A1999" s="11" t="str">
        <f t="shared" si="31"/>
        <v/>
      </c>
      <c r="B1999" s="6" t="s">
        <v>1859</v>
      </c>
      <c r="C1999" s="6" t="s">
        <v>850</v>
      </c>
      <c r="D1999" s="6">
        <v>4123.57</v>
      </c>
      <c r="E1999" s="1">
        <v>1</v>
      </c>
      <c r="F1999" s="7" t="str">
        <f>IF(A1999=IFERROR(VLOOKUP(A1999,CATALOGO!$B$2:$B$600,1,FALSE),"Falta"),"", "Falta")</f>
        <v>Falta</v>
      </c>
    </row>
    <row r="2000" spans="1:6" x14ac:dyDescent="0.25">
      <c r="A2000" s="11" t="str">
        <f t="shared" si="31"/>
        <v/>
      </c>
      <c r="B2000" s="6" t="s">
        <v>1859</v>
      </c>
      <c r="C2000" s="6" t="s">
        <v>1859</v>
      </c>
      <c r="D2000" s="6">
        <v>0</v>
      </c>
      <c r="E2000" s="1">
        <v>0</v>
      </c>
      <c r="F2000" s="7" t="str">
        <f>IF(A2000=IFERROR(VLOOKUP(A2000,CATALOGO!$B$2:$B$600,1,FALSE),"Falta"),"", "Falta")</f>
        <v>Falta</v>
      </c>
    </row>
    <row r="2001" spans="1:6" x14ac:dyDescent="0.25">
      <c r="A2001" s="11" t="str">
        <f t="shared" si="31"/>
        <v/>
      </c>
      <c r="B2001" s="6" t="s">
        <v>1859</v>
      </c>
      <c r="C2001" s="6" t="s">
        <v>2123</v>
      </c>
      <c r="D2001" s="6">
        <v>0</v>
      </c>
      <c r="E2001" s="1">
        <v>0</v>
      </c>
      <c r="F2001" s="7" t="str">
        <f>IF(A2001=IFERROR(VLOOKUP(A2001,CATALOGO!$B$2:$B$600,1,FALSE),"Falta"),"", "Falta")</f>
        <v>Falta</v>
      </c>
    </row>
    <row r="2002" spans="1:6" x14ac:dyDescent="0.25">
      <c r="A2002" s="11" t="str">
        <f t="shared" si="31"/>
        <v/>
      </c>
      <c r="B2002" s="6" t="s">
        <v>1859</v>
      </c>
      <c r="C2002" s="6" t="s">
        <v>1859</v>
      </c>
      <c r="D2002" s="6">
        <v>0</v>
      </c>
      <c r="E2002" s="1">
        <v>0</v>
      </c>
      <c r="F2002" s="7" t="str">
        <f>IF(A2002=IFERROR(VLOOKUP(A2002,CATALOGO!$B$2:$B$600,1,FALSE),"Falta"),"", "Falta")</f>
        <v>Falta</v>
      </c>
    </row>
    <row r="2003" spans="1:6" x14ac:dyDescent="0.25">
      <c r="A2003" s="11" t="str">
        <f t="shared" si="31"/>
        <v/>
      </c>
      <c r="B2003" s="6" t="s">
        <v>1859</v>
      </c>
      <c r="C2003" s="6" t="s">
        <v>2124</v>
      </c>
      <c r="D2003" s="6">
        <v>0</v>
      </c>
      <c r="E2003" s="1">
        <v>0</v>
      </c>
      <c r="F2003" s="7" t="str">
        <f>IF(A2003=IFERROR(VLOOKUP(A2003,CATALOGO!$B$2:$B$600,1,FALSE),"Falta"),"", "Falta")</f>
        <v>Falta</v>
      </c>
    </row>
    <row r="2004" spans="1:6" x14ac:dyDescent="0.25">
      <c r="A2004" s="11" t="str">
        <f t="shared" si="31"/>
        <v/>
      </c>
      <c r="B2004" s="6" t="s">
        <v>1859</v>
      </c>
      <c r="C2004" s="6" t="s">
        <v>1515</v>
      </c>
      <c r="D2004" s="6">
        <v>2294.4499999999998</v>
      </c>
      <c r="E2004" s="1">
        <v>0</v>
      </c>
      <c r="F2004" s="7" t="str">
        <f>IF(A2004=IFERROR(VLOOKUP(A2004,CATALOGO!$B$2:$B$600,1,FALSE),"Falta"),"", "Falta")</f>
        <v>Falta</v>
      </c>
    </row>
    <row r="2005" spans="1:6" x14ac:dyDescent="0.25">
      <c r="A2005" s="11" t="str">
        <f t="shared" si="31"/>
        <v/>
      </c>
      <c r="B2005" s="6" t="s">
        <v>1859</v>
      </c>
      <c r="C2005" s="6" t="s">
        <v>1516</v>
      </c>
      <c r="D2005" s="6">
        <v>2447.5100000000002</v>
      </c>
      <c r="E2005" s="1">
        <v>1</v>
      </c>
      <c r="F2005" s="7" t="str">
        <f>IF(A2005=IFERROR(VLOOKUP(A2005,CATALOGO!$B$2:$B$600,1,FALSE),"Falta"),"", "Falta")</f>
        <v>Falta</v>
      </c>
    </row>
    <row r="2006" spans="1:6" x14ac:dyDescent="0.25">
      <c r="A2006" s="11" t="str">
        <f t="shared" si="31"/>
        <v/>
      </c>
      <c r="B2006" s="6" t="s">
        <v>1859</v>
      </c>
      <c r="C2006" s="6" t="s">
        <v>1517</v>
      </c>
      <c r="D2006" s="6">
        <v>2753.64</v>
      </c>
      <c r="E2006" s="1">
        <v>0</v>
      </c>
      <c r="F2006" s="7" t="str">
        <f>IF(A2006=IFERROR(VLOOKUP(A2006,CATALOGO!$B$2:$B$600,1,FALSE),"Falta"),"", "Falta")</f>
        <v>Falta</v>
      </c>
    </row>
    <row r="2007" spans="1:6" x14ac:dyDescent="0.25">
      <c r="A2007" s="11" t="str">
        <f t="shared" si="31"/>
        <v/>
      </c>
      <c r="B2007" s="6" t="s">
        <v>1859</v>
      </c>
      <c r="C2007" s="6" t="s">
        <v>29</v>
      </c>
      <c r="D2007" s="6">
        <v>2294.4499999999998</v>
      </c>
      <c r="E2007" s="1">
        <v>0</v>
      </c>
      <c r="F2007" s="7" t="str">
        <f>IF(A2007=IFERROR(VLOOKUP(A2007,CATALOGO!$B$2:$B$600,1,FALSE),"Falta"),"", "Falta")</f>
        <v>Falta</v>
      </c>
    </row>
    <row r="2008" spans="1:6" x14ac:dyDescent="0.25">
      <c r="A2008" s="11" t="str">
        <f t="shared" si="31"/>
        <v/>
      </c>
      <c r="B2008" s="6" t="s">
        <v>1859</v>
      </c>
      <c r="C2008" s="6" t="s">
        <v>28</v>
      </c>
      <c r="D2008" s="6">
        <v>2294.4499999999998</v>
      </c>
      <c r="E2008" s="1">
        <v>0</v>
      </c>
      <c r="F2008" s="7" t="str">
        <f>IF(A2008=IFERROR(VLOOKUP(A2008,CATALOGO!$B$2:$B$600,1,FALSE),"Falta"),"", "Falta")</f>
        <v>Falta</v>
      </c>
    </row>
    <row r="2009" spans="1:6" x14ac:dyDescent="0.25">
      <c r="A2009" s="11" t="str">
        <f t="shared" si="31"/>
        <v/>
      </c>
      <c r="B2009" s="6" t="s">
        <v>1859</v>
      </c>
      <c r="C2009" s="6" t="s">
        <v>1859</v>
      </c>
      <c r="D2009" s="6">
        <v>0</v>
      </c>
      <c r="E2009" s="1">
        <v>0</v>
      </c>
      <c r="F2009" s="7" t="str">
        <f>IF(A2009=IFERROR(VLOOKUP(A2009,CATALOGO!$B$2:$B$600,1,FALSE),"Falta"),"", "Falta")</f>
        <v>Falta</v>
      </c>
    </row>
    <row r="2010" spans="1:6" x14ac:dyDescent="0.25">
      <c r="A2010" s="11" t="str">
        <f t="shared" si="31"/>
        <v/>
      </c>
      <c r="B2010" s="6" t="s">
        <v>1859</v>
      </c>
      <c r="C2010" s="6" t="s">
        <v>2125</v>
      </c>
      <c r="D2010" s="6">
        <v>0</v>
      </c>
      <c r="E2010" s="1">
        <v>0</v>
      </c>
      <c r="F2010" s="7" t="str">
        <f>IF(A2010=IFERROR(VLOOKUP(A2010,CATALOGO!$B$2:$B$600,1,FALSE),"Falta"),"", "Falta")</f>
        <v>Falta</v>
      </c>
    </row>
    <row r="2011" spans="1:6" x14ac:dyDescent="0.25">
      <c r="A2011" s="11" t="str">
        <f t="shared" si="31"/>
        <v/>
      </c>
      <c r="B2011" s="6" t="s">
        <v>1859</v>
      </c>
      <c r="C2011" s="6" t="s">
        <v>1859</v>
      </c>
      <c r="D2011" s="6">
        <v>0</v>
      </c>
      <c r="E2011" s="1">
        <v>0</v>
      </c>
      <c r="F2011" s="7" t="str">
        <f>IF(A2011=IFERROR(VLOOKUP(A2011,CATALOGO!$B$2:$B$600,1,FALSE),"Falta"),"", "Falta")</f>
        <v>Falta</v>
      </c>
    </row>
    <row r="2012" spans="1:6" x14ac:dyDescent="0.25">
      <c r="A2012" s="11" t="str">
        <f t="shared" si="31"/>
        <v/>
      </c>
      <c r="B2012" s="6" t="s">
        <v>1859</v>
      </c>
      <c r="C2012" s="6" t="s">
        <v>2126</v>
      </c>
      <c r="D2012" s="6">
        <v>0</v>
      </c>
      <c r="E2012" s="1">
        <v>0</v>
      </c>
      <c r="F2012" s="7" t="str">
        <f>IF(A2012=IFERROR(VLOOKUP(A2012,CATALOGO!$B$2:$B$600,1,FALSE),"Falta"),"", "Falta")</f>
        <v>Falta</v>
      </c>
    </row>
    <row r="2013" spans="1:6" x14ac:dyDescent="0.25">
      <c r="A2013" s="11" t="str">
        <f t="shared" si="31"/>
        <v/>
      </c>
      <c r="B2013" s="6" t="s">
        <v>1859</v>
      </c>
      <c r="C2013" s="6" t="s">
        <v>1859</v>
      </c>
      <c r="D2013" s="6">
        <v>0</v>
      </c>
      <c r="E2013" s="1">
        <v>0</v>
      </c>
      <c r="F2013" s="7" t="str">
        <f>IF(A2013=IFERROR(VLOOKUP(A2013,CATALOGO!$B$2:$B$600,1,FALSE),"Falta"),"", "Falta")</f>
        <v>Falta</v>
      </c>
    </row>
    <row r="2014" spans="1:6" x14ac:dyDescent="0.25">
      <c r="A2014" s="11" t="str">
        <f t="shared" si="31"/>
        <v/>
      </c>
      <c r="B2014" s="6" t="s">
        <v>1859</v>
      </c>
      <c r="C2014" s="6" t="s">
        <v>2127</v>
      </c>
      <c r="D2014" s="6">
        <v>0</v>
      </c>
      <c r="E2014" s="1">
        <v>0</v>
      </c>
      <c r="F2014" s="7" t="str">
        <f>IF(A2014=IFERROR(VLOOKUP(A2014,CATALOGO!$B$2:$B$600,1,FALSE),"Falta"),"", "Falta")</f>
        <v>Falta</v>
      </c>
    </row>
    <row r="2015" spans="1:6" x14ac:dyDescent="0.25">
      <c r="A2015" s="11" t="str">
        <f t="shared" si="31"/>
        <v/>
      </c>
      <c r="B2015" s="6" t="s">
        <v>1859</v>
      </c>
      <c r="C2015" s="6" t="s">
        <v>1859</v>
      </c>
      <c r="D2015" s="6">
        <v>0</v>
      </c>
      <c r="E2015" s="1">
        <v>0</v>
      </c>
      <c r="F2015" s="7" t="str">
        <f>IF(A2015=IFERROR(VLOOKUP(A2015,CATALOGO!$B$2:$B$600,1,FALSE),"Falta"),"", "Falta")</f>
        <v>Falta</v>
      </c>
    </row>
    <row r="2016" spans="1:6" x14ac:dyDescent="0.25">
      <c r="A2016" s="11" t="str">
        <f t="shared" si="31"/>
        <v/>
      </c>
      <c r="B2016" s="6" t="s">
        <v>1859</v>
      </c>
      <c r="C2016" s="6" t="s">
        <v>2128</v>
      </c>
      <c r="D2016" s="6">
        <v>0</v>
      </c>
      <c r="E2016" s="1">
        <v>0</v>
      </c>
      <c r="F2016" s="7" t="str">
        <f>IF(A2016=IFERROR(VLOOKUP(A2016,CATALOGO!$B$2:$B$600,1,FALSE),"Falta"),"", "Falta")</f>
        <v>Falta</v>
      </c>
    </row>
    <row r="2017" spans="1:6" x14ac:dyDescent="0.25">
      <c r="A2017" s="11" t="str">
        <f t="shared" si="31"/>
        <v/>
      </c>
      <c r="B2017" s="6" t="s">
        <v>1859</v>
      </c>
      <c r="C2017" s="6" t="s">
        <v>1518</v>
      </c>
      <c r="D2017" s="6">
        <v>892.18</v>
      </c>
      <c r="E2017" s="1">
        <v>0</v>
      </c>
      <c r="F2017" s="7" t="str">
        <f>IF(A2017=IFERROR(VLOOKUP(A2017,CATALOGO!$B$2:$B$600,1,FALSE),"Falta"),"", "Falta")</f>
        <v>Falta</v>
      </c>
    </row>
    <row r="2018" spans="1:6" x14ac:dyDescent="0.25">
      <c r="A2018" s="11" t="str">
        <f t="shared" si="31"/>
        <v/>
      </c>
      <c r="B2018" s="6" t="s">
        <v>1859</v>
      </c>
      <c r="C2018" s="6" t="s">
        <v>1859</v>
      </c>
      <c r="D2018" s="6">
        <v>0</v>
      </c>
      <c r="E2018" s="1">
        <v>0</v>
      </c>
      <c r="F2018" s="7" t="str">
        <f>IF(A2018=IFERROR(VLOOKUP(A2018,CATALOGO!$B$2:$B$600,1,FALSE),"Falta"),"", "Falta")</f>
        <v>Falta</v>
      </c>
    </row>
    <row r="2019" spans="1:6" x14ac:dyDescent="0.25">
      <c r="A2019" s="11" t="str">
        <f t="shared" si="31"/>
        <v/>
      </c>
      <c r="B2019" s="6" t="s">
        <v>1859</v>
      </c>
      <c r="C2019" s="6" t="s">
        <v>2129</v>
      </c>
      <c r="D2019" s="6">
        <v>0</v>
      </c>
      <c r="E2019" s="1">
        <v>0</v>
      </c>
      <c r="F2019" s="7" t="str">
        <f>IF(A2019=IFERROR(VLOOKUP(A2019,CATALOGO!$B$2:$B$600,1,FALSE),"Falta"),"", "Falta")</f>
        <v>Falta</v>
      </c>
    </row>
    <row r="2020" spans="1:6" x14ac:dyDescent="0.25">
      <c r="A2020" s="11" t="str">
        <f t="shared" si="31"/>
        <v/>
      </c>
      <c r="B2020" s="6" t="s">
        <v>1859</v>
      </c>
      <c r="C2020" s="6" t="s">
        <v>1859</v>
      </c>
      <c r="D2020" s="6">
        <v>0</v>
      </c>
      <c r="E2020" s="1">
        <v>0</v>
      </c>
      <c r="F2020" s="7" t="str">
        <f>IF(A2020=IFERROR(VLOOKUP(A2020,CATALOGO!$B$2:$B$600,1,FALSE),"Falta"),"", "Falta")</f>
        <v>Falta</v>
      </c>
    </row>
    <row r="2021" spans="1:6" x14ac:dyDescent="0.25">
      <c r="A2021" s="11" t="str">
        <f t="shared" si="31"/>
        <v/>
      </c>
      <c r="B2021" s="6" t="s">
        <v>1859</v>
      </c>
      <c r="C2021" s="6" t="s">
        <v>2130</v>
      </c>
      <c r="D2021" s="6">
        <v>0</v>
      </c>
      <c r="E2021" s="1">
        <v>0</v>
      </c>
      <c r="F2021" s="7" t="str">
        <f>IF(A2021=IFERROR(VLOOKUP(A2021,CATALOGO!$B$2:$B$600,1,FALSE),"Falta"),"", "Falta")</f>
        <v>Falta</v>
      </c>
    </row>
    <row r="2022" spans="1:6" x14ac:dyDescent="0.25">
      <c r="A2022" s="11" t="str">
        <f t="shared" si="31"/>
        <v/>
      </c>
      <c r="B2022" s="6" t="s">
        <v>1859</v>
      </c>
      <c r="C2022" s="6" t="s">
        <v>1859</v>
      </c>
      <c r="D2022" s="6">
        <v>0</v>
      </c>
      <c r="E2022" s="1">
        <v>0</v>
      </c>
      <c r="F2022" s="7" t="str">
        <f>IF(A2022=IFERROR(VLOOKUP(A2022,CATALOGO!$B$2:$B$600,1,FALSE),"Falta"),"", "Falta")</f>
        <v>Falta</v>
      </c>
    </row>
    <row r="2023" spans="1:6" x14ac:dyDescent="0.25">
      <c r="A2023" s="11" t="str">
        <f t="shared" si="31"/>
        <v/>
      </c>
      <c r="B2023" s="6" t="s">
        <v>1859</v>
      </c>
      <c r="C2023" s="6" t="s">
        <v>2131</v>
      </c>
      <c r="D2023" s="6">
        <v>0</v>
      </c>
      <c r="E2023" s="1">
        <v>0</v>
      </c>
      <c r="F2023" s="7" t="str">
        <f>IF(A2023=IFERROR(VLOOKUP(A2023,CATALOGO!$B$2:$B$600,1,FALSE),"Falta"),"", "Falta")</f>
        <v>Falta</v>
      </c>
    </row>
    <row r="2024" spans="1:6" x14ac:dyDescent="0.25">
      <c r="A2024" s="11" t="str">
        <f t="shared" si="31"/>
        <v/>
      </c>
      <c r="B2024" s="6" t="s">
        <v>1859</v>
      </c>
      <c r="C2024" s="6" t="s">
        <v>1859</v>
      </c>
      <c r="D2024" s="6">
        <v>0</v>
      </c>
      <c r="E2024" s="1">
        <v>0</v>
      </c>
      <c r="F2024" s="7" t="str">
        <f>IF(A2024=IFERROR(VLOOKUP(A2024,CATALOGO!$B$2:$B$600,1,FALSE),"Falta"),"", "Falta")</f>
        <v>Falta</v>
      </c>
    </row>
    <row r="2025" spans="1:6" x14ac:dyDescent="0.25">
      <c r="A2025" s="11" t="str">
        <f t="shared" si="31"/>
        <v/>
      </c>
      <c r="B2025" s="6" t="s">
        <v>1859</v>
      </c>
      <c r="C2025" s="6" t="s">
        <v>2132</v>
      </c>
      <c r="D2025" s="6">
        <v>0</v>
      </c>
      <c r="E2025" s="1">
        <v>0</v>
      </c>
      <c r="F2025" s="7" t="str">
        <f>IF(A2025=IFERROR(VLOOKUP(A2025,CATALOGO!$B$2:$B$600,1,FALSE),"Falta"),"", "Falta")</f>
        <v>Falta</v>
      </c>
    </row>
    <row r="2026" spans="1:6" x14ac:dyDescent="0.25">
      <c r="A2026" s="11" t="str">
        <f t="shared" si="31"/>
        <v/>
      </c>
      <c r="B2026" s="6" t="s">
        <v>1859</v>
      </c>
      <c r="C2026" s="6" t="s">
        <v>2133</v>
      </c>
      <c r="D2026" s="6">
        <v>199.65</v>
      </c>
      <c r="E2026" s="1">
        <v>0</v>
      </c>
      <c r="F2026" s="7" t="str">
        <f>IF(A2026=IFERROR(VLOOKUP(A2026,CATALOGO!$B$2:$B$600,1,FALSE),"Falta"),"", "Falta")</f>
        <v>Falta</v>
      </c>
    </row>
    <row r="2027" spans="1:6" x14ac:dyDescent="0.25">
      <c r="A2027" s="11" t="str">
        <f t="shared" si="31"/>
        <v/>
      </c>
      <c r="B2027" s="6" t="s">
        <v>1859</v>
      </c>
      <c r="C2027" s="6" t="s">
        <v>1519</v>
      </c>
      <c r="D2027" s="6">
        <v>199.65</v>
      </c>
      <c r="E2027" s="1">
        <v>3</v>
      </c>
      <c r="F2027" s="7" t="str">
        <f>IF(A2027=IFERROR(VLOOKUP(A2027,CATALOGO!$B$2:$B$600,1,FALSE),"Falta"),"", "Falta")</f>
        <v>Falta</v>
      </c>
    </row>
    <row r="2028" spans="1:6" x14ac:dyDescent="0.25">
      <c r="A2028" s="11" t="str">
        <f t="shared" si="31"/>
        <v/>
      </c>
      <c r="B2028" s="6" t="s">
        <v>1859</v>
      </c>
      <c r="C2028" s="6" t="s">
        <v>1859</v>
      </c>
      <c r="D2028" s="6">
        <v>0</v>
      </c>
      <c r="E2028" s="1">
        <v>0</v>
      </c>
      <c r="F2028" s="7" t="str">
        <f>IF(A2028=IFERROR(VLOOKUP(A2028,CATALOGO!$B$2:$B$600,1,FALSE),"Falta"),"", "Falta")</f>
        <v>Falta</v>
      </c>
    </row>
    <row r="2029" spans="1:6" x14ac:dyDescent="0.25">
      <c r="A2029" s="11" t="str">
        <f t="shared" si="31"/>
        <v/>
      </c>
      <c r="B2029" s="6" t="s">
        <v>1859</v>
      </c>
      <c r="C2029" s="6" t="s">
        <v>2134</v>
      </c>
      <c r="D2029" s="6">
        <v>0</v>
      </c>
      <c r="E2029" s="1">
        <v>0</v>
      </c>
      <c r="F2029" s="7" t="str">
        <f>IF(A2029=IFERROR(VLOOKUP(A2029,CATALOGO!$B$2:$B$600,1,FALSE),"Falta"),"", "Falta")</f>
        <v>Falta</v>
      </c>
    </row>
    <row r="2030" spans="1:6" x14ac:dyDescent="0.25">
      <c r="A2030" s="11" t="str">
        <f t="shared" si="31"/>
        <v/>
      </c>
      <c r="B2030" s="6" t="s">
        <v>1859</v>
      </c>
      <c r="C2030" s="6" t="s">
        <v>816</v>
      </c>
      <c r="D2030" s="6">
        <v>199.65</v>
      </c>
      <c r="E2030" s="1">
        <v>2</v>
      </c>
      <c r="F2030" s="7" t="str">
        <f>IF(A2030=IFERROR(VLOOKUP(A2030,CATALOGO!$B$2:$B$600,1,FALSE),"Falta"),"", "Falta")</f>
        <v>Falta</v>
      </c>
    </row>
    <row r="2031" spans="1:6" x14ac:dyDescent="0.25">
      <c r="A2031" s="11" t="str">
        <f t="shared" si="31"/>
        <v/>
      </c>
      <c r="B2031" s="6" t="s">
        <v>1859</v>
      </c>
      <c r="C2031" s="6" t="s">
        <v>775</v>
      </c>
      <c r="D2031" s="6">
        <v>199.65</v>
      </c>
      <c r="E2031" s="1">
        <v>63</v>
      </c>
      <c r="F2031" s="7" t="str">
        <f>IF(A2031=IFERROR(VLOOKUP(A2031,CATALOGO!$B$2:$B$600,1,FALSE),"Falta"),"", "Falta")</f>
        <v>Falta</v>
      </c>
    </row>
    <row r="2032" spans="1:6" x14ac:dyDescent="0.25">
      <c r="A2032" s="11" t="str">
        <f t="shared" si="31"/>
        <v/>
      </c>
      <c r="B2032" s="6" t="s">
        <v>1859</v>
      </c>
      <c r="C2032" s="6" t="s">
        <v>776</v>
      </c>
      <c r="D2032" s="6">
        <v>199.65</v>
      </c>
      <c r="E2032" s="1">
        <v>230</v>
      </c>
      <c r="F2032" s="7" t="str">
        <f>IF(A2032=IFERROR(VLOOKUP(A2032,CATALOGO!$B$2:$B$600,1,FALSE),"Falta"),"", "Falta")</f>
        <v>Falta</v>
      </c>
    </row>
    <row r="2033" spans="1:6" x14ac:dyDescent="0.25">
      <c r="A2033" s="11" t="str">
        <f t="shared" si="31"/>
        <v/>
      </c>
      <c r="B2033" s="6" t="s">
        <v>1859</v>
      </c>
      <c r="C2033" s="6" t="s">
        <v>783</v>
      </c>
      <c r="D2033" s="6">
        <v>199.65</v>
      </c>
      <c r="E2033" s="1">
        <v>74</v>
      </c>
      <c r="F2033" s="7" t="str">
        <f>IF(A2033=IFERROR(VLOOKUP(A2033,CATALOGO!$B$2:$B$600,1,FALSE),"Falta"),"", "Falta")</f>
        <v>Falta</v>
      </c>
    </row>
    <row r="2034" spans="1:6" x14ac:dyDescent="0.25">
      <c r="A2034" s="11" t="str">
        <f t="shared" si="31"/>
        <v/>
      </c>
      <c r="B2034" s="6" t="s">
        <v>1859</v>
      </c>
      <c r="C2034" s="6" t="s">
        <v>780</v>
      </c>
      <c r="D2034" s="6">
        <v>199.65</v>
      </c>
      <c r="E2034" s="1">
        <v>61</v>
      </c>
      <c r="F2034" s="7" t="str">
        <f>IF(A2034=IFERROR(VLOOKUP(A2034,CATALOGO!$B$2:$B$600,1,FALSE),"Falta"),"", "Falta")</f>
        <v>Falta</v>
      </c>
    </row>
    <row r="2035" spans="1:6" x14ac:dyDescent="0.25">
      <c r="A2035" s="11" t="str">
        <f t="shared" si="31"/>
        <v/>
      </c>
      <c r="B2035" s="6" t="s">
        <v>1859</v>
      </c>
      <c r="C2035" s="6" t="s">
        <v>779</v>
      </c>
      <c r="D2035" s="6">
        <v>199.65</v>
      </c>
      <c r="E2035" s="1">
        <v>71</v>
      </c>
      <c r="F2035" s="7" t="str">
        <f>IF(A2035=IFERROR(VLOOKUP(A2035,CATALOGO!$B$2:$B$600,1,FALSE),"Falta"),"", "Falta")</f>
        <v>Falta</v>
      </c>
    </row>
    <row r="2036" spans="1:6" x14ac:dyDescent="0.25">
      <c r="A2036" s="11" t="str">
        <f t="shared" si="31"/>
        <v/>
      </c>
      <c r="B2036" s="6" t="s">
        <v>1859</v>
      </c>
      <c r="C2036" s="6" t="s">
        <v>786</v>
      </c>
      <c r="D2036" s="6">
        <v>199.65</v>
      </c>
      <c r="E2036" s="1">
        <v>17</v>
      </c>
      <c r="F2036" s="7" t="str">
        <f>IF(A2036=IFERROR(VLOOKUP(A2036,CATALOGO!$B$2:$B$600,1,FALSE),"Falta"),"", "Falta")</f>
        <v>Falta</v>
      </c>
    </row>
    <row r="2037" spans="1:6" x14ac:dyDescent="0.25">
      <c r="A2037" s="11" t="str">
        <f t="shared" si="31"/>
        <v/>
      </c>
      <c r="B2037" s="6" t="s">
        <v>1859</v>
      </c>
      <c r="C2037" s="6" t="s">
        <v>1520</v>
      </c>
      <c r="D2037" s="6">
        <v>199.65</v>
      </c>
      <c r="E2037" s="1">
        <v>1</v>
      </c>
      <c r="F2037" s="7" t="str">
        <f>IF(A2037=IFERROR(VLOOKUP(A2037,CATALOGO!$B$2:$B$600,1,FALSE),"Falta"),"", "Falta")</f>
        <v>Falta</v>
      </c>
    </row>
    <row r="2038" spans="1:6" x14ac:dyDescent="0.25">
      <c r="A2038" s="11" t="str">
        <f t="shared" si="31"/>
        <v/>
      </c>
      <c r="B2038" s="6" t="s">
        <v>1859</v>
      </c>
      <c r="C2038" s="6" t="s">
        <v>778</v>
      </c>
      <c r="D2038" s="6">
        <v>399.99</v>
      </c>
      <c r="E2038" s="1">
        <v>6</v>
      </c>
      <c r="F2038" s="7" t="str">
        <f>IF(A2038=IFERROR(VLOOKUP(A2038,CATALOGO!$B$2:$B$600,1,FALSE),"Falta"),"", "Falta")</f>
        <v>Falta</v>
      </c>
    </row>
    <row r="2039" spans="1:6" x14ac:dyDescent="0.25">
      <c r="A2039" s="11" t="str">
        <f t="shared" si="31"/>
        <v/>
      </c>
      <c r="B2039" s="6" t="s">
        <v>1859</v>
      </c>
      <c r="C2039" s="6" t="s">
        <v>777</v>
      </c>
      <c r="D2039" s="6">
        <v>399.99</v>
      </c>
      <c r="E2039" s="1">
        <v>0</v>
      </c>
      <c r="F2039" s="7" t="str">
        <f>IF(A2039=IFERROR(VLOOKUP(A2039,CATALOGO!$B$2:$B$600,1,FALSE),"Falta"),"", "Falta")</f>
        <v>Falta</v>
      </c>
    </row>
    <row r="2040" spans="1:6" x14ac:dyDescent="0.25">
      <c r="A2040" s="11" t="str">
        <f t="shared" si="31"/>
        <v/>
      </c>
      <c r="B2040" s="6" t="s">
        <v>1859</v>
      </c>
      <c r="C2040" s="6" t="s">
        <v>784</v>
      </c>
      <c r="D2040" s="6">
        <v>399.99</v>
      </c>
      <c r="E2040" s="1">
        <v>0</v>
      </c>
      <c r="F2040" s="7" t="str">
        <f>IF(A2040=IFERROR(VLOOKUP(A2040,CATALOGO!$B$2:$B$600,1,FALSE),"Falta"),"", "Falta")</f>
        <v>Falta</v>
      </c>
    </row>
    <row r="2041" spans="1:6" x14ac:dyDescent="0.25">
      <c r="A2041" s="11" t="str">
        <f t="shared" si="31"/>
        <v/>
      </c>
      <c r="B2041" s="6" t="s">
        <v>1859</v>
      </c>
      <c r="C2041" s="6" t="s">
        <v>781</v>
      </c>
      <c r="D2041" s="6">
        <v>399.99</v>
      </c>
      <c r="E2041" s="1">
        <v>5</v>
      </c>
      <c r="F2041" s="7" t="str">
        <f>IF(A2041=IFERROR(VLOOKUP(A2041,CATALOGO!$B$2:$B$600,1,FALSE),"Falta"),"", "Falta")</f>
        <v>Falta</v>
      </c>
    </row>
    <row r="2042" spans="1:6" x14ac:dyDescent="0.25">
      <c r="A2042" s="11" t="str">
        <f t="shared" si="31"/>
        <v/>
      </c>
      <c r="B2042" s="6" t="s">
        <v>1859</v>
      </c>
      <c r="C2042" s="6" t="s">
        <v>782</v>
      </c>
      <c r="D2042" s="6">
        <v>399.99</v>
      </c>
      <c r="E2042" s="1">
        <v>0</v>
      </c>
      <c r="F2042" s="7" t="str">
        <f>IF(A2042=IFERROR(VLOOKUP(A2042,CATALOGO!$B$2:$B$600,1,FALSE),"Falta"),"", "Falta")</f>
        <v>Falta</v>
      </c>
    </row>
    <row r="2043" spans="1:6" x14ac:dyDescent="0.25">
      <c r="A2043" s="11" t="str">
        <f t="shared" si="31"/>
        <v/>
      </c>
      <c r="B2043" s="6" t="s">
        <v>1859</v>
      </c>
      <c r="C2043" s="6" t="s">
        <v>787</v>
      </c>
      <c r="D2043" s="6">
        <v>599.99</v>
      </c>
      <c r="E2043" s="1">
        <v>6</v>
      </c>
      <c r="F2043" s="7" t="str">
        <f>IF(A2043=IFERROR(VLOOKUP(A2043,CATALOGO!$B$2:$B$600,1,FALSE),"Falta"),"", "Falta")</f>
        <v>Falta</v>
      </c>
    </row>
    <row r="2044" spans="1:6" x14ac:dyDescent="0.25">
      <c r="A2044" s="11" t="str">
        <f t="shared" si="31"/>
        <v/>
      </c>
      <c r="B2044" s="6" t="s">
        <v>1859</v>
      </c>
      <c r="C2044" s="6" t="s">
        <v>785</v>
      </c>
      <c r="D2044" s="6">
        <v>799.99</v>
      </c>
      <c r="E2044" s="1">
        <v>7</v>
      </c>
      <c r="F2044" s="7" t="str">
        <f>IF(A2044=IFERROR(VLOOKUP(A2044,CATALOGO!$B$2:$B$600,1,FALSE),"Falta"),"", "Falta")</f>
        <v>Falta</v>
      </c>
    </row>
    <row r="2045" spans="1:6" x14ac:dyDescent="0.25">
      <c r="A2045" s="11" t="str">
        <f t="shared" si="31"/>
        <v/>
      </c>
      <c r="B2045" s="6" t="s">
        <v>1859</v>
      </c>
      <c r="C2045" s="6" t="s">
        <v>1859</v>
      </c>
      <c r="D2045" s="6">
        <v>0</v>
      </c>
      <c r="E2045" s="1">
        <v>0</v>
      </c>
      <c r="F2045" s="7" t="str">
        <f>IF(A2045=IFERROR(VLOOKUP(A2045,CATALOGO!$B$2:$B$600,1,FALSE),"Falta"),"", "Falta")</f>
        <v>Falta</v>
      </c>
    </row>
    <row r="2046" spans="1:6" x14ac:dyDescent="0.25">
      <c r="A2046" s="11" t="str">
        <f t="shared" si="31"/>
        <v/>
      </c>
      <c r="B2046" s="6" t="s">
        <v>1859</v>
      </c>
      <c r="C2046" s="6" t="s">
        <v>2135</v>
      </c>
      <c r="D2046" s="6">
        <v>0</v>
      </c>
      <c r="E2046" s="1">
        <v>0</v>
      </c>
      <c r="F2046" s="7" t="str">
        <f>IF(A2046=IFERROR(VLOOKUP(A2046,CATALOGO!$B$2:$B$600,1,FALSE),"Falta"),"", "Falta")</f>
        <v>Falta</v>
      </c>
    </row>
    <row r="2047" spans="1:6" x14ac:dyDescent="0.25">
      <c r="A2047" s="11" t="str">
        <f t="shared" si="31"/>
        <v/>
      </c>
      <c r="B2047" s="6" t="s">
        <v>1859</v>
      </c>
      <c r="C2047" s="6" t="s">
        <v>1859</v>
      </c>
      <c r="D2047" s="6">
        <v>0</v>
      </c>
      <c r="E2047" s="1">
        <v>0</v>
      </c>
      <c r="F2047" s="7" t="str">
        <f>IF(A2047=IFERROR(VLOOKUP(A2047,CATALOGO!$B$2:$B$600,1,FALSE),"Falta"),"", "Falta")</f>
        <v>Falta</v>
      </c>
    </row>
    <row r="2048" spans="1:6" x14ac:dyDescent="0.25">
      <c r="A2048" s="11" t="str">
        <f t="shared" si="31"/>
        <v/>
      </c>
      <c r="B2048" s="6" t="s">
        <v>1859</v>
      </c>
      <c r="C2048" s="6" t="s">
        <v>2136</v>
      </c>
      <c r="D2048" s="6">
        <v>0</v>
      </c>
      <c r="E2048" s="1">
        <v>0</v>
      </c>
      <c r="F2048" s="7" t="str">
        <f>IF(A2048=IFERROR(VLOOKUP(A2048,CATALOGO!$B$2:$B$600,1,FALSE),"Falta"),"", "Falta")</f>
        <v>Falta</v>
      </c>
    </row>
    <row r="2049" spans="1:6" x14ac:dyDescent="0.25">
      <c r="A2049" s="11" t="str">
        <f t="shared" si="31"/>
        <v/>
      </c>
      <c r="B2049" s="6" t="s">
        <v>1859</v>
      </c>
      <c r="C2049" s="6" t="s">
        <v>1859</v>
      </c>
      <c r="D2049" s="6">
        <v>0</v>
      </c>
      <c r="E2049" s="1">
        <v>0</v>
      </c>
      <c r="F2049" s="7" t="str">
        <f>IF(A2049=IFERROR(VLOOKUP(A2049,CATALOGO!$B$2:$B$600,1,FALSE),"Falta"),"", "Falta")</f>
        <v>Falta</v>
      </c>
    </row>
    <row r="2050" spans="1:6" x14ac:dyDescent="0.25">
      <c r="A2050" s="11" t="str">
        <f t="shared" si="31"/>
        <v/>
      </c>
      <c r="B2050" s="6" t="s">
        <v>1859</v>
      </c>
      <c r="C2050" s="6" t="s">
        <v>2137</v>
      </c>
      <c r="D2050" s="6">
        <v>0</v>
      </c>
      <c r="E2050" s="1">
        <v>0</v>
      </c>
      <c r="F2050" s="7" t="str">
        <f>IF(A2050=IFERROR(VLOOKUP(A2050,CATALOGO!$B$2:$B$600,1,FALSE),"Falta"),"", "Falta")</f>
        <v>Falta</v>
      </c>
    </row>
    <row r="2051" spans="1:6" x14ac:dyDescent="0.25">
      <c r="A2051" s="11" t="str">
        <f t="shared" si="31"/>
        <v/>
      </c>
      <c r="B2051" s="6" t="s">
        <v>1859</v>
      </c>
      <c r="C2051" s="6" t="s">
        <v>788</v>
      </c>
      <c r="D2051" s="6">
        <v>165</v>
      </c>
      <c r="E2051" s="1">
        <v>13</v>
      </c>
      <c r="F2051" s="7" t="str">
        <f>IF(A2051=IFERROR(VLOOKUP(A2051,CATALOGO!$B$2:$B$600,1,FALSE),"Falta"),"", "Falta")</f>
        <v>Falta</v>
      </c>
    </row>
    <row r="2052" spans="1:6" x14ac:dyDescent="0.25">
      <c r="A2052" s="11" t="str">
        <f t="shared" si="31"/>
        <v/>
      </c>
      <c r="B2052" s="6" t="s">
        <v>1859</v>
      </c>
      <c r="C2052" s="6" t="s">
        <v>789</v>
      </c>
      <c r="D2052" s="6">
        <v>165</v>
      </c>
      <c r="E2052" s="1">
        <v>32</v>
      </c>
      <c r="F2052" s="7" t="str">
        <f>IF(A2052=IFERROR(VLOOKUP(A2052,CATALOGO!$B$2:$B$600,1,FALSE),"Falta"),"", "Falta")</f>
        <v>Falta</v>
      </c>
    </row>
    <row r="2053" spans="1:6" x14ac:dyDescent="0.25">
      <c r="A2053" s="11">
        <f t="shared" si="31"/>
        <v>7700452</v>
      </c>
      <c r="B2053" s="6">
        <v>7700452</v>
      </c>
      <c r="C2053" s="6" t="s">
        <v>798</v>
      </c>
      <c r="D2053" s="6">
        <v>165</v>
      </c>
      <c r="E2053" s="1">
        <v>2</v>
      </c>
      <c r="F2053" s="7" t="str">
        <f>IF(A2053=IFERROR(VLOOKUP(A2053,CATALOGO!$B$2:$B$600,1,FALSE),"Falta"),"", "Falta")</f>
        <v/>
      </c>
    </row>
    <row r="2054" spans="1:6" x14ac:dyDescent="0.25">
      <c r="A2054" s="11">
        <f t="shared" ref="A2054:A2117" si="32">IFERROR(B2054*1,"")</f>
        <v>7700453</v>
      </c>
      <c r="B2054" s="6">
        <v>7700453</v>
      </c>
      <c r="C2054" s="6" t="s">
        <v>799</v>
      </c>
      <c r="D2054" s="6">
        <v>199.76</v>
      </c>
      <c r="E2054" s="1">
        <v>53</v>
      </c>
      <c r="F2054" s="7" t="str">
        <f>IF(A2054=IFERROR(VLOOKUP(A2054,CATALOGO!$B$2:$B$600,1,FALSE),"Falta"),"", "Falta")</f>
        <v/>
      </c>
    </row>
    <row r="2055" spans="1:6" x14ac:dyDescent="0.25">
      <c r="A2055" s="11">
        <f t="shared" si="32"/>
        <v>7700454</v>
      </c>
      <c r="B2055" s="6">
        <v>7700454</v>
      </c>
      <c r="C2055" s="6" t="s">
        <v>797</v>
      </c>
      <c r="D2055" s="6">
        <v>199.76</v>
      </c>
      <c r="E2055" s="1">
        <v>22</v>
      </c>
      <c r="F2055" s="7" t="str">
        <f>IF(A2055=IFERROR(VLOOKUP(A2055,CATALOGO!$B$2:$B$600,1,FALSE),"Falta"),"", "Falta")</f>
        <v/>
      </c>
    </row>
    <row r="2056" spans="1:6" x14ac:dyDescent="0.25">
      <c r="A2056" s="11">
        <f t="shared" si="32"/>
        <v>7700455</v>
      </c>
      <c r="B2056" s="6">
        <v>7700455</v>
      </c>
      <c r="C2056" s="6" t="s">
        <v>801</v>
      </c>
      <c r="D2056" s="6">
        <v>199.76</v>
      </c>
      <c r="E2056" s="1">
        <v>7</v>
      </c>
      <c r="F2056" s="7" t="str">
        <f>IF(A2056=IFERROR(VLOOKUP(A2056,CATALOGO!$B$2:$B$600,1,FALSE),"Falta"),"", "Falta")</f>
        <v/>
      </c>
    </row>
    <row r="2057" spans="1:6" x14ac:dyDescent="0.25">
      <c r="A2057" s="11">
        <f t="shared" si="32"/>
        <v>7700456</v>
      </c>
      <c r="B2057" s="6">
        <v>7700456</v>
      </c>
      <c r="C2057" s="6" t="s">
        <v>800</v>
      </c>
      <c r="D2057" s="6">
        <v>199.76</v>
      </c>
      <c r="E2057" s="1">
        <v>4</v>
      </c>
      <c r="F2057" s="7" t="str">
        <f>IF(A2057=IFERROR(VLOOKUP(A2057,CATALOGO!$B$2:$B$600,1,FALSE),"Falta"),"", "Falta")</f>
        <v/>
      </c>
    </row>
    <row r="2058" spans="1:6" x14ac:dyDescent="0.25">
      <c r="A2058" s="11">
        <f t="shared" si="32"/>
        <v>7700459</v>
      </c>
      <c r="B2058" s="6">
        <v>7700459</v>
      </c>
      <c r="C2058" s="6" t="s">
        <v>790</v>
      </c>
      <c r="D2058" s="6">
        <v>198.99</v>
      </c>
      <c r="E2058" s="1">
        <v>1</v>
      </c>
      <c r="F2058" s="7" t="str">
        <f>IF(A2058=IFERROR(VLOOKUP(A2058,CATALOGO!$B$2:$B$600,1,FALSE),"Falta"),"", "Falta")</f>
        <v>Falta</v>
      </c>
    </row>
    <row r="2059" spans="1:6" x14ac:dyDescent="0.25">
      <c r="A2059" s="11">
        <f t="shared" si="32"/>
        <v>7700460</v>
      </c>
      <c r="B2059" s="6">
        <v>7700460</v>
      </c>
      <c r="C2059" s="6" t="s">
        <v>791</v>
      </c>
      <c r="D2059" s="6">
        <v>199.76</v>
      </c>
      <c r="E2059" s="1">
        <v>2</v>
      </c>
      <c r="F2059" s="7" t="str">
        <f>IF(A2059=IFERROR(VLOOKUP(A2059,CATALOGO!$B$2:$B$600,1,FALSE),"Falta"),"", "Falta")</f>
        <v/>
      </c>
    </row>
    <row r="2060" spans="1:6" x14ac:dyDescent="0.25">
      <c r="A2060" s="11">
        <f t="shared" si="32"/>
        <v>7700461</v>
      </c>
      <c r="B2060" s="6">
        <v>7700461</v>
      </c>
      <c r="C2060" s="6" t="s">
        <v>793</v>
      </c>
      <c r="D2060" s="6">
        <v>199.76</v>
      </c>
      <c r="E2060" s="1">
        <v>10</v>
      </c>
      <c r="F2060" s="7" t="str">
        <f>IF(A2060=IFERROR(VLOOKUP(A2060,CATALOGO!$B$2:$B$600,1,FALSE),"Falta"),"", "Falta")</f>
        <v/>
      </c>
    </row>
    <row r="2061" spans="1:6" x14ac:dyDescent="0.25">
      <c r="A2061" s="11">
        <f t="shared" si="32"/>
        <v>7700462</v>
      </c>
      <c r="B2061" s="6">
        <v>7700462</v>
      </c>
      <c r="C2061" s="6" t="s">
        <v>792</v>
      </c>
      <c r="D2061" s="6">
        <v>199.76</v>
      </c>
      <c r="E2061" s="1">
        <v>11</v>
      </c>
      <c r="F2061" s="7" t="str">
        <f>IF(A2061=IFERROR(VLOOKUP(A2061,CATALOGO!$B$2:$B$600,1,FALSE),"Falta"),"", "Falta")</f>
        <v/>
      </c>
    </row>
    <row r="2062" spans="1:6" x14ac:dyDescent="0.25">
      <c r="A2062" s="11">
        <f t="shared" si="32"/>
        <v>7700463</v>
      </c>
      <c r="B2062" s="6">
        <v>7700463</v>
      </c>
      <c r="C2062" s="6" t="s">
        <v>796</v>
      </c>
      <c r="D2062" s="6">
        <v>199.76</v>
      </c>
      <c r="E2062" s="1">
        <v>10</v>
      </c>
      <c r="F2062" s="7" t="str">
        <f>IF(A2062=IFERROR(VLOOKUP(A2062,CATALOGO!$B$2:$B$600,1,FALSE),"Falta"),"", "Falta")</f>
        <v/>
      </c>
    </row>
    <row r="2063" spans="1:6" x14ac:dyDescent="0.25">
      <c r="A2063" s="11">
        <f t="shared" si="32"/>
        <v>7700464</v>
      </c>
      <c r="B2063" s="6">
        <v>7700464</v>
      </c>
      <c r="C2063" s="6" t="s">
        <v>795</v>
      </c>
      <c r="D2063" s="6">
        <v>199.76</v>
      </c>
      <c r="E2063" s="1">
        <v>4</v>
      </c>
      <c r="F2063" s="7" t="str">
        <f>IF(A2063=IFERROR(VLOOKUP(A2063,CATALOGO!$B$2:$B$600,1,FALSE),"Falta"),"", "Falta")</f>
        <v/>
      </c>
    </row>
    <row r="2064" spans="1:6" x14ac:dyDescent="0.25">
      <c r="A2064" s="11">
        <f t="shared" si="32"/>
        <v>7700465</v>
      </c>
      <c r="B2064" s="6">
        <v>7700465</v>
      </c>
      <c r="C2064" s="6" t="s">
        <v>794</v>
      </c>
      <c r="D2064" s="6">
        <v>199.76</v>
      </c>
      <c r="E2064" s="1">
        <v>6</v>
      </c>
      <c r="F2064" s="7" t="str">
        <f>IF(A2064=IFERROR(VLOOKUP(A2064,CATALOGO!$B$2:$B$600,1,FALSE),"Falta"),"", "Falta")</f>
        <v/>
      </c>
    </row>
    <row r="2065" spans="1:6" x14ac:dyDescent="0.25">
      <c r="A2065" s="11" t="str">
        <f t="shared" si="32"/>
        <v/>
      </c>
      <c r="B2065" s="6" t="s">
        <v>1859</v>
      </c>
      <c r="C2065" s="6" t="s">
        <v>1859</v>
      </c>
      <c r="D2065" s="6">
        <v>0</v>
      </c>
      <c r="E2065" s="1">
        <v>0</v>
      </c>
      <c r="F2065" s="7" t="str">
        <f>IF(A2065=IFERROR(VLOOKUP(A2065,CATALOGO!$B$2:$B$600,1,FALSE),"Falta"),"", "Falta")</f>
        <v>Falta</v>
      </c>
    </row>
    <row r="2066" spans="1:6" x14ac:dyDescent="0.25">
      <c r="A2066" s="11">
        <f t="shared" si="32"/>
        <v>7700500</v>
      </c>
      <c r="B2066" s="6">
        <v>7700500</v>
      </c>
      <c r="C2066" s="6" t="s">
        <v>2138</v>
      </c>
      <c r="D2066" s="6">
        <v>0</v>
      </c>
      <c r="E2066" s="1">
        <v>0</v>
      </c>
      <c r="F2066" s="7" t="str">
        <f>IF(A2066=IFERROR(VLOOKUP(A2066,CATALOGO!$B$2:$B$600,1,FALSE),"Falta"),"", "Falta")</f>
        <v>Falta</v>
      </c>
    </row>
    <row r="2067" spans="1:6" x14ac:dyDescent="0.25">
      <c r="A2067" s="11">
        <f t="shared" si="32"/>
        <v>7700501</v>
      </c>
      <c r="B2067" s="6">
        <v>7700501</v>
      </c>
      <c r="C2067" s="6" t="s">
        <v>821</v>
      </c>
      <c r="D2067" s="6">
        <v>199.65</v>
      </c>
      <c r="E2067" s="1">
        <v>8</v>
      </c>
      <c r="F2067" s="7" t="str">
        <f>IF(A2067=IFERROR(VLOOKUP(A2067,CATALOGO!$B$2:$B$600,1,FALSE),"Falta"),"", "Falta")</f>
        <v>Falta</v>
      </c>
    </row>
    <row r="2068" spans="1:6" x14ac:dyDescent="0.25">
      <c r="A2068" s="11">
        <f t="shared" si="32"/>
        <v>7700502</v>
      </c>
      <c r="B2068" s="6">
        <v>7700502</v>
      </c>
      <c r="C2068" s="6" t="s">
        <v>818</v>
      </c>
      <c r="D2068" s="6">
        <v>199.65</v>
      </c>
      <c r="E2068" s="1">
        <v>12</v>
      </c>
      <c r="F2068" s="7" t="str">
        <f>IF(A2068=IFERROR(VLOOKUP(A2068,CATALOGO!$B$2:$B$600,1,FALSE),"Falta"),"", "Falta")</f>
        <v>Falta</v>
      </c>
    </row>
    <row r="2069" spans="1:6" x14ac:dyDescent="0.25">
      <c r="A2069" s="11">
        <f t="shared" si="32"/>
        <v>7700503</v>
      </c>
      <c r="B2069" s="6">
        <v>7700503</v>
      </c>
      <c r="C2069" s="6" t="s">
        <v>824</v>
      </c>
      <c r="D2069" s="6">
        <v>199.65</v>
      </c>
      <c r="E2069" s="1">
        <v>0</v>
      </c>
      <c r="F2069" s="7" t="str">
        <f>IF(A2069=IFERROR(VLOOKUP(A2069,CATALOGO!$B$2:$B$600,1,FALSE),"Falta"),"", "Falta")</f>
        <v>Falta</v>
      </c>
    </row>
    <row r="2070" spans="1:6" x14ac:dyDescent="0.25">
      <c r="A2070" s="11">
        <f t="shared" si="32"/>
        <v>7700504</v>
      </c>
      <c r="B2070" s="6">
        <v>7700504</v>
      </c>
      <c r="C2070" s="6" t="s">
        <v>823</v>
      </c>
      <c r="D2070" s="6">
        <v>157.91</v>
      </c>
      <c r="E2070" s="1">
        <v>0</v>
      </c>
      <c r="F2070" s="7" t="str">
        <f>IF(A2070=IFERROR(VLOOKUP(A2070,CATALOGO!$B$2:$B$600,1,FALSE),"Falta"),"", "Falta")</f>
        <v>Falta</v>
      </c>
    </row>
    <row r="2071" spans="1:6" x14ac:dyDescent="0.25">
      <c r="A2071" s="11">
        <f t="shared" si="32"/>
        <v>7700505</v>
      </c>
      <c r="B2071" s="6">
        <v>7700505</v>
      </c>
      <c r="C2071" s="6" t="s">
        <v>817</v>
      </c>
      <c r="D2071" s="6">
        <v>199.65</v>
      </c>
      <c r="E2071" s="1">
        <v>8</v>
      </c>
      <c r="F2071" s="7" t="str">
        <f>IF(A2071=IFERROR(VLOOKUP(A2071,CATALOGO!$B$2:$B$600,1,FALSE),"Falta"),"", "Falta")</f>
        <v>Falta</v>
      </c>
    </row>
    <row r="2072" spans="1:6" x14ac:dyDescent="0.25">
      <c r="A2072" s="11">
        <f t="shared" si="32"/>
        <v>7700506</v>
      </c>
      <c r="B2072" s="6">
        <v>7700506</v>
      </c>
      <c r="C2072" s="6" t="s">
        <v>822</v>
      </c>
      <c r="D2072" s="6">
        <v>199.65</v>
      </c>
      <c r="E2072" s="1">
        <v>6</v>
      </c>
      <c r="F2072" s="7" t="str">
        <f>IF(A2072=IFERROR(VLOOKUP(A2072,CATALOGO!$B$2:$B$600,1,FALSE),"Falta"),"", "Falta")</f>
        <v>Falta</v>
      </c>
    </row>
    <row r="2073" spans="1:6" x14ac:dyDescent="0.25">
      <c r="A2073" s="11">
        <f t="shared" si="32"/>
        <v>7700507</v>
      </c>
      <c r="B2073" s="6">
        <v>7700507</v>
      </c>
      <c r="C2073" s="6" t="s">
        <v>820</v>
      </c>
      <c r="D2073" s="6">
        <v>199.65</v>
      </c>
      <c r="E2073" s="1">
        <v>8</v>
      </c>
      <c r="F2073" s="7" t="str">
        <f>IF(A2073=IFERROR(VLOOKUP(A2073,CATALOGO!$B$2:$B$600,1,FALSE),"Falta"),"", "Falta")</f>
        <v>Falta</v>
      </c>
    </row>
    <row r="2074" spans="1:6" x14ac:dyDescent="0.25">
      <c r="A2074" s="11">
        <f t="shared" si="32"/>
        <v>7700508</v>
      </c>
      <c r="B2074" s="6">
        <v>7700508</v>
      </c>
      <c r="C2074" s="6" t="s">
        <v>819</v>
      </c>
      <c r="D2074" s="6">
        <v>199.65</v>
      </c>
      <c r="E2074" s="1">
        <v>1</v>
      </c>
      <c r="F2074" s="7" t="str">
        <f>IF(A2074=IFERROR(VLOOKUP(A2074,CATALOGO!$B$2:$B$600,1,FALSE),"Falta"),"", "Falta")</f>
        <v>Falta</v>
      </c>
    </row>
    <row r="2075" spans="1:6" x14ac:dyDescent="0.25">
      <c r="A2075" s="11" t="str">
        <f t="shared" si="32"/>
        <v/>
      </c>
      <c r="B2075" s="6" t="s">
        <v>1859</v>
      </c>
      <c r="C2075" s="6" t="s">
        <v>1859</v>
      </c>
      <c r="D2075" s="6">
        <v>0</v>
      </c>
      <c r="E2075" s="1">
        <v>0</v>
      </c>
      <c r="F2075" s="7" t="str">
        <f>IF(A2075=IFERROR(VLOOKUP(A2075,CATALOGO!$B$2:$B$600,1,FALSE),"Falta"),"", "Falta")</f>
        <v>Falta</v>
      </c>
    </row>
    <row r="2076" spans="1:6" x14ac:dyDescent="0.25">
      <c r="A2076" s="11">
        <f t="shared" si="32"/>
        <v>7700509</v>
      </c>
      <c r="B2076" s="6">
        <v>7700509</v>
      </c>
      <c r="C2076" s="6" t="s">
        <v>2139</v>
      </c>
      <c r="D2076" s="6">
        <v>0</v>
      </c>
      <c r="E2076" s="1">
        <v>0</v>
      </c>
      <c r="F2076" s="7" t="str">
        <f>IF(A2076=IFERROR(VLOOKUP(A2076,CATALOGO!$B$2:$B$600,1,FALSE),"Falta"),"", "Falta")</f>
        <v>Falta</v>
      </c>
    </row>
    <row r="2077" spans="1:6" x14ac:dyDescent="0.25">
      <c r="A2077" s="11" t="str">
        <f t="shared" si="32"/>
        <v/>
      </c>
      <c r="B2077" s="6" t="s">
        <v>1859</v>
      </c>
      <c r="C2077" s="6" t="s">
        <v>1859</v>
      </c>
      <c r="D2077" s="6">
        <v>0</v>
      </c>
      <c r="E2077" s="1">
        <v>0</v>
      </c>
      <c r="F2077" s="7" t="str">
        <f>IF(A2077=IFERROR(VLOOKUP(A2077,CATALOGO!$B$2:$B$600,1,FALSE),"Falta"),"", "Falta")</f>
        <v>Falta</v>
      </c>
    </row>
    <row r="2078" spans="1:6" x14ac:dyDescent="0.25">
      <c r="A2078" s="11">
        <f t="shared" si="32"/>
        <v>7700601</v>
      </c>
      <c r="B2078" s="6">
        <v>7700601</v>
      </c>
      <c r="C2078" s="6" t="s">
        <v>2140</v>
      </c>
      <c r="D2078" s="6">
        <v>0</v>
      </c>
      <c r="E2078" s="1">
        <v>0</v>
      </c>
      <c r="F2078" s="7" t="str">
        <f>IF(A2078=IFERROR(VLOOKUP(A2078,CATALOGO!$B$2:$B$600,1,FALSE),"Falta"),"", "Falta")</f>
        <v>Falta</v>
      </c>
    </row>
    <row r="2079" spans="1:6" x14ac:dyDescent="0.25">
      <c r="A2079" s="11">
        <f t="shared" si="32"/>
        <v>7700602</v>
      </c>
      <c r="B2079" s="6">
        <v>7700602</v>
      </c>
      <c r="C2079" s="6" t="s">
        <v>2141</v>
      </c>
      <c r="D2079" s="6">
        <v>198.99</v>
      </c>
      <c r="E2079" s="1">
        <v>0</v>
      </c>
      <c r="F2079" s="7" t="str">
        <f>IF(A2079=IFERROR(VLOOKUP(A2079,CATALOGO!$B$2:$B$600,1,FALSE),"Falta"),"", "Falta")</f>
        <v>Falta</v>
      </c>
    </row>
    <row r="2080" spans="1:6" x14ac:dyDescent="0.25">
      <c r="A2080" s="11">
        <f t="shared" si="32"/>
        <v>7700603</v>
      </c>
      <c r="B2080" s="6">
        <v>7700603</v>
      </c>
      <c r="C2080" s="6" t="s">
        <v>809</v>
      </c>
      <c r="D2080" s="6">
        <v>198.99</v>
      </c>
      <c r="E2080" s="1">
        <v>0</v>
      </c>
      <c r="F2080" s="7" t="str">
        <f>IF(A2080=IFERROR(VLOOKUP(A2080,CATALOGO!$B$2:$B$600,1,FALSE),"Falta"),"", "Falta")</f>
        <v>Falta</v>
      </c>
    </row>
    <row r="2081" spans="1:6" x14ac:dyDescent="0.25">
      <c r="A2081" s="11">
        <f t="shared" si="32"/>
        <v>7700604</v>
      </c>
      <c r="B2081" s="6">
        <v>7700604</v>
      </c>
      <c r="C2081" s="6" t="s">
        <v>808</v>
      </c>
      <c r="D2081" s="6">
        <v>198.99</v>
      </c>
      <c r="E2081" s="1">
        <v>3</v>
      </c>
      <c r="F2081" s="7" t="str">
        <f>IF(A2081=IFERROR(VLOOKUP(A2081,CATALOGO!$B$2:$B$600,1,FALSE),"Falta"),"", "Falta")</f>
        <v>Falta</v>
      </c>
    </row>
    <row r="2082" spans="1:6" x14ac:dyDescent="0.25">
      <c r="A2082" s="11">
        <f t="shared" si="32"/>
        <v>7700605</v>
      </c>
      <c r="B2082" s="6">
        <v>7700605</v>
      </c>
      <c r="C2082" s="6" t="s">
        <v>810</v>
      </c>
      <c r="D2082" s="6">
        <v>198.99</v>
      </c>
      <c r="E2082" s="1">
        <v>4</v>
      </c>
      <c r="F2082" s="7" t="str">
        <f>IF(A2082=IFERROR(VLOOKUP(A2082,CATALOGO!$B$2:$B$600,1,FALSE),"Falta"),"", "Falta")</f>
        <v>Falta</v>
      </c>
    </row>
    <row r="2083" spans="1:6" x14ac:dyDescent="0.25">
      <c r="A2083" s="11">
        <f t="shared" si="32"/>
        <v>7700606</v>
      </c>
      <c r="B2083" s="6">
        <v>7700606</v>
      </c>
      <c r="C2083" s="6" t="s">
        <v>1521</v>
      </c>
      <c r="D2083" s="6">
        <v>198.99</v>
      </c>
      <c r="E2083" s="1">
        <v>5</v>
      </c>
      <c r="F2083" s="7" t="str">
        <f>IF(A2083=IFERROR(VLOOKUP(A2083,CATALOGO!$B$2:$B$600,1,FALSE),"Falta"),"", "Falta")</f>
        <v>Falta</v>
      </c>
    </row>
    <row r="2084" spans="1:6" x14ac:dyDescent="0.25">
      <c r="A2084" s="11">
        <f t="shared" si="32"/>
        <v>7700607</v>
      </c>
      <c r="B2084" s="6">
        <v>7700607</v>
      </c>
      <c r="C2084" s="6" t="s">
        <v>1522</v>
      </c>
      <c r="D2084" s="6">
        <v>198.99</v>
      </c>
      <c r="E2084" s="1">
        <v>0</v>
      </c>
      <c r="F2084" s="7" t="str">
        <f>IF(A2084=IFERROR(VLOOKUP(A2084,CATALOGO!$B$2:$B$600,1,FALSE),"Falta"),"", "Falta")</f>
        <v/>
      </c>
    </row>
    <row r="2085" spans="1:6" x14ac:dyDescent="0.25">
      <c r="A2085" s="11" t="str">
        <f t="shared" si="32"/>
        <v/>
      </c>
      <c r="B2085" s="6" t="s">
        <v>1859</v>
      </c>
      <c r="C2085" s="6" t="s">
        <v>1859</v>
      </c>
      <c r="D2085" s="6">
        <v>0</v>
      </c>
      <c r="E2085" s="1">
        <v>0</v>
      </c>
      <c r="F2085" s="7" t="str">
        <f>IF(A2085=IFERROR(VLOOKUP(A2085,CATALOGO!$B$2:$B$600,1,FALSE),"Falta"),"", "Falta")</f>
        <v>Falta</v>
      </c>
    </row>
    <row r="2086" spans="1:6" x14ac:dyDescent="0.25">
      <c r="A2086" s="11">
        <f t="shared" si="32"/>
        <v>7700650</v>
      </c>
      <c r="B2086" s="6">
        <v>7700650</v>
      </c>
      <c r="C2086" s="6" t="s">
        <v>2142</v>
      </c>
      <c r="D2086" s="6">
        <v>0</v>
      </c>
      <c r="E2086" s="1">
        <v>0</v>
      </c>
      <c r="F2086" s="7" t="str">
        <f>IF(A2086=IFERROR(VLOOKUP(A2086,CATALOGO!$B$2:$B$600,1,FALSE),"Falta"),"", "Falta")</f>
        <v>Falta</v>
      </c>
    </row>
    <row r="2087" spans="1:6" x14ac:dyDescent="0.25">
      <c r="A2087" s="11" t="str">
        <f t="shared" si="32"/>
        <v/>
      </c>
      <c r="B2087" s="6" t="s">
        <v>1859</v>
      </c>
      <c r="C2087" s="6" t="s">
        <v>1859</v>
      </c>
      <c r="D2087" s="6">
        <v>0</v>
      </c>
      <c r="E2087" s="1">
        <v>0</v>
      </c>
      <c r="F2087" s="7" t="str">
        <f>IF(A2087=IFERROR(VLOOKUP(A2087,CATALOGO!$B$2:$B$600,1,FALSE),"Falta"),"", "Falta")</f>
        <v>Falta</v>
      </c>
    </row>
    <row r="2088" spans="1:6" x14ac:dyDescent="0.25">
      <c r="A2088" s="11">
        <f t="shared" si="32"/>
        <v>7700651</v>
      </c>
      <c r="B2088" s="6">
        <v>7700651</v>
      </c>
      <c r="C2088" s="6" t="s">
        <v>2143</v>
      </c>
      <c r="D2088" s="6">
        <v>0</v>
      </c>
      <c r="E2088" s="1">
        <v>0</v>
      </c>
      <c r="F2088" s="7" t="str">
        <f>IF(A2088=IFERROR(VLOOKUP(A2088,CATALOGO!$B$2:$B$600,1,FALSE),"Falta"),"", "Falta")</f>
        <v>Falta</v>
      </c>
    </row>
    <row r="2089" spans="1:6" x14ac:dyDescent="0.25">
      <c r="A2089" s="11" t="str">
        <f t="shared" si="32"/>
        <v/>
      </c>
      <c r="B2089" s="6" t="s">
        <v>1859</v>
      </c>
      <c r="C2089" s="6" t="s">
        <v>1859</v>
      </c>
      <c r="D2089" s="6">
        <v>0</v>
      </c>
      <c r="E2089" s="1">
        <v>0</v>
      </c>
      <c r="F2089" s="7" t="str">
        <f>IF(A2089=IFERROR(VLOOKUP(A2089,CATALOGO!$B$2:$B$600,1,FALSE),"Falta"),"", "Falta")</f>
        <v>Falta</v>
      </c>
    </row>
    <row r="2090" spans="1:6" x14ac:dyDescent="0.25">
      <c r="A2090" s="11">
        <f t="shared" si="32"/>
        <v>7700652</v>
      </c>
      <c r="B2090" s="6">
        <v>7700652</v>
      </c>
      <c r="C2090" s="6" t="s">
        <v>2144</v>
      </c>
      <c r="D2090" s="6">
        <v>0</v>
      </c>
      <c r="E2090" s="1">
        <v>0</v>
      </c>
      <c r="F2090" s="7" t="str">
        <f>IF(A2090=IFERROR(VLOOKUP(A2090,CATALOGO!$B$2:$B$600,1,FALSE),"Falta"),"", "Falta")</f>
        <v>Falta</v>
      </c>
    </row>
    <row r="2091" spans="1:6" x14ac:dyDescent="0.25">
      <c r="A2091" s="11" t="str">
        <f t="shared" si="32"/>
        <v/>
      </c>
      <c r="B2091" s="6" t="s">
        <v>1859</v>
      </c>
      <c r="C2091" s="6" t="s">
        <v>1859</v>
      </c>
      <c r="D2091" s="6">
        <v>0</v>
      </c>
      <c r="E2091" s="1">
        <v>0</v>
      </c>
      <c r="F2091" s="7" t="str">
        <f>IF(A2091=IFERROR(VLOOKUP(A2091,CATALOGO!$B$2:$B$600,1,FALSE),"Falta"),"", "Falta")</f>
        <v>Falta</v>
      </c>
    </row>
    <row r="2092" spans="1:6" x14ac:dyDescent="0.25">
      <c r="A2092" s="11">
        <f t="shared" si="32"/>
        <v>7700653</v>
      </c>
      <c r="B2092" s="6">
        <v>7700653</v>
      </c>
      <c r="C2092" s="6" t="s">
        <v>2145</v>
      </c>
      <c r="D2092" s="6">
        <v>0</v>
      </c>
      <c r="E2092" s="1">
        <v>0</v>
      </c>
      <c r="F2092" s="7" t="str">
        <f>IF(A2092=IFERROR(VLOOKUP(A2092,CATALOGO!$B$2:$B$600,1,FALSE),"Falta"),"", "Falta")</f>
        <v>Falta</v>
      </c>
    </row>
    <row r="2093" spans="1:6" x14ac:dyDescent="0.25">
      <c r="A2093" s="11" t="str">
        <f t="shared" si="32"/>
        <v/>
      </c>
      <c r="B2093" s="6" t="s">
        <v>1859</v>
      </c>
      <c r="C2093" s="6" t="s">
        <v>1859</v>
      </c>
      <c r="D2093" s="6">
        <v>0</v>
      </c>
      <c r="E2093" s="1">
        <v>0</v>
      </c>
      <c r="F2093" s="7" t="str">
        <f>IF(A2093=IFERROR(VLOOKUP(A2093,CATALOGO!$B$2:$B$600,1,FALSE),"Falta"),"", "Falta")</f>
        <v>Falta</v>
      </c>
    </row>
    <row r="2094" spans="1:6" x14ac:dyDescent="0.25">
      <c r="A2094" s="11">
        <f t="shared" si="32"/>
        <v>7700654</v>
      </c>
      <c r="B2094" s="6">
        <v>7700654</v>
      </c>
      <c r="C2094" s="6" t="s">
        <v>2146</v>
      </c>
      <c r="D2094" s="6">
        <v>0</v>
      </c>
      <c r="E2094" s="1">
        <v>0</v>
      </c>
      <c r="F2094" s="7" t="str">
        <f>IF(A2094=IFERROR(VLOOKUP(A2094,CATALOGO!$B$2:$B$600,1,FALSE),"Falta"),"", "Falta")</f>
        <v>Falta</v>
      </c>
    </row>
    <row r="2095" spans="1:6" x14ac:dyDescent="0.25">
      <c r="A2095" s="11" t="str">
        <f t="shared" si="32"/>
        <v/>
      </c>
      <c r="B2095" s="6" t="s">
        <v>1859</v>
      </c>
      <c r="C2095" s="6" t="s">
        <v>1859</v>
      </c>
      <c r="D2095" s="6">
        <v>0</v>
      </c>
      <c r="E2095" s="1">
        <v>0</v>
      </c>
      <c r="F2095" s="7" t="str">
        <f>IF(A2095=IFERROR(VLOOKUP(A2095,CATALOGO!$B$2:$B$600,1,FALSE),"Falta"),"", "Falta")</f>
        <v>Falta</v>
      </c>
    </row>
    <row r="2096" spans="1:6" x14ac:dyDescent="0.25">
      <c r="A2096" s="11">
        <f t="shared" si="32"/>
        <v>7700655</v>
      </c>
      <c r="B2096" s="6">
        <v>7700655</v>
      </c>
      <c r="C2096" s="6" t="s">
        <v>2147</v>
      </c>
      <c r="D2096" s="6">
        <v>0</v>
      </c>
      <c r="E2096" s="1">
        <v>0</v>
      </c>
      <c r="F2096" s="7" t="str">
        <f>IF(A2096=IFERROR(VLOOKUP(A2096,CATALOGO!$B$2:$B$600,1,FALSE),"Falta"),"", "Falta")</f>
        <v>Falta</v>
      </c>
    </row>
    <row r="2097" spans="1:6" x14ac:dyDescent="0.25">
      <c r="A2097" s="11">
        <f t="shared" si="32"/>
        <v>7700656</v>
      </c>
      <c r="B2097" s="6">
        <v>7700656</v>
      </c>
      <c r="C2097" s="6" t="s">
        <v>813</v>
      </c>
      <c r="D2097" s="6">
        <v>214.29</v>
      </c>
      <c r="E2097" s="1">
        <v>0</v>
      </c>
      <c r="F2097" s="7" t="str">
        <f>IF(A2097=IFERROR(VLOOKUP(A2097,CATALOGO!$B$2:$B$600,1,FALSE),"Falta"),"", "Falta")</f>
        <v>Falta</v>
      </c>
    </row>
    <row r="2098" spans="1:6" x14ac:dyDescent="0.25">
      <c r="A2098" s="11" t="str">
        <f t="shared" si="32"/>
        <v/>
      </c>
      <c r="B2098" s="6" t="s">
        <v>1859</v>
      </c>
      <c r="C2098" s="6" t="s">
        <v>1859</v>
      </c>
      <c r="D2098" s="6">
        <v>0</v>
      </c>
      <c r="E2098" s="1">
        <v>0</v>
      </c>
      <c r="F2098" s="7" t="str">
        <f>IF(A2098=IFERROR(VLOOKUP(A2098,CATALOGO!$B$2:$B$600,1,FALSE),"Falta"),"", "Falta")</f>
        <v>Falta</v>
      </c>
    </row>
    <row r="2099" spans="1:6" x14ac:dyDescent="0.25">
      <c r="A2099" s="11">
        <f t="shared" si="32"/>
        <v>7700657</v>
      </c>
      <c r="B2099" s="6">
        <v>7700657</v>
      </c>
      <c r="C2099" s="6" t="s">
        <v>2148</v>
      </c>
      <c r="D2099" s="6">
        <v>0</v>
      </c>
      <c r="E2099" s="1">
        <v>0</v>
      </c>
      <c r="F2099" s="7" t="str">
        <f>IF(A2099=IFERROR(VLOOKUP(A2099,CATALOGO!$B$2:$B$600,1,FALSE),"Falta"),"", "Falta")</f>
        <v>Falta</v>
      </c>
    </row>
    <row r="2100" spans="1:6" x14ac:dyDescent="0.25">
      <c r="A2100" s="11" t="str">
        <f t="shared" si="32"/>
        <v/>
      </c>
      <c r="B2100" s="6" t="s">
        <v>1859</v>
      </c>
      <c r="C2100" s="6" t="s">
        <v>1859</v>
      </c>
      <c r="D2100" s="6">
        <v>0</v>
      </c>
      <c r="E2100" s="1">
        <v>0</v>
      </c>
      <c r="F2100" s="7" t="str">
        <f>IF(A2100=IFERROR(VLOOKUP(A2100,CATALOGO!$B$2:$B$600,1,FALSE),"Falta"),"", "Falta")</f>
        <v>Falta</v>
      </c>
    </row>
    <row r="2101" spans="1:6" x14ac:dyDescent="0.25">
      <c r="A2101" s="11">
        <f t="shared" si="32"/>
        <v>7700658</v>
      </c>
      <c r="B2101" s="6">
        <v>7700658</v>
      </c>
      <c r="C2101" s="6" t="s">
        <v>2149</v>
      </c>
      <c r="D2101" s="6">
        <v>0</v>
      </c>
      <c r="E2101" s="1">
        <v>0</v>
      </c>
      <c r="F2101" s="7" t="str">
        <f>IF(A2101=IFERROR(VLOOKUP(A2101,CATALOGO!$B$2:$B$600,1,FALSE),"Falta"),"", "Falta")</f>
        <v>Falta</v>
      </c>
    </row>
    <row r="2102" spans="1:6" x14ac:dyDescent="0.25">
      <c r="A2102" s="11" t="str">
        <f t="shared" si="32"/>
        <v/>
      </c>
      <c r="B2102" s="6" t="s">
        <v>1859</v>
      </c>
      <c r="C2102" s="6" t="s">
        <v>1859</v>
      </c>
      <c r="D2102" s="6">
        <v>0</v>
      </c>
      <c r="E2102" s="1">
        <v>0</v>
      </c>
      <c r="F2102" s="7" t="str">
        <f>IF(A2102=IFERROR(VLOOKUP(A2102,CATALOGO!$B$2:$B$600,1,FALSE),"Falta"),"", "Falta")</f>
        <v>Falta</v>
      </c>
    </row>
    <row r="2103" spans="1:6" x14ac:dyDescent="0.25">
      <c r="A2103" s="11">
        <f t="shared" si="32"/>
        <v>7700700</v>
      </c>
      <c r="B2103" s="6">
        <v>7700700</v>
      </c>
      <c r="C2103" s="6" t="s">
        <v>2150</v>
      </c>
      <c r="D2103" s="6">
        <v>0</v>
      </c>
      <c r="E2103" s="1">
        <v>0</v>
      </c>
      <c r="F2103" s="7" t="str">
        <f>IF(A2103=IFERROR(VLOOKUP(A2103,CATALOGO!$B$2:$B$600,1,FALSE),"Falta"),"", "Falta")</f>
        <v>Falta</v>
      </c>
    </row>
    <row r="2104" spans="1:6" x14ac:dyDescent="0.25">
      <c r="A2104" s="11" t="str">
        <f t="shared" si="32"/>
        <v/>
      </c>
      <c r="B2104" s="6" t="s">
        <v>1859</v>
      </c>
      <c r="C2104" s="6" t="s">
        <v>1859</v>
      </c>
      <c r="D2104" s="6">
        <v>0</v>
      </c>
      <c r="E2104" s="1">
        <v>0</v>
      </c>
      <c r="F2104" s="7" t="str">
        <f>IF(A2104=IFERROR(VLOOKUP(A2104,CATALOGO!$B$2:$B$600,1,FALSE),"Falta"),"", "Falta")</f>
        <v>Falta</v>
      </c>
    </row>
    <row r="2105" spans="1:6" x14ac:dyDescent="0.25">
      <c r="A2105" s="11">
        <f t="shared" si="32"/>
        <v>7700701</v>
      </c>
      <c r="B2105" s="6">
        <v>7700701</v>
      </c>
      <c r="C2105" s="6" t="s">
        <v>2151</v>
      </c>
      <c r="D2105" s="6">
        <v>0</v>
      </c>
      <c r="E2105" s="1">
        <v>0</v>
      </c>
      <c r="F2105" s="7" t="str">
        <f>IF(A2105=IFERROR(VLOOKUP(A2105,CATALOGO!$B$2:$B$600,1,FALSE),"Falta"),"", "Falta")</f>
        <v>Falta</v>
      </c>
    </row>
    <row r="2106" spans="1:6" x14ac:dyDescent="0.25">
      <c r="A2106" s="11">
        <f t="shared" si="32"/>
        <v>77007014</v>
      </c>
      <c r="B2106" s="6">
        <v>77007014</v>
      </c>
      <c r="C2106" s="6" t="s">
        <v>2152</v>
      </c>
      <c r="D2106" s="6">
        <v>249.15</v>
      </c>
      <c r="E2106" s="1">
        <v>0</v>
      </c>
      <c r="F2106" s="7" t="str">
        <f>IF(A2106=IFERROR(VLOOKUP(A2106,CATALOGO!$B$2:$B$600,1,FALSE),"Falta"),"", "Falta")</f>
        <v>Falta</v>
      </c>
    </row>
    <row r="2107" spans="1:6" x14ac:dyDescent="0.25">
      <c r="A2107" s="11">
        <f t="shared" si="32"/>
        <v>7700900</v>
      </c>
      <c r="B2107" s="6">
        <v>7700900</v>
      </c>
      <c r="C2107" s="6" t="s">
        <v>815</v>
      </c>
      <c r="D2107" s="6">
        <v>332.75</v>
      </c>
      <c r="E2107" s="1">
        <v>0</v>
      </c>
      <c r="F2107" s="7" t="str">
        <f>IF(A2107=IFERROR(VLOOKUP(A2107,CATALOGO!$B$2:$B$600,1,FALSE),"Falta"),"", "Falta")</f>
        <v>Falta</v>
      </c>
    </row>
    <row r="2108" spans="1:6" x14ac:dyDescent="0.25">
      <c r="A2108" s="11" t="str">
        <f t="shared" si="32"/>
        <v/>
      </c>
      <c r="B2108" s="6" t="s">
        <v>1859</v>
      </c>
      <c r="C2108" s="6" t="s">
        <v>1859</v>
      </c>
      <c r="D2108" s="6">
        <v>0</v>
      </c>
      <c r="E2108" s="1">
        <v>0</v>
      </c>
      <c r="F2108" s="7" t="str">
        <f>IF(A2108=IFERROR(VLOOKUP(A2108,CATALOGO!$B$2:$B$600,1,FALSE),"Falta"),"", "Falta")</f>
        <v>Falta</v>
      </c>
    </row>
    <row r="2109" spans="1:6" x14ac:dyDescent="0.25">
      <c r="A2109" s="11">
        <f t="shared" si="32"/>
        <v>7700901</v>
      </c>
      <c r="B2109" s="6">
        <v>7700901</v>
      </c>
      <c r="C2109" s="6" t="s">
        <v>2153</v>
      </c>
      <c r="D2109" s="6">
        <v>0</v>
      </c>
      <c r="E2109" s="1">
        <v>0</v>
      </c>
      <c r="F2109" s="7" t="str">
        <f>IF(A2109=IFERROR(VLOOKUP(A2109,CATALOGO!$B$2:$B$600,1,FALSE),"Falta"),"", "Falta")</f>
        <v>Falta</v>
      </c>
    </row>
    <row r="2110" spans="1:6" x14ac:dyDescent="0.25">
      <c r="A2110" s="11" t="str">
        <f t="shared" si="32"/>
        <v/>
      </c>
      <c r="B2110" s="6" t="s">
        <v>1859</v>
      </c>
      <c r="C2110" s="6" t="s">
        <v>1859</v>
      </c>
      <c r="D2110" s="6">
        <v>0</v>
      </c>
      <c r="E2110" s="1">
        <v>0</v>
      </c>
      <c r="F2110" s="7" t="str">
        <f>IF(A2110=IFERROR(VLOOKUP(A2110,CATALOGO!$B$2:$B$600,1,FALSE),"Falta"),"", "Falta")</f>
        <v>Falta</v>
      </c>
    </row>
    <row r="2111" spans="1:6" x14ac:dyDescent="0.25">
      <c r="A2111" s="11">
        <f t="shared" si="32"/>
        <v>7700902</v>
      </c>
      <c r="B2111" s="6">
        <v>7700902</v>
      </c>
      <c r="C2111" s="6" t="s">
        <v>2154</v>
      </c>
      <c r="D2111" s="6">
        <v>0</v>
      </c>
      <c r="E2111" s="1">
        <v>0</v>
      </c>
      <c r="F2111" s="7" t="str">
        <f>IF(A2111=IFERROR(VLOOKUP(A2111,CATALOGO!$B$2:$B$600,1,FALSE),"Falta"),"", "Falta")</f>
        <v>Falta</v>
      </c>
    </row>
    <row r="2112" spans="1:6" x14ac:dyDescent="0.25">
      <c r="A2112" s="11" t="str">
        <f t="shared" si="32"/>
        <v/>
      </c>
      <c r="B2112" s="6" t="s">
        <v>1859</v>
      </c>
      <c r="C2112" s="6" t="s">
        <v>1859</v>
      </c>
      <c r="D2112" s="6">
        <v>0</v>
      </c>
      <c r="E2112" s="1">
        <v>0</v>
      </c>
      <c r="F2112" s="7" t="str">
        <f>IF(A2112=IFERROR(VLOOKUP(A2112,CATALOGO!$B$2:$B$600,1,FALSE),"Falta"),"", "Falta")</f>
        <v>Falta</v>
      </c>
    </row>
    <row r="2113" spans="1:6" x14ac:dyDescent="0.25">
      <c r="A2113" s="11">
        <f t="shared" si="32"/>
        <v>7700903</v>
      </c>
      <c r="B2113" s="6">
        <v>7700903</v>
      </c>
      <c r="C2113" s="6" t="s">
        <v>2155</v>
      </c>
      <c r="D2113" s="6">
        <v>0</v>
      </c>
      <c r="E2113" s="1">
        <v>0</v>
      </c>
      <c r="F2113" s="7" t="str">
        <f>IF(A2113=IFERROR(VLOOKUP(A2113,CATALOGO!$B$2:$B$600,1,FALSE),"Falta"),"", "Falta")</f>
        <v>Falta</v>
      </c>
    </row>
    <row r="2114" spans="1:6" x14ac:dyDescent="0.25">
      <c r="A2114" s="11" t="str">
        <f t="shared" si="32"/>
        <v/>
      </c>
      <c r="B2114" s="6" t="s">
        <v>1859</v>
      </c>
      <c r="C2114" s="6" t="s">
        <v>1859</v>
      </c>
      <c r="D2114" s="6">
        <v>0</v>
      </c>
      <c r="E2114" s="1">
        <v>0</v>
      </c>
      <c r="F2114" s="7" t="str">
        <f>IF(A2114=IFERROR(VLOOKUP(A2114,CATALOGO!$B$2:$B$600,1,FALSE),"Falta"),"", "Falta")</f>
        <v>Falta</v>
      </c>
    </row>
    <row r="2115" spans="1:6" x14ac:dyDescent="0.25">
      <c r="A2115" s="11">
        <f t="shared" si="32"/>
        <v>7700904</v>
      </c>
      <c r="B2115" s="6">
        <v>7700904</v>
      </c>
      <c r="C2115" s="6" t="s">
        <v>2156</v>
      </c>
      <c r="D2115" s="6">
        <v>0</v>
      </c>
      <c r="E2115" s="1">
        <v>0</v>
      </c>
      <c r="F2115" s="7" t="str">
        <f>IF(A2115=IFERROR(VLOOKUP(A2115,CATALOGO!$B$2:$B$600,1,FALSE),"Falta"),"", "Falta")</f>
        <v>Falta</v>
      </c>
    </row>
    <row r="2116" spans="1:6" x14ac:dyDescent="0.25">
      <c r="A2116" s="11" t="str">
        <f t="shared" si="32"/>
        <v/>
      </c>
      <c r="B2116" s="6" t="s">
        <v>1859</v>
      </c>
      <c r="C2116" s="6" t="s">
        <v>1859</v>
      </c>
      <c r="D2116" s="6">
        <v>0</v>
      </c>
      <c r="E2116" s="1">
        <v>0</v>
      </c>
      <c r="F2116" s="7" t="str">
        <f>IF(A2116=IFERROR(VLOOKUP(A2116,CATALOGO!$B$2:$B$600,1,FALSE),"Falta"),"", "Falta")</f>
        <v>Falta</v>
      </c>
    </row>
    <row r="2117" spans="1:6" x14ac:dyDescent="0.25">
      <c r="A2117" s="11">
        <f t="shared" si="32"/>
        <v>7700905</v>
      </c>
      <c r="B2117" s="6">
        <v>7700905</v>
      </c>
      <c r="C2117" s="6" t="s">
        <v>2157</v>
      </c>
      <c r="D2117" s="6">
        <v>0</v>
      </c>
      <c r="E2117" s="1">
        <v>0</v>
      </c>
      <c r="F2117" s="7" t="str">
        <f>IF(A2117=IFERROR(VLOOKUP(A2117,CATALOGO!$B$2:$B$600,1,FALSE),"Falta"),"", "Falta")</f>
        <v>Falta</v>
      </c>
    </row>
    <row r="2118" spans="1:6" x14ac:dyDescent="0.25">
      <c r="A2118" s="11" t="str">
        <f t="shared" ref="A2118:A2181" si="33">IFERROR(B2118*1,"")</f>
        <v/>
      </c>
      <c r="B2118" s="6" t="s">
        <v>1859</v>
      </c>
      <c r="C2118" s="6" t="s">
        <v>1859</v>
      </c>
      <c r="D2118" s="6">
        <v>0</v>
      </c>
      <c r="E2118" s="1">
        <v>0</v>
      </c>
      <c r="F2118" s="7" t="str">
        <f>IF(A2118=IFERROR(VLOOKUP(A2118,CATALOGO!$B$2:$B$600,1,FALSE),"Falta"),"", "Falta")</f>
        <v>Falta</v>
      </c>
    </row>
    <row r="2119" spans="1:6" x14ac:dyDescent="0.25">
      <c r="A2119" s="11">
        <f t="shared" si="33"/>
        <v>7700906</v>
      </c>
      <c r="B2119" s="6">
        <v>7700906</v>
      </c>
      <c r="C2119" s="6" t="s">
        <v>2158</v>
      </c>
      <c r="D2119" s="6">
        <v>0</v>
      </c>
      <c r="E2119" s="1">
        <v>0</v>
      </c>
      <c r="F2119" s="7" t="str">
        <f>IF(A2119=IFERROR(VLOOKUP(A2119,CATALOGO!$B$2:$B$600,1,FALSE),"Falta"),"", "Falta")</f>
        <v>Falta</v>
      </c>
    </row>
    <row r="2120" spans="1:6" x14ac:dyDescent="0.25">
      <c r="A2120" s="11">
        <f t="shared" si="33"/>
        <v>7701004</v>
      </c>
      <c r="B2120" s="6">
        <v>7701004</v>
      </c>
      <c r="C2120" s="6" t="s">
        <v>2159</v>
      </c>
      <c r="D2120" s="6">
        <v>550</v>
      </c>
      <c r="E2120" s="1">
        <v>0</v>
      </c>
      <c r="F2120" s="7" t="str">
        <f>IF(A2120=IFERROR(VLOOKUP(A2120,CATALOGO!$B$2:$B$600,1,FALSE),"Falta"),"", "Falta")</f>
        <v>Falta</v>
      </c>
    </row>
    <row r="2121" spans="1:6" x14ac:dyDescent="0.25">
      <c r="A2121" s="11">
        <f t="shared" si="33"/>
        <v>7701005</v>
      </c>
      <c r="B2121" s="6">
        <v>7701005</v>
      </c>
      <c r="C2121" s="6" t="s">
        <v>438</v>
      </c>
      <c r="D2121" s="6">
        <v>550</v>
      </c>
      <c r="E2121" s="1">
        <v>0</v>
      </c>
      <c r="F2121" s="7" t="str">
        <f>IF(A2121=IFERROR(VLOOKUP(A2121,CATALOGO!$B$2:$B$600,1,FALSE),"Falta"),"", "Falta")</f>
        <v>Falta</v>
      </c>
    </row>
    <row r="2122" spans="1:6" x14ac:dyDescent="0.25">
      <c r="A2122" s="11" t="str">
        <f t="shared" si="33"/>
        <v/>
      </c>
      <c r="B2122" s="6" t="s">
        <v>1859</v>
      </c>
      <c r="C2122" s="6" t="s">
        <v>1859</v>
      </c>
      <c r="D2122" s="6">
        <v>0</v>
      </c>
      <c r="E2122" s="1">
        <v>0</v>
      </c>
      <c r="F2122" s="7" t="str">
        <f>IF(A2122=IFERROR(VLOOKUP(A2122,CATALOGO!$B$2:$B$600,1,FALSE),"Falta"),"", "Falta")</f>
        <v>Falta</v>
      </c>
    </row>
    <row r="2123" spans="1:6" x14ac:dyDescent="0.25">
      <c r="A2123" s="11">
        <f t="shared" si="33"/>
        <v>7701006</v>
      </c>
      <c r="B2123" s="6">
        <v>7701006</v>
      </c>
      <c r="C2123" s="6" t="s">
        <v>2160</v>
      </c>
      <c r="D2123" s="6">
        <v>0</v>
      </c>
      <c r="E2123" s="1">
        <v>0</v>
      </c>
      <c r="F2123" s="7" t="str">
        <f>IF(A2123=IFERROR(VLOOKUP(A2123,CATALOGO!$B$2:$B$600,1,FALSE),"Falta"),"", "Falta")</f>
        <v>Falta</v>
      </c>
    </row>
    <row r="2124" spans="1:6" x14ac:dyDescent="0.25">
      <c r="A2124" s="11">
        <f t="shared" si="33"/>
        <v>7701093</v>
      </c>
      <c r="B2124" s="6">
        <v>7701093</v>
      </c>
      <c r="C2124" s="6" t="s">
        <v>1523</v>
      </c>
      <c r="D2124" s="6">
        <v>199.76</v>
      </c>
      <c r="E2124" s="1">
        <v>1</v>
      </c>
      <c r="F2124" s="7" t="str">
        <f>IF(A2124=IFERROR(VLOOKUP(A2124,CATALOGO!$B$2:$B$600,1,FALSE),"Falta"),"", "Falta")</f>
        <v>Falta</v>
      </c>
    </row>
    <row r="2125" spans="1:6" x14ac:dyDescent="0.25">
      <c r="A2125" s="11">
        <f t="shared" si="33"/>
        <v>7701094</v>
      </c>
      <c r="B2125" s="6">
        <v>7701094</v>
      </c>
      <c r="C2125" s="6" t="s">
        <v>1524</v>
      </c>
      <c r="D2125" s="6">
        <v>199.76</v>
      </c>
      <c r="E2125" s="1">
        <v>2</v>
      </c>
      <c r="F2125" s="7" t="str">
        <f>IF(A2125=IFERROR(VLOOKUP(A2125,CATALOGO!$B$2:$B$600,1,FALSE),"Falta"),"", "Falta")</f>
        <v>Falta</v>
      </c>
    </row>
    <row r="2126" spans="1:6" x14ac:dyDescent="0.25">
      <c r="A2126" s="11" t="str">
        <f t="shared" si="33"/>
        <v/>
      </c>
      <c r="B2126" s="6" t="s">
        <v>1859</v>
      </c>
      <c r="C2126" s="6" t="s">
        <v>1859</v>
      </c>
      <c r="D2126" s="6">
        <v>0</v>
      </c>
      <c r="E2126" s="1">
        <v>0</v>
      </c>
      <c r="F2126" s="7" t="str">
        <f>IF(A2126=IFERROR(VLOOKUP(A2126,CATALOGO!$B$2:$B$600,1,FALSE),"Falta"),"", "Falta")</f>
        <v>Falta</v>
      </c>
    </row>
    <row r="2127" spans="1:6" x14ac:dyDescent="0.25">
      <c r="A2127" s="11">
        <f t="shared" si="33"/>
        <v>7701100</v>
      </c>
      <c r="B2127" s="6">
        <v>7701100</v>
      </c>
      <c r="C2127" s="6" t="s">
        <v>2161</v>
      </c>
      <c r="D2127" s="6">
        <v>0</v>
      </c>
      <c r="E2127" s="1">
        <v>0</v>
      </c>
      <c r="F2127" s="7" t="str">
        <f>IF(A2127=IFERROR(VLOOKUP(A2127,CATALOGO!$B$2:$B$600,1,FALSE),"Falta"),"", "Falta")</f>
        <v>Falta</v>
      </c>
    </row>
    <row r="2128" spans="1:6" x14ac:dyDescent="0.25">
      <c r="A2128" s="11" t="str">
        <f t="shared" si="33"/>
        <v/>
      </c>
      <c r="B2128" s="6" t="s">
        <v>1859</v>
      </c>
      <c r="C2128" s="6" t="s">
        <v>1859</v>
      </c>
      <c r="D2128" s="6">
        <v>0</v>
      </c>
      <c r="E2128" s="1">
        <v>0</v>
      </c>
      <c r="F2128" s="7" t="str">
        <f>IF(A2128=IFERROR(VLOOKUP(A2128,CATALOGO!$B$2:$B$600,1,FALSE),"Falta"),"", "Falta")</f>
        <v>Falta</v>
      </c>
    </row>
    <row r="2129" spans="1:6" x14ac:dyDescent="0.25">
      <c r="A2129" s="11">
        <f t="shared" si="33"/>
        <v>7701101</v>
      </c>
      <c r="B2129" s="6">
        <v>7701101</v>
      </c>
      <c r="C2129" s="6" t="s">
        <v>2162</v>
      </c>
      <c r="D2129" s="6">
        <v>0</v>
      </c>
      <c r="E2129" s="1">
        <v>0</v>
      </c>
      <c r="F2129" s="7" t="str">
        <f>IF(A2129=IFERROR(VLOOKUP(A2129,CATALOGO!$B$2:$B$600,1,FALSE),"Falta"),"", "Falta")</f>
        <v>Falta</v>
      </c>
    </row>
    <row r="2130" spans="1:6" x14ac:dyDescent="0.25">
      <c r="A2130" s="11" t="str">
        <f t="shared" si="33"/>
        <v/>
      </c>
      <c r="B2130" s="6" t="s">
        <v>1859</v>
      </c>
      <c r="C2130" s="6" t="s">
        <v>1859</v>
      </c>
      <c r="D2130" s="6">
        <v>0</v>
      </c>
      <c r="E2130" s="1">
        <v>0</v>
      </c>
      <c r="F2130" s="7" t="str">
        <f>IF(A2130=IFERROR(VLOOKUP(A2130,CATALOGO!$B$2:$B$600,1,FALSE),"Falta"),"", "Falta")</f>
        <v>Falta</v>
      </c>
    </row>
    <row r="2131" spans="1:6" x14ac:dyDescent="0.25">
      <c r="A2131" s="11">
        <f t="shared" si="33"/>
        <v>7701102</v>
      </c>
      <c r="B2131" s="6">
        <v>7701102</v>
      </c>
      <c r="C2131" s="6" t="s">
        <v>2163</v>
      </c>
      <c r="D2131" s="6">
        <v>0</v>
      </c>
      <c r="E2131" s="1">
        <v>0</v>
      </c>
      <c r="F2131" s="7" t="str">
        <f>IF(A2131=IFERROR(VLOOKUP(A2131,CATALOGO!$B$2:$B$600,1,FALSE),"Falta"),"", "Falta")</f>
        <v>Falta</v>
      </c>
    </row>
    <row r="2132" spans="1:6" x14ac:dyDescent="0.25">
      <c r="A2132" s="11" t="str">
        <f t="shared" si="33"/>
        <v/>
      </c>
      <c r="B2132" s="6" t="s">
        <v>1859</v>
      </c>
      <c r="C2132" s="6" t="s">
        <v>1859</v>
      </c>
      <c r="D2132" s="6">
        <v>0</v>
      </c>
      <c r="E2132" s="1">
        <v>0</v>
      </c>
      <c r="F2132" s="7" t="str">
        <f>IF(A2132=IFERROR(VLOOKUP(A2132,CATALOGO!$B$2:$B$600,1,FALSE),"Falta"),"", "Falta")</f>
        <v>Falta</v>
      </c>
    </row>
    <row r="2133" spans="1:6" x14ac:dyDescent="0.25">
      <c r="A2133" s="11">
        <f t="shared" si="33"/>
        <v>7701103</v>
      </c>
      <c r="B2133" s="6">
        <v>7701103</v>
      </c>
      <c r="C2133" s="6" t="s">
        <v>2164</v>
      </c>
      <c r="D2133" s="6">
        <v>0</v>
      </c>
      <c r="E2133" s="1">
        <v>0</v>
      </c>
      <c r="F2133" s="7" t="str">
        <f>IF(A2133=IFERROR(VLOOKUP(A2133,CATALOGO!$B$2:$B$600,1,FALSE),"Falta"),"", "Falta")</f>
        <v>Falta</v>
      </c>
    </row>
    <row r="2134" spans="1:6" x14ac:dyDescent="0.25">
      <c r="A2134" s="11">
        <f t="shared" si="33"/>
        <v>7701104</v>
      </c>
      <c r="B2134" s="6">
        <v>7701104</v>
      </c>
      <c r="C2134" s="6" t="s">
        <v>1525</v>
      </c>
      <c r="D2134" s="6">
        <v>199.76</v>
      </c>
      <c r="E2134" s="1">
        <v>1</v>
      </c>
      <c r="F2134" s="7" t="str">
        <f>IF(A2134=IFERROR(VLOOKUP(A2134,CATALOGO!$B$2:$B$600,1,FALSE),"Falta"),"", "Falta")</f>
        <v>Falta</v>
      </c>
    </row>
    <row r="2135" spans="1:6" x14ac:dyDescent="0.25">
      <c r="A2135" s="11" t="str">
        <f t="shared" si="33"/>
        <v/>
      </c>
      <c r="B2135" s="6" t="s">
        <v>1859</v>
      </c>
      <c r="C2135" s="6" t="s">
        <v>1859</v>
      </c>
      <c r="D2135" s="6">
        <v>0</v>
      </c>
      <c r="E2135" s="1">
        <v>0</v>
      </c>
      <c r="F2135" s="7" t="str">
        <f>IF(A2135=IFERROR(VLOOKUP(A2135,CATALOGO!$B$2:$B$600,1,FALSE),"Falta"),"", "Falta")</f>
        <v>Falta</v>
      </c>
    </row>
    <row r="2136" spans="1:6" x14ac:dyDescent="0.25">
      <c r="A2136" s="11">
        <f t="shared" si="33"/>
        <v>7701105</v>
      </c>
      <c r="B2136" s="6">
        <v>7701105</v>
      </c>
      <c r="C2136" s="6" t="s">
        <v>2165</v>
      </c>
      <c r="D2136" s="6">
        <v>0</v>
      </c>
      <c r="E2136" s="1">
        <v>0</v>
      </c>
      <c r="F2136" s="7" t="str">
        <f>IF(A2136=IFERROR(VLOOKUP(A2136,CATALOGO!$B$2:$B$600,1,FALSE),"Falta"),"", "Falta")</f>
        <v>Falta</v>
      </c>
    </row>
    <row r="2137" spans="1:6" x14ac:dyDescent="0.25">
      <c r="A2137" s="11">
        <f t="shared" si="33"/>
        <v>7701136</v>
      </c>
      <c r="B2137" s="6">
        <v>7701136</v>
      </c>
      <c r="C2137" s="6" t="s">
        <v>15</v>
      </c>
      <c r="D2137" s="6">
        <v>197.46</v>
      </c>
      <c r="E2137" s="1">
        <v>0</v>
      </c>
      <c r="F2137" s="7" t="str">
        <f>IF(A2137=IFERROR(VLOOKUP(A2137,CATALOGO!$B$2:$B$600,1,FALSE),"Falta"),"", "Falta")</f>
        <v>Falta</v>
      </c>
    </row>
    <row r="2138" spans="1:6" x14ac:dyDescent="0.25">
      <c r="A2138" s="11">
        <f t="shared" si="33"/>
        <v>7701137</v>
      </c>
      <c r="B2138" s="6">
        <v>7701137</v>
      </c>
      <c r="C2138" s="6" t="s">
        <v>1526</v>
      </c>
      <c r="D2138" s="6">
        <v>182.15</v>
      </c>
      <c r="E2138" s="1">
        <v>0</v>
      </c>
      <c r="F2138" s="7" t="str">
        <f>IF(A2138=IFERROR(VLOOKUP(A2138,CATALOGO!$B$2:$B$600,1,FALSE),"Falta"),"", "Falta")</f>
        <v/>
      </c>
    </row>
    <row r="2139" spans="1:6" x14ac:dyDescent="0.25">
      <c r="A2139" s="11" t="str">
        <f t="shared" si="33"/>
        <v/>
      </c>
      <c r="B2139" s="6" t="s">
        <v>1859</v>
      </c>
      <c r="C2139" s="6" t="s">
        <v>1859</v>
      </c>
      <c r="D2139" s="6">
        <v>0</v>
      </c>
      <c r="E2139" s="1">
        <v>0</v>
      </c>
      <c r="F2139" s="7" t="str">
        <f>IF(A2139=IFERROR(VLOOKUP(A2139,CATALOGO!$B$2:$B$600,1,FALSE),"Falta"),"", "Falta")</f>
        <v>Falta</v>
      </c>
    </row>
    <row r="2140" spans="1:6" x14ac:dyDescent="0.25">
      <c r="A2140" s="11">
        <f t="shared" si="33"/>
        <v>7701200</v>
      </c>
      <c r="B2140" s="6">
        <v>7701200</v>
      </c>
      <c r="C2140" s="6" t="s">
        <v>2166</v>
      </c>
      <c r="D2140" s="6">
        <v>0</v>
      </c>
      <c r="E2140" s="1">
        <v>0</v>
      </c>
      <c r="F2140" s="7" t="str">
        <f>IF(A2140=IFERROR(VLOOKUP(A2140,CATALOGO!$B$2:$B$600,1,FALSE),"Falta"),"", "Falta")</f>
        <v>Falta</v>
      </c>
    </row>
    <row r="2141" spans="1:6" x14ac:dyDescent="0.25">
      <c r="A2141" s="11" t="str">
        <f t="shared" si="33"/>
        <v/>
      </c>
      <c r="B2141" s="6" t="s">
        <v>1859</v>
      </c>
      <c r="C2141" s="6" t="s">
        <v>1859</v>
      </c>
      <c r="D2141" s="6">
        <v>0</v>
      </c>
      <c r="E2141" s="1">
        <v>0</v>
      </c>
      <c r="F2141" s="7" t="str">
        <f>IF(A2141=IFERROR(VLOOKUP(A2141,CATALOGO!$B$2:$B$600,1,FALSE),"Falta"),"", "Falta")</f>
        <v>Falta</v>
      </c>
    </row>
    <row r="2142" spans="1:6" x14ac:dyDescent="0.25">
      <c r="A2142" s="11">
        <f t="shared" si="33"/>
        <v>7701201</v>
      </c>
      <c r="B2142" s="6">
        <v>7701201</v>
      </c>
      <c r="C2142" s="6" t="s">
        <v>2167</v>
      </c>
      <c r="D2142" s="6">
        <v>0</v>
      </c>
      <c r="E2142" s="1">
        <v>0</v>
      </c>
      <c r="F2142" s="7" t="str">
        <f>IF(A2142=IFERROR(VLOOKUP(A2142,CATALOGO!$B$2:$B$600,1,FALSE),"Falta"),"", "Falta")</f>
        <v>Falta</v>
      </c>
    </row>
    <row r="2143" spans="1:6" x14ac:dyDescent="0.25">
      <c r="A2143" s="11" t="str">
        <f t="shared" si="33"/>
        <v/>
      </c>
      <c r="B2143" s="6" t="s">
        <v>1859</v>
      </c>
      <c r="C2143" s="6" t="s">
        <v>1859</v>
      </c>
      <c r="D2143" s="6">
        <v>0</v>
      </c>
      <c r="E2143" s="1">
        <v>0</v>
      </c>
      <c r="F2143" s="7" t="str">
        <f>IF(A2143=IFERROR(VLOOKUP(A2143,CATALOGO!$B$2:$B$600,1,FALSE),"Falta"),"", "Falta")</f>
        <v>Falta</v>
      </c>
    </row>
    <row r="2144" spans="1:6" x14ac:dyDescent="0.25">
      <c r="A2144" s="11">
        <f t="shared" si="33"/>
        <v>7701202</v>
      </c>
      <c r="B2144" s="6">
        <v>7701202</v>
      </c>
      <c r="C2144" s="6" t="s">
        <v>2168</v>
      </c>
      <c r="D2144" s="6">
        <v>0</v>
      </c>
      <c r="E2144" s="1">
        <v>0</v>
      </c>
      <c r="F2144" s="7" t="str">
        <f>IF(A2144=IFERROR(VLOOKUP(A2144,CATALOGO!$B$2:$B$600,1,FALSE),"Falta"),"", "Falta")</f>
        <v>Falta</v>
      </c>
    </row>
    <row r="2145" spans="1:6" x14ac:dyDescent="0.25">
      <c r="A2145" s="11" t="str">
        <f t="shared" si="33"/>
        <v/>
      </c>
      <c r="B2145" s="6" t="s">
        <v>1859</v>
      </c>
      <c r="C2145" s="6" t="s">
        <v>1859</v>
      </c>
      <c r="D2145" s="6">
        <v>0</v>
      </c>
      <c r="E2145" s="1">
        <v>0</v>
      </c>
      <c r="F2145" s="7" t="str">
        <f>IF(A2145=IFERROR(VLOOKUP(A2145,CATALOGO!$B$2:$B$600,1,FALSE),"Falta"),"", "Falta")</f>
        <v>Falta</v>
      </c>
    </row>
    <row r="2146" spans="1:6" x14ac:dyDescent="0.25">
      <c r="A2146" s="11">
        <f t="shared" si="33"/>
        <v>7701203</v>
      </c>
      <c r="B2146" s="6">
        <v>7701203</v>
      </c>
      <c r="C2146" s="6" t="s">
        <v>2169</v>
      </c>
      <c r="D2146" s="6">
        <v>0</v>
      </c>
      <c r="E2146" s="1">
        <v>0</v>
      </c>
      <c r="F2146" s="7" t="str">
        <f>IF(A2146=IFERROR(VLOOKUP(A2146,CATALOGO!$B$2:$B$600,1,FALSE),"Falta"),"", "Falta")</f>
        <v>Falta</v>
      </c>
    </row>
    <row r="2147" spans="1:6" x14ac:dyDescent="0.25">
      <c r="A2147" s="11" t="str">
        <f t="shared" si="33"/>
        <v/>
      </c>
      <c r="B2147" s="6" t="s">
        <v>1859</v>
      </c>
      <c r="C2147" s="6" t="s">
        <v>2170</v>
      </c>
      <c r="D2147" s="6">
        <v>0</v>
      </c>
      <c r="E2147" s="1">
        <v>0</v>
      </c>
      <c r="F2147" s="7" t="str">
        <f>IF(A2147=IFERROR(VLOOKUP(A2147,CATALOGO!$B$2:$B$600,1,FALSE),"Falta"),"", "Falta")</f>
        <v>Falta</v>
      </c>
    </row>
    <row r="2148" spans="1:6" x14ac:dyDescent="0.25">
      <c r="A2148" s="11">
        <f t="shared" si="33"/>
        <v>7701394</v>
      </c>
      <c r="B2148" s="6">
        <v>7701394</v>
      </c>
      <c r="C2148" s="6" t="s">
        <v>2171</v>
      </c>
      <c r="D2148" s="6">
        <v>0</v>
      </c>
      <c r="E2148" s="1">
        <v>0</v>
      </c>
      <c r="F2148" s="7" t="str">
        <f>IF(A2148=IFERROR(VLOOKUP(A2148,CATALOGO!$B$2:$B$600,1,FALSE),"Falta"),"", "Falta")</f>
        <v>Falta</v>
      </c>
    </row>
    <row r="2149" spans="1:6" x14ac:dyDescent="0.25">
      <c r="A2149" s="11" t="str">
        <f t="shared" si="33"/>
        <v/>
      </c>
      <c r="B2149" s="6" t="s">
        <v>1859</v>
      </c>
      <c r="C2149" s="6" t="s">
        <v>1859</v>
      </c>
      <c r="D2149" s="6">
        <v>0</v>
      </c>
      <c r="E2149" s="1">
        <v>0</v>
      </c>
      <c r="F2149" s="7" t="str">
        <f>IF(A2149=IFERROR(VLOOKUP(A2149,CATALOGO!$B$2:$B$600,1,FALSE),"Falta"),"", "Falta")</f>
        <v>Falta</v>
      </c>
    </row>
    <row r="2150" spans="1:6" x14ac:dyDescent="0.25">
      <c r="A2150" s="11">
        <f t="shared" si="33"/>
        <v>7701397</v>
      </c>
      <c r="B2150" s="6">
        <v>7701397</v>
      </c>
      <c r="C2150" s="6" t="s">
        <v>2172</v>
      </c>
      <c r="D2150" s="6">
        <v>0</v>
      </c>
      <c r="E2150" s="1">
        <v>0</v>
      </c>
      <c r="F2150" s="7" t="str">
        <f>IF(A2150=IFERROR(VLOOKUP(A2150,CATALOGO!$B$2:$B$600,1,FALSE),"Falta"),"", "Falta")</f>
        <v>Falta</v>
      </c>
    </row>
    <row r="2151" spans="1:6" x14ac:dyDescent="0.25">
      <c r="A2151" s="11" t="str">
        <f t="shared" si="33"/>
        <v/>
      </c>
      <c r="B2151" s="6" t="s">
        <v>1859</v>
      </c>
      <c r="C2151" s="6" t="s">
        <v>1859</v>
      </c>
      <c r="D2151" s="6">
        <v>0</v>
      </c>
      <c r="E2151" s="1">
        <v>0</v>
      </c>
      <c r="F2151" s="7" t="str">
        <f>IF(A2151=IFERROR(VLOOKUP(A2151,CATALOGO!$B$2:$B$600,1,FALSE),"Falta"),"", "Falta")</f>
        <v>Falta</v>
      </c>
    </row>
    <row r="2152" spans="1:6" x14ac:dyDescent="0.25">
      <c r="A2152" s="11">
        <f t="shared" si="33"/>
        <v>7701655</v>
      </c>
      <c r="B2152" s="6">
        <v>7701655</v>
      </c>
      <c r="C2152" s="6" t="s">
        <v>2173</v>
      </c>
      <c r="D2152" s="6">
        <v>0</v>
      </c>
      <c r="E2152" s="1">
        <v>0</v>
      </c>
      <c r="F2152" s="7" t="str">
        <f>IF(A2152=IFERROR(VLOOKUP(A2152,CATALOGO!$B$2:$B$600,1,FALSE),"Falta"),"", "Falta")</f>
        <v>Falta</v>
      </c>
    </row>
    <row r="2153" spans="1:6" x14ac:dyDescent="0.25">
      <c r="A2153" s="11">
        <f t="shared" si="33"/>
        <v>7703001</v>
      </c>
      <c r="B2153" s="6">
        <v>7703001</v>
      </c>
      <c r="C2153" s="6" t="s">
        <v>766</v>
      </c>
      <c r="D2153" s="6">
        <v>220</v>
      </c>
      <c r="E2153" s="1">
        <v>4</v>
      </c>
      <c r="F2153" s="7" t="str">
        <f>IF(A2153=IFERROR(VLOOKUP(A2153,CATALOGO!$B$2:$B$600,1,FALSE),"Falta"),"", "Falta")</f>
        <v/>
      </c>
    </row>
    <row r="2154" spans="1:6" x14ac:dyDescent="0.25">
      <c r="A2154" s="11">
        <f t="shared" si="33"/>
        <v>7703002</v>
      </c>
      <c r="B2154" s="6">
        <v>7703002</v>
      </c>
      <c r="C2154" s="6" t="s">
        <v>1527</v>
      </c>
      <c r="D2154" s="6">
        <v>220</v>
      </c>
      <c r="E2154" s="1">
        <v>60</v>
      </c>
      <c r="F2154" s="7" t="str">
        <f>IF(A2154=IFERROR(VLOOKUP(A2154,CATALOGO!$B$2:$B$600,1,FALSE),"Falta"),"", "Falta")</f>
        <v/>
      </c>
    </row>
    <row r="2155" spans="1:6" x14ac:dyDescent="0.25">
      <c r="A2155" s="11" t="str">
        <f t="shared" si="33"/>
        <v/>
      </c>
      <c r="B2155" s="6" t="s">
        <v>1859</v>
      </c>
      <c r="C2155" s="6" t="s">
        <v>1859</v>
      </c>
      <c r="D2155" s="6">
        <v>0</v>
      </c>
      <c r="E2155" s="1">
        <v>0</v>
      </c>
      <c r="F2155" s="7" t="str">
        <f>IF(A2155=IFERROR(VLOOKUP(A2155,CATALOGO!$B$2:$B$600,1,FALSE),"Falta"),"", "Falta")</f>
        <v>Falta</v>
      </c>
    </row>
    <row r="2156" spans="1:6" x14ac:dyDescent="0.25">
      <c r="A2156" s="11">
        <f t="shared" si="33"/>
        <v>7703003</v>
      </c>
      <c r="B2156" s="6">
        <v>7703003</v>
      </c>
      <c r="C2156" s="6" t="s">
        <v>2174</v>
      </c>
      <c r="D2156" s="6">
        <v>0</v>
      </c>
      <c r="E2156" s="1">
        <v>0</v>
      </c>
      <c r="F2156" s="7" t="str">
        <f>IF(A2156=IFERROR(VLOOKUP(A2156,CATALOGO!$B$2:$B$600,1,FALSE),"Falta"),"", "Falta")</f>
        <v>Falta</v>
      </c>
    </row>
    <row r="2157" spans="1:6" x14ac:dyDescent="0.25">
      <c r="A2157" s="11" t="str">
        <f t="shared" si="33"/>
        <v/>
      </c>
      <c r="B2157" s="6" t="s">
        <v>1859</v>
      </c>
      <c r="C2157" s="6" t="s">
        <v>1859</v>
      </c>
      <c r="D2157" s="6">
        <v>0</v>
      </c>
      <c r="E2157" s="1">
        <v>0</v>
      </c>
      <c r="F2157" s="7" t="str">
        <f>IF(A2157=IFERROR(VLOOKUP(A2157,CATALOGO!$B$2:$B$600,1,FALSE),"Falta"),"", "Falta")</f>
        <v>Falta</v>
      </c>
    </row>
    <row r="2158" spans="1:6" x14ac:dyDescent="0.25">
      <c r="A2158" s="11">
        <f t="shared" si="33"/>
        <v>7703004</v>
      </c>
      <c r="B2158" s="6">
        <v>7703004</v>
      </c>
      <c r="C2158" s="6" t="s">
        <v>2175</v>
      </c>
      <c r="D2158" s="6">
        <v>0</v>
      </c>
      <c r="E2158" s="1">
        <v>0</v>
      </c>
      <c r="F2158" s="7" t="str">
        <f>IF(A2158=IFERROR(VLOOKUP(A2158,CATALOGO!$B$2:$B$600,1,FALSE),"Falta"),"", "Falta")</f>
        <v>Falta</v>
      </c>
    </row>
    <row r="2159" spans="1:6" x14ac:dyDescent="0.25">
      <c r="A2159" s="11" t="str">
        <f t="shared" si="33"/>
        <v/>
      </c>
      <c r="B2159" s="6" t="s">
        <v>1859</v>
      </c>
      <c r="C2159" s="6" t="s">
        <v>1859</v>
      </c>
      <c r="D2159" s="6">
        <v>0</v>
      </c>
      <c r="E2159" s="1">
        <v>0</v>
      </c>
      <c r="F2159" s="7" t="str">
        <f>IF(A2159=IFERROR(VLOOKUP(A2159,CATALOGO!$B$2:$B$600,1,FALSE),"Falta"),"", "Falta")</f>
        <v>Falta</v>
      </c>
    </row>
    <row r="2160" spans="1:6" x14ac:dyDescent="0.25">
      <c r="A2160" s="11">
        <f t="shared" si="33"/>
        <v>7703005</v>
      </c>
      <c r="B2160" s="6">
        <v>7703005</v>
      </c>
      <c r="C2160" s="6" t="s">
        <v>2176</v>
      </c>
      <c r="D2160" s="6">
        <v>0</v>
      </c>
      <c r="E2160" s="1">
        <v>0</v>
      </c>
      <c r="F2160" s="7" t="str">
        <f>IF(A2160=IFERROR(VLOOKUP(A2160,CATALOGO!$B$2:$B$600,1,FALSE),"Falta"),"", "Falta")</f>
        <v>Falta</v>
      </c>
    </row>
    <row r="2161" spans="1:6" x14ac:dyDescent="0.25">
      <c r="A2161" s="11">
        <f t="shared" si="33"/>
        <v>7703019</v>
      </c>
      <c r="B2161" s="6">
        <v>7703019</v>
      </c>
      <c r="C2161" s="6" t="s">
        <v>769</v>
      </c>
      <c r="D2161" s="6">
        <v>297.66000000000003</v>
      </c>
      <c r="E2161" s="1">
        <v>0</v>
      </c>
      <c r="F2161" s="7" t="str">
        <f>IF(A2161=IFERROR(VLOOKUP(A2161,CATALOGO!$B$2:$B$600,1,FALSE),"Falta"),"", "Falta")</f>
        <v>Falta</v>
      </c>
    </row>
    <row r="2162" spans="1:6" x14ac:dyDescent="0.25">
      <c r="A2162" s="11">
        <f t="shared" si="33"/>
        <v>7703020</v>
      </c>
      <c r="B2162" s="6">
        <v>7703020</v>
      </c>
      <c r="C2162" s="6" t="s">
        <v>768</v>
      </c>
      <c r="D2162" s="6">
        <v>299.68</v>
      </c>
      <c r="E2162" s="1">
        <v>0</v>
      </c>
      <c r="F2162" s="7" t="str">
        <f>IF(A2162=IFERROR(VLOOKUP(A2162,CATALOGO!$B$2:$B$600,1,FALSE),"Falta"),"", "Falta")</f>
        <v>Falta</v>
      </c>
    </row>
    <row r="2163" spans="1:6" x14ac:dyDescent="0.25">
      <c r="A2163" s="11">
        <f t="shared" si="33"/>
        <v>7703021</v>
      </c>
      <c r="B2163" s="6">
        <v>7703021</v>
      </c>
      <c r="C2163" s="6" t="s">
        <v>772</v>
      </c>
      <c r="D2163" s="6">
        <v>299.68</v>
      </c>
      <c r="E2163" s="1">
        <v>0</v>
      </c>
      <c r="F2163" s="7" t="str">
        <f>IF(A2163=IFERROR(VLOOKUP(A2163,CATALOGO!$B$2:$B$600,1,FALSE),"Falta"),"", "Falta")</f>
        <v>Falta</v>
      </c>
    </row>
    <row r="2164" spans="1:6" x14ac:dyDescent="0.25">
      <c r="A2164" s="11">
        <f t="shared" si="33"/>
        <v>7703022</v>
      </c>
      <c r="B2164" s="6">
        <v>7703022</v>
      </c>
      <c r="C2164" s="6" t="s">
        <v>771</v>
      </c>
      <c r="D2164" s="6">
        <v>299.68</v>
      </c>
      <c r="E2164" s="1">
        <v>0</v>
      </c>
      <c r="F2164" s="7" t="str">
        <f>IF(A2164=IFERROR(VLOOKUP(A2164,CATALOGO!$B$2:$B$600,1,FALSE),"Falta"),"", "Falta")</f>
        <v>Falta</v>
      </c>
    </row>
    <row r="2165" spans="1:6" x14ac:dyDescent="0.25">
      <c r="A2165" s="11">
        <f t="shared" si="33"/>
        <v>7703023</v>
      </c>
      <c r="B2165" s="6">
        <v>7703023</v>
      </c>
      <c r="C2165" s="6" t="s">
        <v>770</v>
      </c>
      <c r="D2165" s="6">
        <v>299.68</v>
      </c>
      <c r="E2165" s="1">
        <v>0</v>
      </c>
      <c r="F2165" s="7" t="str">
        <f>IF(A2165=IFERROR(VLOOKUP(A2165,CATALOGO!$B$2:$B$600,1,FALSE),"Falta"),"", "Falta")</f>
        <v>Falta</v>
      </c>
    </row>
    <row r="2166" spans="1:6" x14ac:dyDescent="0.25">
      <c r="A2166" s="11">
        <f t="shared" si="33"/>
        <v>7703024</v>
      </c>
      <c r="B2166" s="6">
        <v>7703024</v>
      </c>
      <c r="C2166" s="6" t="s">
        <v>773</v>
      </c>
      <c r="D2166" s="6">
        <v>299.68</v>
      </c>
      <c r="E2166" s="1">
        <v>0</v>
      </c>
      <c r="F2166" s="7" t="str">
        <f>IF(A2166=IFERROR(VLOOKUP(A2166,CATALOGO!$B$2:$B$600,1,FALSE),"Falta"),"", "Falta")</f>
        <v>Falta</v>
      </c>
    </row>
    <row r="2167" spans="1:6" x14ac:dyDescent="0.25">
      <c r="A2167" s="11" t="str">
        <f t="shared" si="33"/>
        <v/>
      </c>
      <c r="B2167" s="6" t="s">
        <v>1859</v>
      </c>
      <c r="C2167" s="6" t="s">
        <v>1859</v>
      </c>
      <c r="D2167" s="6">
        <v>0</v>
      </c>
      <c r="E2167" s="1">
        <v>0</v>
      </c>
      <c r="F2167" s="7" t="str">
        <f>IF(A2167=IFERROR(VLOOKUP(A2167,CATALOGO!$B$2:$B$600,1,FALSE),"Falta"),"", "Falta")</f>
        <v>Falta</v>
      </c>
    </row>
    <row r="2168" spans="1:6" x14ac:dyDescent="0.25">
      <c r="A2168" s="11">
        <f t="shared" si="33"/>
        <v>7703025</v>
      </c>
      <c r="B2168" s="6">
        <v>7703025</v>
      </c>
      <c r="C2168" s="6" t="s">
        <v>2177</v>
      </c>
      <c r="D2168" s="6">
        <v>0</v>
      </c>
      <c r="E2168" s="1">
        <v>0</v>
      </c>
      <c r="F2168" s="7" t="str">
        <f>IF(A2168=IFERROR(VLOOKUP(A2168,CATALOGO!$B$2:$B$600,1,FALSE),"Falta"),"", "Falta")</f>
        <v>Falta</v>
      </c>
    </row>
    <row r="2169" spans="1:6" x14ac:dyDescent="0.25">
      <c r="A2169" s="11" t="str">
        <f t="shared" si="33"/>
        <v/>
      </c>
      <c r="B2169" s="6" t="s">
        <v>1859</v>
      </c>
      <c r="C2169" s="6" t="s">
        <v>1859</v>
      </c>
      <c r="D2169" s="6">
        <v>0</v>
      </c>
      <c r="E2169" s="1">
        <v>0</v>
      </c>
      <c r="F2169" s="7" t="str">
        <f>IF(A2169=IFERROR(VLOOKUP(A2169,CATALOGO!$B$2:$B$600,1,FALSE),"Falta"),"", "Falta")</f>
        <v>Falta</v>
      </c>
    </row>
    <row r="2170" spans="1:6" x14ac:dyDescent="0.25">
      <c r="A2170" s="11">
        <f t="shared" si="33"/>
        <v>7703026</v>
      </c>
      <c r="B2170" s="6">
        <v>7703026</v>
      </c>
      <c r="C2170" s="6" t="s">
        <v>2178</v>
      </c>
      <c r="D2170" s="6">
        <v>0</v>
      </c>
      <c r="E2170" s="1">
        <v>0</v>
      </c>
      <c r="F2170" s="7" t="str">
        <f>IF(A2170=IFERROR(VLOOKUP(A2170,CATALOGO!$B$2:$B$600,1,FALSE),"Falta"),"", "Falta")</f>
        <v>Falta</v>
      </c>
    </row>
    <row r="2171" spans="1:6" x14ac:dyDescent="0.25">
      <c r="A2171" s="11" t="str">
        <f t="shared" si="33"/>
        <v/>
      </c>
      <c r="B2171" s="6" t="s">
        <v>1859</v>
      </c>
      <c r="C2171" s="6" t="s">
        <v>1859</v>
      </c>
      <c r="D2171" s="6">
        <v>0</v>
      </c>
      <c r="E2171" s="1">
        <v>0</v>
      </c>
      <c r="F2171" s="7" t="str">
        <f>IF(A2171=IFERROR(VLOOKUP(A2171,CATALOGO!$B$2:$B$600,1,FALSE),"Falta"),"", "Falta")</f>
        <v>Falta</v>
      </c>
    </row>
    <row r="2172" spans="1:6" x14ac:dyDescent="0.25">
      <c r="A2172" s="11">
        <f t="shared" si="33"/>
        <v>7703029</v>
      </c>
      <c r="B2172" s="6">
        <v>7703029</v>
      </c>
      <c r="C2172" s="6" t="s">
        <v>2179</v>
      </c>
      <c r="D2172" s="6">
        <v>0</v>
      </c>
      <c r="E2172" s="1">
        <v>0</v>
      </c>
      <c r="F2172" s="7" t="str">
        <f>IF(A2172=IFERROR(VLOOKUP(A2172,CATALOGO!$B$2:$B$600,1,FALSE),"Falta"),"", "Falta")</f>
        <v>Falta</v>
      </c>
    </row>
    <row r="2173" spans="1:6" x14ac:dyDescent="0.25">
      <c r="A2173" s="11">
        <f t="shared" si="33"/>
        <v>7703030</v>
      </c>
      <c r="B2173" s="6">
        <v>7703030</v>
      </c>
      <c r="C2173" s="6" t="s">
        <v>2180</v>
      </c>
      <c r="D2173" s="6">
        <v>0</v>
      </c>
      <c r="E2173" s="1">
        <v>0</v>
      </c>
      <c r="F2173" s="7" t="str">
        <f>IF(A2173=IFERROR(VLOOKUP(A2173,CATALOGO!$B$2:$B$600,1,FALSE),"Falta"),"", "Falta")</f>
        <v>Falta</v>
      </c>
    </row>
    <row r="2174" spans="1:6" x14ac:dyDescent="0.25">
      <c r="A2174" s="11">
        <f t="shared" si="33"/>
        <v>7703031</v>
      </c>
      <c r="B2174" s="6">
        <v>7703031</v>
      </c>
      <c r="C2174" s="6" t="s">
        <v>2181</v>
      </c>
      <c r="D2174" s="6">
        <v>0</v>
      </c>
      <c r="E2174" s="1">
        <v>0</v>
      </c>
      <c r="F2174" s="7" t="str">
        <f>IF(A2174=IFERROR(VLOOKUP(A2174,CATALOGO!$B$2:$B$600,1,FALSE),"Falta"),"", "Falta")</f>
        <v>Falta</v>
      </c>
    </row>
    <row r="2175" spans="1:6" x14ac:dyDescent="0.25">
      <c r="A2175" s="11" t="str">
        <f t="shared" si="33"/>
        <v/>
      </c>
      <c r="B2175" s="6" t="s">
        <v>1859</v>
      </c>
      <c r="C2175" s="6" t="s">
        <v>1859</v>
      </c>
      <c r="D2175" s="6">
        <v>0</v>
      </c>
      <c r="E2175" s="1">
        <v>0</v>
      </c>
      <c r="F2175" s="7" t="str">
        <f>IF(A2175=IFERROR(VLOOKUP(A2175,CATALOGO!$B$2:$B$600,1,FALSE),"Falta"),"", "Falta")</f>
        <v>Falta</v>
      </c>
    </row>
    <row r="2176" spans="1:6" x14ac:dyDescent="0.25">
      <c r="A2176" s="11">
        <f t="shared" si="33"/>
        <v>7703033</v>
      </c>
      <c r="B2176" s="6">
        <v>7703033</v>
      </c>
      <c r="C2176" s="6" t="s">
        <v>2182</v>
      </c>
      <c r="D2176" s="6">
        <v>0</v>
      </c>
      <c r="E2176" s="1">
        <v>0</v>
      </c>
      <c r="F2176" s="7" t="str">
        <f>IF(A2176=IFERROR(VLOOKUP(A2176,CATALOGO!$B$2:$B$600,1,FALSE),"Falta"),"", "Falta")</f>
        <v>Falta</v>
      </c>
    </row>
    <row r="2177" spans="1:6" x14ac:dyDescent="0.25">
      <c r="A2177" s="11">
        <f t="shared" si="33"/>
        <v>7703035</v>
      </c>
      <c r="B2177" s="6">
        <v>7703035</v>
      </c>
      <c r="C2177" s="6" t="s">
        <v>710</v>
      </c>
      <c r="D2177" s="6">
        <v>290.68</v>
      </c>
      <c r="E2177" s="1">
        <v>0</v>
      </c>
      <c r="F2177" s="7" t="str">
        <f>IF(A2177=IFERROR(VLOOKUP(A2177,CATALOGO!$B$2:$B$600,1,FALSE),"Falta"),"", "Falta")</f>
        <v>Falta</v>
      </c>
    </row>
    <row r="2178" spans="1:6" x14ac:dyDescent="0.25">
      <c r="A2178" s="11">
        <f t="shared" si="33"/>
        <v>7703036</v>
      </c>
      <c r="B2178" s="6">
        <v>7703036</v>
      </c>
      <c r="C2178" s="6" t="s">
        <v>714</v>
      </c>
      <c r="D2178" s="6">
        <v>290.68</v>
      </c>
      <c r="E2178" s="1">
        <v>0</v>
      </c>
      <c r="F2178" s="7" t="str">
        <f>IF(A2178=IFERROR(VLOOKUP(A2178,CATALOGO!$B$2:$B$600,1,FALSE),"Falta"),"", "Falta")</f>
        <v>Falta</v>
      </c>
    </row>
    <row r="2179" spans="1:6" x14ac:dyDescent="0.25">
      <c r="A2179" s="11">
        <f t="shared" si="33"/>
        <v>7703037</v>
      </c>
      <c r="B2179" s="6">
        <v>7703037</v>
      </c>
      <c r="C2179" s="6" t="s">
        <v>713</v>
      </c>
      <c r="D2179" s="6">
        <v>290.68</v>
      </c>
      <c r="E2179" s="1">
        <v>0</v>
      </c>
      <c r="F2179" s="7" t="str">
        <f>IF(A2179=IFERROR(VLOOKUP(A2179,CATALOGO!$B$2:$B$600,1,FALSE),"Falta"),"", "Falta")</f>
        <v>Falta</v>
      </c>
    </row>
    <row r="2180" spans="1:6" x14ac:dyDescent="0.25">
      <c r="A2180" s="11">
        <f t="shared" si="33"/>
        <v>7703038</v>
      </c>
      <c r="B2180" s="6">
        <v>7703038</v>
      </c>
      <c r="C2180" s="6" t="s">
        <v>709</v>
      </c>
      <c r="D2180" s="6">
        <v>290.68</v>
      </c>
      <c r="E2180" s="1">
        <v>0</v>
      </c>
      <c r="F2180" s="7" t="str">
        <f>IF(A2180=IFERROR(VLOOKUP(A2180,CATALOGO!$B$2:$B$600,1,FALSE),"Falta"),"", "Falta")</f>
        <v>Falta</v>
      </c>
    </row>
    <row r="2181" spans="1:6" x14ac:dyDescent="0.25">
      <c r="A2181" s="11">
        <f t="shared" si="33"/>
        <v>7703039</v>
      </c>
      <c r="B2181" s="6">
        <v>7703039</v>
      </c>
      <c r="C2181" s="6" t="s">
        <v>712</v>
      </c>
      <c r="D2181" s="6">
        <v>290.68</v>
      </c>
      <c r="E2181" s="1">
        <v>0</v>
      </c>
      <c r="F2181" s="7" t="str">
        <f>IF(A2181=IFERROR(VLOOKUP(A2181,CATALOGO!$B$2:$B$600,1,FALSE),"Falta"),"", "Falta")</f>
        <v>Falta</v>
      </c>
    </row>
    <row r="2182" spans="1:6" x14ac:dyDescent="0.25">
      <c r="A2182" s="11">
        <f t="shared" ref="A2182:A2245" si="34">IFERROR(B2182*1,"")</f>
        <v>7703047</v>
      </c>
      <c r="B2182" s="6">
        <v>7703047</v>
      </c>
      <c r="C2182" s="6" t="s">
        <v>711</v>
      </c>
      <c r="D2182" s="6">
        <v>447.19</v>
      </c>
      <c r="E2182" s="1">
        <v>0</v>
      </c>
      <c r="F2182" s="7" t="str">
        <f>IF(A2182=IFERROR(VLOOKUP(A2182,CATALOGO!$B$2:$B$600,1,FALSE),"Falta"),"", "Falta")</f>
        <v>Falta</v>
      </c>
    </row>
    <row r="2183" spans="1:6" x14ac:dyDescent="0.25">
      <c r="A2183" s="11">
        <f t="shared" si="34"/>
        <v>7703050</v>
      </c>
      <c r="B2183" s="6">
        <v>7703050</v>
      </c>
      <c r="C2183" s="6" t="s">
        <v>1528</v>
      </c>
      <c r="D2183" s="6">
        <v>665.5</v>
      </c>
      <c r="E2183" s="1">
        <v>0</v>
      </c>
      <c r="F2183" s="7" t="str">
        <f>IF(A2183=IFERROR(VLOOKUP(A2183,CATALOGO!$B$2:$B$600,1,FALSE),"Falta"),"", "Falta")</f>
        <v/>
      </c>
    </row>
    <row r="2184" spans="1:6" x14ac:dyDescent="0.25">
      <c r="A2184" s="11" t="str">
        <f t="shared" si="34"/>
        <v/>
      </c>
      <c r="B2184" s="6" t="s">
        <v>1859</v>
      </c>
      <c r="C2184" s="6" t="s">
        <v>1859</v>
      </c>
      <c r="D2184" s="6">
        <v>0</v>
      </c>
      <c r="E2184" s="1">
        <v>0</v>
      </c>
      <c r="F2184" s="7" t="str">
        <f>IF(A2184=IFERROR(VLOOKUP(A2184,CATALOGO!$B$2:$B$600,1,FALSE),"Falta"),"", "Falta")</f>
        <v>Falta</v>
      </c>
    </row>
    <row r="2185" spans="1:6" x14ac:dyDescent="0.25">
      <c r="A2185" s="11">
        <f t="shared" si="34"/>
        <v>7703051</v>
      </c>
      <c r="B2185" s="6">
        <v>7703051</v>
      </c>
      <c r="C2185" s="6" t="s">
        <v>1529</v>
      </c>
      <c r="D2185" s="6">
        <v>0</v>
      </c>
      <c r="E2185" s="1">
        <v>0</v>
      </c>
      <c r="F2185" s="7" t="str">
        <f>IF(A2185=IFERROR(VLOOKUP(A2185,CATALOGO!$B$2:$B$600,1,FALSE),"Falta"),"", "Falta")</f>
        <v/>
      </c>
    </row>
    <row r="2186" spans="1:6" x14ac:dyDescent="0.25">
      <c r="A2186" s="11">
        <f t="shared" si="34"/>
        <v>7703052</v>
      </c>
      <c r="B2186" s="6">
        <v>7703052</v>
      </c>
      <c r="C2186" s="6" t="s">
        <v>1530</v>
      </c>
      <c r="D2186" s="6">
        <v>786.5</v>
      </c>
      <c r="E2186" s="1">
        <v>0</v>
      </c>
      <c r="F2186" s="7" t="str">
        <f>IF(A2186=IFERROR(VLOOKUP(A2186,CATALOGO!$B$2:$B$600,1,FALSE),"Falta"),"", "Falta")</f>
        <v/>
      </c>
    </row>
    <row r="2187" spans="1:6" x14ac:dyDescent="0.25">
      <c r="A2187" s="11">
        <f t="shared" si="34"/>
        <v>7703053</v>
      </c>
      <c r="B2187" s="6">
        <v>7703053</v>
      </c>
      <c r="C2187" s="6" t="s">
        <v>1531</v>
      </c>
      <c r="D2187" s="6">
        <v>847</v>
      </c>
      <c r="E2187" s="1">
        <v>0</v>
      </c>
      <c r="F2187" s="7" t="str">
        <f>IF(A2187=IFERROR(VLOOKUP(A2187,CATALOGO!$B$2:$B$600,1,FALSE),"Falta"),"", "Falta")</f>
        <v>Falta</v>
      </c>
    </row>
    <row r="2188" spans="1:6" x14ac:dyDescent="0.25">
      <c r="A2188" s="11">
        <f t="shared" si="34"/>
        <v>7703054</v>
      </c>
      <c r="B2188" s="6">
        <v>7703054</v>
      </c>
      <c r="C2188" s="6" t="s">
        <v>1532</v>
      </c>
      <c r="D2188" s="6">
        <v>1028.5</v>
      </c>
      <c r="E2188" s="1">
        <v>0</v>
      </c>
      <c r="F2188" s="7" t="str">
        <f>IF(A2188=IFERROR(VLOOKUP(A2188,CATALOGO!$B$2:$B$600,1,FALSE),"Falta"),"", "Falta")</f>
        <v>Falta</v>
      </c>
    </row>
    <row r="2189" spans="1:6" x14ac:dyDescent="0.25">
      <c r="A2189" s="11" t="str">
        <f t="shared" si="34"/>
        <v/>
      </c>
      <c r="B2189" s="6" t="s">
        <v>1859</v>
      </c>
      <c r="C2189" s="6" t="s">
        <v>1859</v>
      </c>
      <c r="D2189" s="6">
        <v>0</v>
      </c>
      <c r="E2189" s="1">
        <v>0</v>
      </c>
      <c r="F2189" s="7" t="str">
        <f>IF(A2189=IFERROR(VLOOKUP(A2189,CATALOGO!$B$2:$B$600,1,FALSE),"Falta"),"", "Falta")</f>
        <v>Falta</v>
      </c>
    </row>
    <row r="2190" spans="1:6" x14ac:dyDescent="0.25">
      <c r="A2190" s="11">
        <f t="shared" si="34"/>
        <v>7703055</v>
      </c>
      <c r="B2190" s="6">
        <v>7703055</v>
      </c>
      <c r="C2190" s="6" t="s">
        <v>2183</v>
      </c>
      <c r="D2190" s="6">
        <v>0</v>
      </c>
      <c r="E2190" s="1">
        <v>0</v>
      </c>
      <c r="F2190" s="7" t="str">
        <f>IF(A2190=IFERROR(VLOOKUP(A2190,CATALOGO!$B$2:$B$600,1,FALSE),"Falta"),"", "Falta")</f>
        <v>Falta</v>
      </c>
    </row>
    <row r="2191" spans="1:6" x14ac:dyDescent="0.25">
      <c r="A2191" s="11">
        <f t="shared" si="34"/>
        <v>7703056</v>
      </c>
      <c r="B2191" s="6">
        <v>7703056</v>
      </c>
      <c r="C2191" s="6" t="s">
        <v>708</v>
      </c>
      <c r="D2191" s="6">
        <v>847</v>
      </c>
      <c r="E2191" s="1">
        <v>0</v>
      </c>
      <c r="F2191" s="7" t="str">
        <f>IF(A2191=IFERROR(VLOOKUP(A2191,CATALOGO!$B$2:$B$600,1,FALSE),"Falta"),"", "Falta")</f>
        <v>Falta</v>
      </c>
    </row>
    <row r="2192" spans="1:6" x14ac:dyDescent="0.25">
      <c r="A2192" s="11">
        <f t="shared" si="34"/>
        <v>7703057</v>
      </c>
      <c r="B2192" s="6">
        <v>7703057</v>
      </c>
      <c r="C2192" s="6" t="s">
        <v>1533</v>
      </c>
      <c r="D2192" s="6">
        <v>968</v>
      </c>
      <c r="E2192" s="1">
        <v>0</v>
      </c>
      <c r="F2192" s="7" t="str">
        <f>IF(A2192=IFERROR(VLOOKUP(A2192,CATALOGO!$B$2:$B$600,1,FALSE),"Falta"),"", "Falta")</f>
        <v>Falta</v>
      </c>
    </row>
    <row r="2193" spans="1:6" x14ac:dyDescent="0.25">
      <c r="A2193" s="11">
        <f t="shared" si="34"/>
        <v>7703060</v>
      </c>
      <c r="B2193" s="6">
        <v>7703060</v>
      </c>
      <c r="C2193" s="6" t="s">
        <v>1534</v>
      </c>
      <c r="D2193" s="6">
        <v>699.99</v>
      </c>
      <c r="E2193" s="1">
        <v>0</v>
      </c>
      <c r="F2193" s="7" t="str">
        <f>IF(A2193=IFERROR(VLOOKUP(A2193,CATALOGO!$B$2:$B$600,1,FALSE),"Falta"),"", "Falta")</f>
        <v>Falta</v>
      </c>
    </row>
    <row r="2194" spans="1:6" x14ac:dyDescent="0.25">
      <c r="A2194" s="11">
        <f t="shared" si="34"/>
        <v>7703061</v>
      </c>
      <c r="B2194" s="6">
        <v>7703061</v>
      </c>
      <c r="C2194" s="6" t="s">
        <v>1535</v>
      </c>
      <c r="D2194" s="6">
        <v>799.99</v>
      </c>
      <c r="E2194" s="1">
        <v>0</v>
      </c>
      <c r="F2194" s="7" t="str">
        <f>IF(A2194=IFERROR(VLOOKUP(A2194,CATALOGO!$B$2:$B$600,1,FALSE),"Falta"),"", "Falta")</f>
        <v>Falta</v>
      </c>
    </row>
    <row r="2195" spans="1:6" x14ac:dyDescent="0.25">
      <c r="A2195" s="11">
        <f t="shared" si="34"/>
        <v>7703062</v>
      </c>
      <c r="B2195" s="6">
        <v>7703062</v>
      </c>
      <c r="C2195" s="6" t="s">
        <v>1536</v>
      </c>
      <c r="D2195" s="6">
        <v>899.99</v>
      </c>
      <c r="E2195" s="1">
        <v>0</v>
      </c>
      <c r="F2195" s="7" t="str">
        <f>IF(A2195=IFERROR(VLOOKUP(A2195,CATALOGO!$B$2:$B$600,1,FALSE),"Falta"),"", "Falta")</f>
        <v>Falta</v>
      </c>
    </row>
    <row r="2196" spans="1:6" x14ac:dyDescent="0.25">
      <c r="A2196" s="11">
        <f t="shared" si="34"/>
        <v>7703065</v>
      </c>
      <c r="B2196" s="6">
        <v>7703065</v>
      </c>
      <c r="C2196" s="6" t="s">
        <v>1537</v>
      </c>
      <c r="D2196" s="6">
        <v>499.99</v>
      </c>
      <c r="E2196" s="1">
        <v>0</v>
      </c>
      <c r="F2196" s="7" t="str">
        <f>IF(A2196=IFERROR(VLOOKUP(A2196,CATALOGO!$B$2:$B$600,1,FALSE),"Falta"),"", "Falta")</f>
        <v>Falta</v>
      </c>
    </row>
    <row r="2197" spans="1:6" x14ac:dyDescent="0.25">
      <c r="A2197" s="11">
        <f t="shared" si="34"/>
        <v>7703066</v>
      </c>
      <c r="B2197" s="6">
        <v>7703066</v>
      </c>
      <c r="C2197" s="6" t="s">
        <v>1538</v>
      </c>
      <c r="D2197" s="6">
        <v>599</v>
      </c>
      <c r="E2197" s="1">
        <v>0</v>
      </c>
      <c r="F2197" s="7" t="str">
        <f>IF(A2197=IFERROR(VLOOKUP(A2197,CATALOGO!$B$2:$B$600,1,FALSE),"Falta"),"", "Falta")</f>
        <v>Falta</v>
      </c>
    </row>
    <row r="2198" spans="1:6" x14ac:dyDescent="0.25">
      <c r="A2198" s="11">
        <f t="shared" si="34"/>
        <v>7703067</v>
      </c>
      <c r="B2198" s="6">
        <v>7703067</v>
      </c>
      <c r="C2198" s="6" t="s">
        <v>1539</v>
      </c>
      <c r="D2198" s="6">
        <v>699.99</v>
      </c>
      <c r="E2198" s="1">
        <v>0</v>
      </c>
      <c r="F2198" s="7" t="str">
        <f>IF(A2198=IFERROR(VLOOKUP(A2198,CATALOGO!$B$2:$B$600,1,FALSE),"Falta"),"", "Falta")</f>
        <v>Falta</v>
      </c>
    </row>
    <row r="2199" spans="1:6" x14ac:dyDescent="0.25">
      <c r="A2199" s="11">
        <f t="shared" si="34"/>
        <v>7703070</v>
      </c>
      <c r="B2199" s="6">
        <v>7703070</v>
      </c>
      <c r="C2199" s="6" t="s">
        <v>1540</v>
      </c>
      <c r="D2199" s="6">
        <v>699.99</v>
      </c>
      <c r="E2199" s="1">
        <v>0</v>
      </c>
      <c r="F2199" s="7" t="str">
        <f>IF(A2199=IFERROR(VLOOKUP(A2199,CATALOGO!$B$2:$B$600,1,FALSE),"Falta"),"", "Falta")</f>
        <v>Falta</v>
      </c>
    </row>
    <row r="2200" spans="1:6" x14ac:dyDescent="0.25">
      <c r="A2200" s="11">
        <f t="shared" si="34"/>
        <v>7703071</v>
      </c>
      <c r="B2200" s="6">
        <v>7703071</v>
      </c>
      <c r="C2200" s="6" t="s">
        <v>1541</v>
      </c>
      <c r="D2200" s="6">
        <v>799.99</v>
      </c>
      <c r="E2200" s="1">
        <v>0</v>
      </c>
      <c r="F2200" s="7" t="str">
        <f>IF(A2200=IFERROR(VLOOKUP(A2200,CATALOGO!$B$2:$B$600,1,FALSE),"Falta"),"", "Falta")</f>
        <v>Falta</v>
      </c>
    </row>
    <row r="2201" spans="1:6" x14ac:dyDescent="0.25">
      <c r="A2201" s="11" t="str">
        <f t="shared" si="34"/>
        <v/>
      </c>
      <c r="B2201" s="6" t="s">
        <v>1859</v>
      </c>
      <c r="C2201" s="6" t="s">
        <v>1859</v>
      </c>
      <c r="D2201" s="6">
        <v>0</v>
      </c>
      <c r="E2201" s="1">
        <v>0</v>
      </c>
      <c r="F2201" s="7" t="str">
        <f>IF(A2201=IFERROR(VLOOKUP(A2201,CATALOGO!$B$2:$B$600,1,FALSE),"Falta"),"", "Falta")</f>
        <v>Falta</v>
      </c>
    </row>
    <row r="2202" spans="1:6" x14ac:dyDescent="0.25">
      <c r="A2202" s="11">
        <f t="shared" si="34"/>
        <v>7703072</v>
      </c>
      <c r="B2202" s="6">
        <v>7703072</v>
      </c>
      <c r="C2202" s="6" t="s">
        <v>2184</v>
      </c>
      <c r="D2202" s="6">
        <v>0</v>
      </c>
      <c r="E2202" s="1">
        <v>0</v>
      </c>
      <c r="F2202" s="7" t="str">
        <f>IF(A2202=IFERROR(VLOOKUP(A2202,CATALOGO!$B$2:$B$600,1,FALSE),"Falta"),"", "Falta")</f>
        <v>Falta</v>
      </c>
    </row>
    <row r="2203" spans="1:6" x14ac:dyDescent="0.25">
      <c r="A2203" s="11">
        <f t="shared" si="34"/>
        <v>770310</v>
      </c>
      <c r="B2203" s="6">
        <v>770310</v>
      </c>
      <c r="C2203" s="6" t="s">
        <v>1859</v>
      </c>
      <c r="D2203" s="6">
        <v>0</v>
      </c>
      <c r="E2203" s="1">
        <v>0</v>
      </c>
      <c r="F2203" s="7" t="str">
        <f>IF(A2203=IFERROR(VLOOKUP(A2203,CATALOGO!$B$2:$B$600,1,FALSE),"Falta"),"", "Falta")</f>
        <v>Falta</v>
      </c>
    </row>
    <row r="2204" spans="1:6" x14ac:dyDescent="0.25">
      <c r="A2204" s="11">
        <f t="shared" si="34"/>
        <v>7703105</v>
      </c>
      <c r="B2204" s="6">
        <v>7703105</v>
      </c>
      <c r="C2204" s="6" t="s">
        <v>731</v>
      </c>
      <c r="D2204" s="6">
        <v>699.99</v>
      </c>
      <c r="E2204" s="1">
        <v>35</v>
      </c>
      <c r="F2204" s="7" t="str">
        <f>IF(A2204=IFERROR(VLOOKUP(A2204,CATALOGO!$B$2:$B$600,1,FALSE),"Falta"),"", "Falta")</f>
        <v/>
      </c>
    </row>
    <row r="2205" spans="1:6" x14ac:dyDescent="0.25">
      <c r="A2205" s="11">
        <f t="shared" si="34"/>
        <v>7703106</v>
      </c>
      <c r="B2205" s="6">
        <v>7703106</v>
      </c>
      <c r="C2205" s="6" t="s">
        <v>726</v>
      </c>
      <c r="D2205" s="6">
        <v>899.99</v>
      </c>
      <c r="E2205" s="1">
        <v>59</v>
      </c>
      <c r="F2205" s="7" t="str">
        <f>IF(A2205=IFERROR(VLOOKUP(A2205,CATALOGO!$B$2:$B$600,1,FALSE),"Falta"),"", "Falta")</f>
        <v/>
      </c>
    </row>
    <row r="2206" spans="1:6" x14ac:dyDescent="0.25">
      <c r="A2206" s="11">
        <f t="shared" si="34"/>
        <v>7703107</v>
      </c>
      <c r="B2206" s="6">
        <v>7703107</v>
      </c>
      <c r="C2206" s="6" t="s">
        <v>727</v>
      </c>
      <c r="D2206" s="6">
        <v>899.99</v>
      </c>
      <c r="E2206" s="1">
        <v>44</v>
      </c>
      <c r="F2206" s="7" t="str">
        <f>IF(A2206=IFERROR(VLOOKUP(A2206,CATALOGO!$B$2:$B$600,1,FALSE),"Falta"),"", "Falta")</f>
        <v>Falta</v>
      </c>
    </row>
    <row r="2207" spans="1:6" x14ac:dyDescent="0.25">
      <c r="A2207" s="11" t="str">
        <f t="shared" si="34"/>
        <v/>
      </c>
      <c r="B2207" s="6" t="s">
        <v>1859</v>
      </c>
      <c r="C2207" s="6" t="s">
        <v>1859</v>
      </c>
      <c r="D2207" s="6">
        <v>0</v>
      </c>
      <c r="E2207" s="1">
        <v>0</v>
      </c>
      <c r="F2207" s="7" t="str">
        <f>IF(A2207=IFERROR(VLOOKUP(A2207,CATALOGO!$B$2:$B$600,1,FALSE),"Falta"),"", "Falta")</f>
        <v>Falta</v>
      </c>
    </row>
    <row r="2208" spans="1:6" x14ac:dyDescent="0.25">
      <c r="A2208" s="11">
        <f t="shared" si="34"/>
        <v>7703108</v>
      </c>
      <c r="B2208" s="6">
        <v>7703108</v>
      </c>
      <c r="C2208" s="6" t="s">
        <v>2185</v>
      </c>
      <c r="D2208" s="6">
        <v>0</v>
      </c>
      <c r="E2208" s="1">
        <v>0</v>
      </c>
      <c r="F2208" s="7" t="str">
        <f>IF(A2208=IFERROR(VLOOKUP(A2208,CATALOGO!$B$2:$B$600,1,FALSE),"Falta"),"", "Falta")</f>
        <v>Falta</v>
      </c>
    </row>
    <row r="2209" spans="1:6" x14ac:dyDescent="0.25">
      <c r="A2209" s="11">
        <f t="shared" si="34"/>
        <v>7703109</v>
      </c>
      <c r="B2209" s="6">
        <v>7703109</v>
      </c>
      <c r="C2209" s="6" t="s">
        <v>1542</v>
      </c>
      <c r="D2209" s="6">
        <v>907.5</v>
      </c>
      <c r="E2209" s="1">
        <v>1</v>
      </c>
      <c r="F2209" s="7" t="str">
        <f>IF(A2209=IFERROR(VLOOKUP(A2209,CATALOGO!$B$2:$B$600,1,FALSE),"Falta"),"", "Falta")</f>
        <v>Falta</v>
      </c>
    </row>
    <row r="2210" spans="1:6" x14ac:dyDescent="0.25">
      <c r="A2210" s="11">
        <f t="shared" si="34"/>
        <v>7703110</v>
      </c>
      <c r="B2210" s="6">
        <v>7703110</v>
      </c>
      <c r="C2210" s="6" t="s">
        <v>722</v>
      </c>
      <c r="D2210" s="6">
        <v>483.99</v>
      </c>
      <c r="E2210" s="1">
        <v>39</v>
      </c>
      <c r="F2210" s="7" t="str">
        <f>IF(A2210=IFERROR(VLOOKUP(A2210,CATALOGO!$B$2:$B$600,1,FALSE),"Falta"),"", "Falta")</f>
        <v/>
      </c>
    </row>
    <row r="2211" spans="1:6" x14ac:dyDescent="0.25">
      <c r="A2211" s="11">
        <f t="shared" si="34"/>
        <v>7703111</v>
      </c>
      <c r="B2211" s="6">
        <v>7703111</v>
      </c>
      <c r="C2211" s="6" t="s">
        <v>724</v>
      </c>
      <c r="D2211" s="6">
        <v>483.99</v>
      </c>
      <c r="E2211" s="1">
        <v>52</v>
      </c>
      <c r="F2211" s="7" t="str">
        <f>IF(A2211=IFERROR(VLOOKUP(A2211,CATALOGO!$B$2:$B$600,1,FALSE),"Falta"),"", "Falta")</f>
        <v/>
      </c>
    </row>
    <row r="2212" spans="1:6" x14ac:dyDescent="0.25">
      <c r="A2212" s="11">
        <f t="shared" si="34"/>
        <v>7703112</v>
      </c>
      <c r="B2212" s="6">
        <v>7703112</v>
      </c>
      <c r="C2212" s="6" t="s">
        <v>725</v>
      </c>
      <c r="D2212" s="6">
        <v>532.39</v>
      </c>
      <c r="E2212" s="1">
        <v>54</v>
      </c>
      <c r="F2212" s="7" t="str">
        <f>IF(A2212=IFERROR(VLOOKUP(A2212,CATALOGO!$B$2:$B$600,1,FALSE),"Falta"),"", "Falta")</f>
        <v/>
      </c>
    </row>
    <row r="2213" spans="1:6" x14ac:dyDescent="0.25">
      <c r="A2213" s="11">
        <f t="shared" si="34"/>
        <v>7703113</v>
      </c>
      <c r="B2213" s="6">
        <v>7703113</v>
      </c>
      <c r="C2213" s="6" t="s">
        <v>723</v>
      </c>
      <c r="D2213" s="6">
        <v>544.49</v>
      </c>
      <c r="E2213" s="1">
        <v>77</v>
      </c>
      <c r="F2213" s="7" t="str">
        <f>IF(A2213=IFERROR(VLOOKUP(A2213,CATALOGO!$B$2:$B$600,1,FALSE),"Falta"),"", "Falta")</f>
        <v/>
      </c>
    </row>
    <row r="2214" spans="1:6" x14ac:dyDescent="0.25">
      <c r="A2214" s="11">
        <f t="shared" si="34"/>
        <v>7703114</v>
      </c>
      <c r="B2214" s="6">
        <v>7703114</v>
      </c>
      <c r="C2214" s="6" t="s">
        <v>715</v>
      </c>
      <c r="D2214" s="6">
        <v>599.99</v>
      </c>
      <c r="E2214" s="1">
        <v>37</v>
      </c>
      <c r="F2214" s="7" t="str">
        <f>IF(A2214=IFERROR(VLOOKUP(A2214,CATALOGO!$B$2:$B$600,1,FALSE),"Falta"),"", "Falta")</f>
        <v>Falta</v>
      </c>
    </row>
    <row r="2215" spans="1:6" x14ac:dyDescent="0.25">
      <c r="A2215" s="11">
        <f t="shared" si="34"/>
        <v>7703115</v>
      </c>
      <c r="B2215" s="6">
        <v>7703115</v>
      </c>
      <c r="C2215" s="6" t="s">
        <v>716</v>
      </c>
      <c r="D2215" s="6">
        <v>499.99</v>
      </c>
      <c r="E2215" s="1">
        <v>76</v>
      </c>
      <c r="F2215" s="7" t="str">
        <f>IF(A2215=IFERROR(VLOOKUP(A2215,CATALOGO!$B$2:$B$600,1,FALSE),"Falta"),"", "Falta")</f>
        <v/>
      </c>
    </row>
    <row r="2216" spans="1:6" x14ac:dyDescent="0.25">
      <c r="A2216" s="11">
        <f t="shared" si="34"/>
        <v>7703116</v>
      </c>
      <c r="B2216" s="6">
        <v>7703116</v>
      </c>
      <c r="C2216" s="6" t="s">
        <v>717</v>
      </c>
      <c r="D2216" s="6">
        <v>499.99</v>
      </c>
      <c r="E2216" s="1">
        <v>31</v>
      </c>
      <c r="F2216" s="7" t="str">
        <f>IF(A2216=IFERROR(VLOOKUP(A2216,CATALOGO!$B$2:$B$600,1,FALSE),"Falta"),"", "Falta")</f>
        <v/>
      </c>
    </row>
    <row r="2217" spans="1:6" x14ac:dyDescent="0.25">
      <c r="A2217" s="11">
        <f t="shared" si="34"/>
        <v>7703117</v>
      </c>
      <c r="B2217" s="6">
        <v>7703117</v>
      </c>
      <c r="C2217" s="6" t="s">
        <v>719</v>
      </c>
      <c r="D2217" s="6">
        <v>599.99</v>
      </c>
      <c r="E2217" s="1">
        <v>48</v>
      </c>
      <c r="F2217" s="7" t="str">
        <f>IF(A2217=IFERROR(VLOOKUP(A2217,CATALOGO!$B$2:$B$600,1,FALSE),"Falta"),"", "Falta")</f>
        <v/>
      </c>
    </row>
    <row r="2218" spans="1:6" x14ac:dyDescent="0.25">
      <c r="A2218" s="11">
        <f t="shared" si="34"/>
        <v>7703118</v>
      </c>
      <c r="B2218" s="6">
        <v>7703118</v>
      </c>
      <c r="C2218" s="6" t="s">
        <v>721</v>
      </c>
      <c r="D2218" s="6">
        <v>699.99</v>
      </c>
      <c r="E2218" s="1">
        <v>34</v>
      </c>
      <c r="F2218" s="7" t="str">
        <f>IF(A2218=IFERROR(VLOOKUP(A2218,CATALOGO!$B$2:$B$600,1,FALSE),"Falta"),"", "Falta")</f>
        <v/>
      </c>
    </row>
    <row r="2219" spans="1:6" x14ac:dyDescent="0.25">
      <c r="A2219" s="11">
        <f t="shared" si="34"/>
        <v>7703119</v>
      </c>
      <c r="B2219" s="6">
        <v>7703119</v>
      </c>
      <c r="C2219" s="6" t="s">
        <v>718</v>
      </c>
      <c r="D2219" s="6">
        <v>599.99</v>
      </c>
      <c r="E2219" s="1">
        <v>0</v>
      </c>
      <c r="F2219" s="7" t="str">
        <f>IF(A2219=IFERROR(VLOOKUP(A2219,CATALOGO!$B$2:$B$600,1,FALSE),"Falta"),"", "Falta")</f>
        <v>Falta</v>
      </c>
    </row>
    <row r="2220" spans="1:6" x14ac:dyDescent="0.25">
      <c r="A2220" s="11">
        <f t="shared" si="34"/>
        <v>7703120</v>
      </c>
      <c r="B2220" s="6">
        <v>7703120</v>
      </c>
      <c r="C2220" s="6" t="s">
        <v>720</v>
      </c>
      <c r="D2220" s="6">
        <v>699</v>
      </c>
      <c r="E2220" s="1">
        <v>2</v>
      </c>
      <c r="F2220" s="7" t="str">
        <f>IF(A2220=IFERROR(VLOOKUP(A2220,CATALOGO!$B$2:$B$600,1,FALSE),"Falta"),"", "Falta")</f>
        <v>Falta</v>
      </c>
    </row>
    <row r="2221" spans="1:6" x14ac:dyDescent="0.25">
      <c r="A2221" s="11">
        <f t="shared" si="34"/>
        <v>7703121</v>
      </c>
      <c r="B2221" s="6">
        <v>7703121</v>
      </c>
      <c r="C2221" s="6" t="s">
        <v>729</v>
      </c>
      <c r="D2221" s="6">
        <v>799.99</v>
      </c>
      <c r="E2221" s="1">
        <v>10</v>
      </c>
      <c r="F2221" s="7" t="str">
        <f>IF(A2221=IFERROR(VLOOKUP(A2221,CATALOGO!$B$2:$B$600,1,FALSE),"Falta"),"", "Falta")</f>
        <v/>
      </c>
    </row>
    <row r="2222" spans="1:6" x14ac:dyDescent="0.25">
      <c r="A2222" s="11">
        <f t="shared" si="34"/>
        <v>7703125</v>
      </c>
      <c r="B2222" s="6">
        <v>7703125</v>
      </c>
      <c r="C2222" s="6" t="s">
        <v>730</v>
      </c>
      <c r="D2222" s="6">
        <v>899.99</v>
      </c>
      <c r="E2222" s="1">
        <v>0</v>
      </c>
      <c r="F2222" s="7" t="str">
        <f>IF(A2222=IFERROR(VLOOKUP(A2222,CATALOGO!$B$2:$B$600,1,FALSE),"Falta"),"", "Falta")</f>
        <v>Falta</v>
      </c>
    </row>
    <row r="2223" spans="1:6" x14ac:dyDescent="0.25">
      <c r="A2223" s="11">
        <f t="shared" si="34"/>
        <v>7703129</v>
      </c>
      <c r="B2223" s="6">
        <v>7703129</v>
      </c>
      <c r="C2223" s="6" t="s">
        <v>737</v>
      </c>
      <c r="D2223" s="6">
        <v>673.49</v>
      </c>
      <c r="E2223" s="1">
        <v>21</v>
      </c>
      <c r="F2223" s="7" t="str">
        <f>IF(A2223=IFERROR(VLOOKUP(A2223,CATALOGO!$B$2:$B$600,1,FALSE),"Falta"),"", "Falta")</f>
        <v>Falta</v>
      </c>
    </row>
    <row r="2224" spans="1:6" x14ac:dyDescent="0.25">
      <c r="A2224" s="11">
        <f t="shared" si="34"/>
        <v>7703130</v>
      </c>
      <c r="B2224" s="6">
        <v>7703130</v>
      </c>
      <c r="C2224" s="6" t="s">
        <v>738</v>
      </c>
      <c r="D2224" s="6">
        <v>671.8</v>
      </c>
      <c r="E2224" s="1">
        <v>57</v>
      </c>
      <c r="F2224" s="7" t="str">
        <f>IF(A2224=IFERROR(VLOOKUP(A2224,CATALOGO!$B$2:$B$600,1,FALSE),"Falta"),"", "Falta")</f>
        <v>Falta</v>
      </c>
    </row>
    <row r="2225" spans="1:6" x14ac:dyDescent="0.25">
      <c r="A2225" s="11">
        <f t="shared" si="34"/>
        <v>7703143</v>
      </c>
      <c r="B2225" s="6">
        <v>7703143</v>
      </c>
      <c r="C2225" s="6" t="s">
        <v>732</v>
      </c>
      <c r="D2225" s="6">
        <v>3699.99</v>
      </c>
      <c r="E2225" s="1">
        <v>2</v>
      </c>
      <c r="F2225" s="7" t="str">
        <f>IF(A2225=IFERROR(VLOOKUP(A2225,CATALOGO!$B$2:$B$600,1,FALSE),"Falta"),"", "Falta")</f>
        <v>Falta</v>
      </c>
    </row>
    <row r="2226" spans="1:6" x14ac:dyDescent="0.25">
      <c r="A2226" s="11" t="str">
        <f t="shared" si="34"/>
        <v/>
      </c>
      <c r="B2226" s="6" t="s">
        <v>1859</v>
      </c>
      <c r="C2226" s="6" t="s">
        <v>1859</v>
      </c>
      <c r="D2226" s="6">
        <v>0</v>
      </c>
      <c r="E2226" s="1">
        <v>0</v>
      </c>
      <c r="F2226" s="7" t="str">
        <f>IF(A2226=IFERROR(VLOOKUP(A2226,CATALOGO!$B$2:$B$600,1,FALSE),"Falta"),"", "Falta")</f>
        <v>Falta</v>
      </c>
    </row>
    <row r="2227" spans="1:6" x14ac:dyDescent="0.25">
      <c r="A2227" s="11">
        <f t="shared" si="34"/>
        <v>7703157</v>
      </c>
      <c r="B2227" s="6">
        <v>7703157</v>
      </c>
      <c r="C2227" s="6" t="s">
        <v>2186</v>
      </c>
      <c r="D2227" s="6">
        <v>0</v>
      </c>
      <c r="E2227" s="1">
        <v>0</v>
      </c>
      <c r="F2227" s="7" t="str">
        <f>IF(A2227=IFERROR(VLOOKUP(A2227,CATALOGO!$B$2:$B$600,1,FALSE),"Falta"),"", "Falta")</f>
        <v>Falta</v>
      </c>
    </row>
    <row r="2228" spans="1:6" x14ac:dyDescent="0.25">
      <c r="A2228" s="11">
        <f t="shared" si="34"/>
        <v>7703158</v>
      </c>
      <c r="B2228" s="6">
        <v>7703158</v>
      </c>
      <c r="C2228" s="6" t="s">
        <v>1543</v>
      </c>
      <c r="D2228" s="6">
        <v>5699.99</v>
      </c>
      <c r="E2228" s="1">
        <v>2</v>
      </c>
      <c r="F2228" s="7" t="str">
        <f>IF(A2228=IFERROR(VLOOKUP(A2228,CATALOGO!$B$2:$B$600,1,FALSE),"Falta"),"", "Falta")</f>
        <v/>
      </c>
    </row>
    <row r="2229" spans="1:6" x14ac:dyDescent="0.25">
      <c r="A2229" s="11">
        <f t="shared" si="34"/>
        <v>7703159</v>
      </c>
      <c r="B2229" s="6">
        <v>7703159</v>
      </c>
      <c r="C2229" s="6" t="s">
        <v>733</v>
      </c>
      <c r="D2229" s="6">
        <v>4699.99</v>
      </c>
      <c r="E2229" s="1">
        <v>0</v>
      </c>
      <c r="F2229" s="7" t="str">
        <f>IF(A2229=IFERROR(VLOOKUP(A2229,CATALOGO!$B$2:$B$600,1,FALSE),"Falta"),"", "Falta")</f>
        <v>Falta</v>
      </c>
    </row>
    <row r="2230" spans="1:6" x14ac:dyDescent="0.25">
      <c r="A2230" s="11">
        <f t="shared" si="34"/>
        <v>7703185</v>
      </c>
      <c r="B2230" s="6">
        <v>7703185</v>
      </c>
      <c r="C2230" s="6" t="s">
        <v>728</v>
      </c>
      <c r="D2230" s="6">
        <v>999.99</v>
      </c>
      <c r="E2230" s="1">
        <v>2</v>
      </c>
      <c r="F2230" s="7" t="str">
        <f>IF(A2230=IFERROR(VLOOKUP(A2230,CATALOGO!$B$2:$B$600,1,FALSE),"Falta"),"", "Falta")</f>
        <v/>
      </c>
    </row>
    <row r="2231" spans="1:6" x14ac:dyDescent="0.25">
      <c r="A2231" s="11" t="str">
        <f t="shared" si="34"/>
        <v/>
      </c>
      <c r="B2231" s="6" t="s">
        <v>1859</v>
      </c>
      <c r="C2231" s="6" t="s">
        <v>1859</v>
      </c>
      <c r="D2231" s="6">
        <v>0</v>
      </c>
      <c r="E2231" s="1">
        <v>0</v>
      </c>
      <c r="F2231" s="7" t="str">
        <f>IF(A2231=IFERROR(VLOOKUP(A2231,CATALOGO!$B$2:$B$600,1,FALSE),"Falta"),"", "Falta")</f>
        <v>Falta</v>
      </c>
    </row>
    <row r="2232" spans="1:6" x14ac:dyDescent="0.25">
      <c r="A2232" s="11">
        <f t="shared" si="34"/>
        <v>7703200</v>
      </c>
      <c r="B2232" s="6">
        <v>7703200</v>
      </c>
      <c r="C2232" s="6" t="s">
        <v>2187</v>
      </c>
      <c r="D2232" s="6">
        <v>0</v>
      </c>
      <c r="E2232" s="1">
        <v>0</v>
      </c>
      <c r="F2232" s="7" t="str">
        <f>IF(A2232=IFERROR(VLOOKUP(A2232,CATALOGO!$B$2:$B$600,1,FALSE),"Falta"),"", "Falta")</f>
        <v>Falta</v>
      </c>
    </row>
    <row r="2233" spans="1:6" x14ac:dyDescent="0.25">
      <c r="A2233" s="11">
        <f t="shared" si="34"/>
        <v>7703260</v>
      </c>
      <c r="B2233" s="6">
        <v>7703260</v>
      </c>
      <c r="C2233" s="6" t="s">
        <v>749</v>
      </c>
      <c r="D2233" s="6">
        <v>424.83</v>
      </c>
      <c r="E2233" s="1">
        <v>26</v>
      </c>
      <c r="F2233" s="7" t="str">
        <f>IF(A2233=IFERROR(VLOOKUP(A2233,CATALOGO!$B$2:$B$600,1,FALSE),"Falta"),"", "Falta")</f>
        <v>Falta</v>
      </c>
    </row>
    <row r="2234" spans="1:6" x14ac:dyDescent="0.25">
      <c r="A2234" s="11">
        <f t="shared" si="34"/>
        <v>7703340</v>
      </c>
      <c r="B2234" s="6">
        <v>7703340</v>
      </c>
      <c r="C2234" s="6" t="s">
        <v>750</v>
      </c>
      <c r="D2234" s="6">
        <v>424.83</v>
      </c>
      <c r="E2234" s="1">
        <v>2</v>
      </c>
      <c r="F2234" s="7" t="str">
        <f>IF(A2234=IFERROR(VLOOKUP(A2234,CATALOGO!$B$2:$B$600,1,FALSE),"Falta"),"", "Falta")</f>
        <v>Falta</v>
      </c>
    </row>
    <row r="2235" spans="1:6" x14ac:dyDescent="0.25">
      <c r="A2235" s="11">
        <f t="shared" si="34"/>
        <v>7703341</v>
      </c>
      <c r="B2235" s="6">
        <v>7703341</v>
      </c>
      <c r="C2235" s="6" t="s">
        <v>756</v>
      </c>
      <c r="D2235" s="6">
        <v>424.83</v>
      </c>
      <c r="E2235" s="1">
        <v>10</v>
      </c>
      <c r="F2235" s="7" t="str">
        <f>IF(A2235=IFERROR(VLOOKUP(A2235,CATALOGO!$B$2:$B$600,1,FALSE),"Falta"),"", "Falta")</f>
        <v>Falta</v>
      </c>
    </row>
    <row r="2236" spans="1:6" x14ac:dyDescent="0.25">
      <c r="A2236" s="11">
        <f t="shared" si="34"/>
        <v>7703420</v>
      </c>
      <c r="B2236" s="6">
        <v>7703420</v>
      </c>
      <c r="C2236" s="6" t="s">
        <v>751</v>
      </c>
      <c r="D2236" s="6">
        <v>447.19</v>
      </c>
      <c r="E2236" s="1">
        <v>0</v>
      </c>
      <c r="F2236" s="7" t="str">
        <f>IF(A2236=IFERROR(VLOOKUP(A2236,CATALOGO!$B$2:$B$600,1,FALSE),"Falta"),"", "Falta")</f>
        <v>Falta</v>
      </c>
    </row>
    <row r="2237" spans="1:6" x14ac:dyDescent="0.25">
      <c r="A2237" s="11">
        <f t="shared" si="34"/>
        <v>7703540</v>
      </c>
      <c r="B2237" s="6">
        <v>7703540</v>
      </c>
      <c r="C2237" s="6" t="s">
        <v>755</v>
      </c>
      <c r="D2237" s="6">
        <v>447.19</v>
      </c>
      <c r="E2237" s="1">
        <v>5</v>
      </c>
      <c r="F2237" s="7" t="str">
        <f>IF(A2237=IFERROR(VLOOKUP(A2237,CATALOGO!$B$2:$B$600,1,FALSE),"Falta"),"", "Falta")</f>
        <v>Falta</v>
      </c>
    </row>
    <row r="2238" spans="1:6" x14ac:dyDescent="0.25">
      <c r="A2238" s="11">
        <f t="shared" si="34"/>
        <v>7703599</v>
      </c>
      <c r="B2238" s="6">
        <v>7703599</v>
      </c>
      <c r="C2238" s="6" t="s">
        <v>2188</v>
      </c>
      <c r="D2238" s="6">
        <v>380.13</v>
      </c>
      <c r="E2238" s="1">
        <v>0</v>
      </c>
      <c r="F2238" s="7" t="str">
        <f>IF(A2238=IFERROR(VLOOKUP(A2238,CATALOGO!$B$2:$B$600,1,FALSE),"Falta"),"", "Falta")</f>
        <v>Falta</v>
      </c>
    </row>
    <row r="2239" spans="1:6" x14ac:dyDescent="0.25">
      <c r="A2239" s="11">
        <f t="shared" si="34"/>
        <v>7703600</v>
      </c>
      <c r="B2239" s="6">
        <v>7703600</v>
      </c>
      <c r="C2239" s="6" t="s">
        <v>767</v>
      </c>
      <c r="D2239" s="6">
        <v>201.23</v>
      </c>
      <c r="E2239" s="1">
        <v>0</v>
      </c>
      <c r="F2239" s="7" t="str">
        <f>IF(A2239=IFERROR(VLOOKUP(A2239,CATALOGO!$B$2:$B$600,1,FALSE),"Falta"),"", "Falta")</f>
        <v>Falta</v>
      </c>
    </row>
    <row r="2240" spans="1:6" x14ac:dyDescent="0.25">
      <c r="A2240" s="11">
        <f t="shared" si="34"/>
        <v>7703601</v>
      </c>
      <c r="B2240" s="6">
        <v>7703601</v>
      </c>
      <c r="C2240" s="6" t="s">
        <v>760</v>
      </c>
      <c r="D2240" s="6">
        <v>350.89</v>
      </c>
      <c r="E2240" s="1">
        <v>34</v>
      </c>
      <c r="F2240" s="7" t="str">
        <f>IF(A2240=IFERROR(VLOOKUP(A2240,CATALOGO!$B$2:$B$600,1,FALSE),"Falta"),"", "Falta")</f>
        <v/>
      </c>
    </row>
    <row r="2241" spans="1:6" x14ac:dyDescent="0.25">
      <c r="A2241" s="11">
        <f t="shared" si="34"/>
        <v>7703602</v>
      </c>
      <c r="B2241" s="6">
        <v>7703602</v>
      </c>
      <c r="C2241" s="6" t="s">
        <v>761</v>
      </c>
      <c r="D2241" s="6">
        <v>350.89</v>
      </c>
      <c r="E2241" s="1">
        <v>27</v>
      </c>
      <c r="F2241" s="7" t="str">
        <f>IF(A2241=IFERROR(VLOOKUP(A2241,CATALOGO!$B$2:$B$600,1,FALSE),"Falta"),"", "Falta")</f>
        <v/>
      </c>
    </row>
    <row r="2242" spans="1:6" x14ac:dyDescent="0.25">
      <c r="A2242" s="11">
        <f t="shared" si="34"/>
        <v>7703603</v>
      </c>
      <c r="B2242" s="6">
        <v>7703603</v>
      </c>
      <c r="C2242" s="6" t="s">
        <v>762</v>
      </c>
      <c r="D2242" s="6">
        <v>350.89</v>
      </c>
      <c r="E2242" s="1">
        <v>21</v>
      </c>
      <c r="F2242" s="7" t="str">
        <f>IF(A2242=IFERROR(VLOOKUP(A2242,CATALOGO!$B$2:$B$600,1,FALSE),"Falta"),"", "Falta")</f>
        <v/>
      </c>
    </row>
    <row r="2243" spans="1:6" x14ac:dyDescent="0.25">
      <c r="A2243" s="11">
        <f t="shared" si="34"/>
        <v>7703604</v>
      </c>
      <c r="B2243" s="6">
        <v>7703604</v>
      </c>
      <c r="C2243" s="6" t="s">
        <v>763</v>
      </c>
      <c r="D2243" s="6">
        <v>350.89</v>
      </c>
      <c r="E2243" s="1">
        <v>8</v>
      </c>
      <c r="F2243" s="7" t="str">
        <f>IF(A2243=IFERROR(VLOOKUP(A2243,CATALOGO!$B$2:$B$600,1,FALSE),"Falta"),"", "Falta")</f>
        <v/>
      </c>
    </row>
    <row r="2244" spans="1:6" x14ac:dyDescent="0.25">
      <c r="A2244" s="11">
        <f t="shared" si="34"/>
        <v>7703605</v>
      </c>
      <c r="B2244" s="6">
        <v>7703605</v>
      </c>
      <c r="C2244" s="6" t="s">
        <v>764</v>
      </c>
      <c r="D2244" s="6">
        <v>350.89</v>
      </c>
      <c r="E2244" s="1">
        <v>28</v>
      </c>
      <c r="F2244" s="7" t="str">
        <f>IF(A2244=IFERROR(VLOOKUP(A2244,CATALOGO!$B$2:$B$600,1,FALSE),"Falta"),"", "Falta")</f>
        <v/>
      </c>
    </row>
    <row r="2245" spans="1:6" x14ac:dyDescent="0.25">
      <c r="A2245" s="11">
        <f t="shared" si="34"/>
        <v>7703606</v>
      </c>
      <c r="B2245" s="6">
        <v>7703606</v>
      </c>
      <c r="C2245" s="6" t="s">
        <v>765</v>
      </c>
      <c r="D2245" s="6">
        <v>350.89</v>
      </c>
      <c r="E2245" s="1">
        <v>4</v>
      </c>
      <c r="F2245" s="7" t="str">
        <f>IF(A2245=IFERROR(VLOOKUP(A2245,CATALOGO!$B$2:$B$600,1,FALSE),"Falta"),"", "Falta")</f>
        <v/>
      </c>
    </row>
    <row r="2246" spans="1:6" x14ac:dyDescent="0.25">
      <c r="A2246" s="11">
        <f t="shared" ref="A2246:A2309" si="35">IFERROR(B2246*1,"")</f>
        <v>7703607</v>
      </c>
      <c r="B2246" s="6">
        <v>7703607</v>
      </c>
      <c r="C2246" s="6" t="s">
        <v>759</v>
      </c>
      <c r="D2246" s="6">
        <v>423.49</v>
      </c>
      <c r="E2246" s="1">
        <v>0</v>
      </c>
      <c r="F2246" s="7" t="str">
        <f>IF(A2246=IFERROR(VLOOKUP(A2246,CATALOGO!$B$2:$B$600,1,FALSE),"Falta"),"", "Falta")</f>
        <v/>
      </c>
    </row>
    <row r="2247" spans="1:6" x14ac:dyDescent="0.25">
      <c r="A2247" s="11">
        <f t="shared" si="35"/>
        <v>7703640</v>
      </c>
      <c r="B2247" s="6">
        <v>7703640</v>
      </c>
      <c r="C2247" s="6" t="s">
        <v>747</v>
      </c>
      <c r="D2247" s="6">
        <v>447.19</v>
      </c>
      <c r="E2247" s="1">
        <v>12</v>
      </c>
      <c r="F2247" s="7" t="str">
        <f>IF(A2247=IFERROR(VLOOKUP(A2247,CATALOGO!$B$2:$B$600,1,FALSE),"Falta"),"", "Falta")</f>
        <v>Falta</v>
      </c>
    </row>
    <row r="2248" spans="1:6" x14ac:dyDescent="0.25">
      <c r="A2248" s="11">
        <f t="shared" si="35"/>
        <v>7703651</v>
      </c>
      <c r="B2248" s="6">
        <v>7703651</v>
      </c>
      <c r="C2248" s="6" t="s">
        <v>2189</v>
      </c>
      <c r="D2248" s="6">
        <v>0</v>
      </c>
      <c r="E2248" s="1">
        <v>0</v>
      </c>
      <c r="F2248" s="7" t="str">
        <f>IF(A2248=IFERROR(VLOOKUP(A2248,CATALOGO!$B$2:$B$600,1,FALSE),"Falta"),"", "Falta")</f>
        <v>Falta</v>
      </c>
    </row>
    <row r="2249" spans="1:6" x14ac:dyDescent="0.25">
      <c r="A2249" s="11">
        <f t="shared" si="35"/>
        <v>7703652</v>
      </c>
      <c r="B2249" s="6">
        <v>7703652</v>
      </c>
      <c r="C2249" s="6" t="s">
        <v>2190</v>
      </c>
      <c r="D2249" s="6">
        <v>0</v>
      </c>
      <c r="E2249" s="1">
        <v>0</v>
      </c>
      <c r="F2249" s="7" t="str">
        <f>IF(A2249=IFERROR(VLOOKUP(A2249,CATALOGO!$B$2:$B$600,1,FALSE),"Falta"),"", "Falta")</f>
        <v>Falta</v>
      </c>
    </row>
    <row r="2250" spans="1:6" x14ac:dyDescent="0.25">
      <c r="A2250" s="11">
        <f t="shared" si="35"/>
        <v>7703653</v>
      </c>
      <c r="B2250" s="6">
        <v>7703653</v>
      </c>
      <c r="C2250" s="6" t="s">
        <v>2191</v>
      </c>
      <c r="D2250" s="6">
        <v>0</v>
      </c>
      <c r="E2250" s="1">
        <v>0</v>
      </c>
      <c r="F2250" s="7" t="str">
        <f>IF(A2250=IFERROR(VLOOKUP(A2250,CATALOGO!$B$2:$B$600,1,FALSE),"Falta"),"", "Falta")</f>
        <v>Falta</v>
      </c>
    </row>
    <row r="2251" spans="1:6" x14ac:dyDescent="0.25">
      <c r="A2251" s="11">
        <f t="shared" si="35"/>
        <v>7703660</v>
      </c>
      <c r="B2251" s="6">
        <v>7703660</v>
      </c>
      <c r="C2251" s="6" t="s">
        <v>739</v>
      </c>
      <c r="D2251" s="6">
        <v>220</v>
      </c>
      <c r="E2251" s="1">
        <v>37</v>
      </c>
      <c r="F2251" s="7" t="str">
        <f>IF(A2251=IFERROR(VLOOKUP(A2251,CATALOGO!$B$2:$B$600,1,FALSE),"Falta"),"", "Falta")</f>
        <v/>
      </c>
    </row>
    <row r="2252" spans="1:6" x14ac:dyDescent="0.25">
      <c r="A2252" s="11">
        <f t="shared" si="35"/>
        <v>7703664</v>
      </c>
      <c r="B2252" s="6">
        <v>7703664</v>
      </c>
      <c r="C2252" s="6" t="s">
        <v>740</v>
      </c>
      <c r="D2252" s="6">
        <v>223.6</v>
      </c>
      <c r="E2252" s="1">
        <v>6</v>
      </c>
      <c r="F2252" s="7" t="str">
        <f>IF(A2252=IFERROR(VLOOKUP(A2252,CATALOGO!$B$2:$B$600,1,FALSE),"Falta"),"", "Falta")</f>
        <v>Falta</v>
      </c>
    </row>
    <row r="2253" spans="1:6" x14ac:dyDescent="0.25">
      <c r="A2253" s="11">
        <f t="shared" si="35"/>
        <v>7703665</v>
      </c>
      <c r="B2253" s="6">
        <v>7703665</v>
      </c>
      <c r="C2253" s="6" t="s">
        <v>741</v>
      </c>
      <c r="D2253" s="6">
        <v>223.6</v>
      </c>
      <c r="E2253" s="1">
        <v>5</v>
      </c>
      <c r="F2253" s="7" t="str">
        <f>IF(A2253=IFERROR(VLOOKUP(A2253,CATALOGO!$B$2:$B$600,1,FALSE),"Falta"),"", "Falta")</f>
        <v>Falta</v>
      </c>
    </row>
    <row r="2254" spans="1:6" x14ac:dyDescent="0.25">
      <c r="A2254" s="11">
        <f t="shared" si="35"/>
        <v>7703666</v>
      </c>
      <c r="B2254" s="6">
        <v>7703666</v>
      </c>
      <c r="C2254" s="6" t="s">
        <v>742</v>
      </c>
      <c r="D2254" s="6">
        <v>221.38</v>
      </c>
      <c r="E2254" s="1">
        <v>5</v>
      </c>
      <c r="F2254" s="7" t="str">
        <f>IF(A2254=IFERROR(VLOOKUP(A2254,CATALOGO!$B$2:$B$600,1,FALSE),"Falta"),"", "Falta")</f>
        <v>Falta</v>
      </c>
    </row>
    <row r="2255" spans="1:6" x14ac:dyDescent="0.25">
      <c r="A2255" s="11">
        <f t="shared" si="35"/>
        <v>7703667</v>
      </c>
      <c r="B2255" s="6">
        <v>7703667</v>
      </c>
      <c r="C2255" s="6" t="s">
        <v>1544</v>
      </c>
      <c r="D2255" s="6">
        <v>223.6</v>
      </c>
      <c r="E2255" s="1">
        <v>12</v>
      </c>
      <c r="F2255" s="7" t="str">
        <f>IF(A2255=IFERROR(VLOOKUP(A2255,CATALOGO!$B$2:$B$600,1,FALSE),"Falta"),"", "Falta")</f>
        <v>Falta</v>
      </c>
    </row>
    <row r="2256" spans="1:6" x14ac:dyDescent="0.25">
      <c r="A2256" s="11">
        <f t="shared" si="35"/>
        <v>7703668</v>
      </c>
      <c r="B2256" s="6">
        <v>7703668</v>
      </c>
      <c r="C2256" s="6" t="s">
        <v>1545</v>
      </c>
      <c r="D2256" s="6">
        <v>223.6</v>
      </c>
      <c r="E2256" s="1">
        <v>4</v>
      </c>
      <c r="F2256" s="7" t="str">
        <f>IF(A2256=IFERROR(VLOOKUP(A2256,CATALOGO!$B$2:$B$600,1,FALSE),"Falta"),"", "Falta")</f>
        <v>Falta</v>
      </c>
    </row>
    <row r="2257" spans="1:6" x14ac:dyDescent="0.25">
      <c r="A2257" s="11">
        <f t="shared" si="35"/>
        <v>7703669</v>
      </c>
      <c r="B2257" s="6">
        <v>7703669</v>
      </c>
      <c r="C2257" s="6" t="s">
        <v>743</v>
      </c>
      <c r="D2257" s="6">
        <v>223.6</v>
      </c>
      <c r="E2257" s="1">
        <v>17</v>
      </c>
      <c r="F2257" s="7" t="str">
        <f>IF(A2257=IFERROR(VLOOKUP(A2257,CATALOGO!$B$2:$B$600,1,FALSE),"Falta"),"", "Falta")</f>
        <v>Falta</v>
      </c>
    </row>
    <row r="2258" spans="1:6" x14ac:dyDescent="0.25">
      <c r="A2258" s="11">
        <f t="shared" si="35"/>
        <v>7703670</v>
      </c>
      <c r="B2258" s="6">
        <v>7703670</v>
      </c>
      <c r="C2258" s="6" t="s">
        <v>745</v>
      </c>
      <c r="D2258" s="6">
        <v>447.19</v>
      </c>
      <c r="E2258" s="1">
        <v>9</v>
      </c>
      <c r="F2258" s="7" t="str">
        <f>IF(A2258=IFERROR(VLOOKUP(A2258,CATALOGO!$B$2:$B$600,1,FALSE),"Falta"),"", "Falta")</f>
        <v>Falta</v>
      </c>
    </row>
    <row r="2259" spans="1:6" x14ac:dyDescent="0.25">
      <c r="A2259" s="11" t="str">
        <f t="shared" si="35"/>
        <v/>
      </c>
      <c r="B2259" s="6" t="s">
        <v>1859</v>
      </c>
      <c r="C2259" s="6" t="s">
        <v>1859</v>
      </c>
      <c r="D2259" s="6">
        <v>0</v>
      </c>
      <c r="E2259" s="1">
        <v>0</v>
      </c>
      <c r="F2259" s="7" t="str">
        <f>IF(A2259=IFERROR(VLOOKUP(A2259,CATALOGO!$B$2:$B$600,1,FALSE),"Falta"),"", "Falta")</f>
        <v>Falta</v>
      </c>
    </row>
    <row r="2260" spans="1:6" x14ac:dyDescent="0.25">
      <c r="A2260" s="11">
        <f t="shared" si="35"/>
        <v>7703671</v>
      </c>
      <c r="B2260" s="6">
        <v>7703671</v>
      </c>
      <c r="C2260" s="6" t="s">
        <v>2192</v>
      </c>
      <c r="D2260" s="6">
        <v>0</v>
      </c>
      <c r="E2260" s="1">
        <v>0</v>
      </c>
      <c r="F2260" s="7" t="str">
        <f>IF(A2260=IFERROR(VLOOKUP(A2260,CATALOGO!$B$2:$B$600,1,FALSE),"Falta"),"", "Falta")</f>
        <v>Falta</v>
      </c>
    </row>
    <row r="2261" spans="1:6" x14ac:dyDescent="0.25">
      <c r="A2261" s="11">
        <f t="shared" si="35"/>
        <v>7703672</v>
      </c>
      <c r="B2261" s="6">
        <v>7703672</v>
      </c>
      <c r="C2261" s="6" t="s">
        <v>744</v>
      </c>
      <c r="D2261" s="6">
        <v>424.83</v>
      </c>
      <c r="E2261" s="1">
        <v>1</v>
      </c>
      <c r="F2261" s="7" t="str">
        <f>IF(A2261=IFERROR(VLOOKUP(A2261,CATALOGO!$B$2:$B$600,1,FALSE),"Falta"),"", "Falta")</f>
        <v>Falta</v>
      </c>
    </row>
    <row r="2262" spans="1:6" x14ac:dyDescent="0.25">
      <c r="A2262" s="11">
        <f t="shared" si="35"/>
        <v>7703673</v>
      </c>
      <c r="B2262" s="6">
        <v>7703673</v>
      </c>
      <c r="C2262" s="6" t="s">
        <v>754</v>
      </c>
      <c r="D2262" s="6">
        <v>424.83</v>
      </c>
      <c r="E2262" s="1">
        <v>3</v>
      </c>
      <c r="F2262" s="7" t="str">
        <f>IF(A2262=IFERROR(VLOOKUP(A2262,CATALOGO!$B$2:$B$600,1,FALSE),"Falta"),"", "Falta")</f>
        <v>Falta</v>
      </c>
    </row>
    <row r="2263" spans="1:6" x14ac:dyDescent="0.25">
      <c r="A2263" s="11">
        <f t="shared" si="35"/>
        <v>7703674</v>
      </c>
      <c r="B2263" s="6">
        <v>7703674</v>
      </c>
      <c r="C2263" s="6" t="s">
        <v>753</v>
      </c>
      <c r="D2263" s="6">
        <v>424.83</v>
      </c>
      <c r="E2263" s="1">
        <v>22</v>
      </c>
      <c r="F2263" s="7" t="str">
        <f>IF(A2263=IFERROR(VLOOKUP(A2263,CATALOGO!$B$2:$B$600,1,FALSE),"Falta"),"", "Falta")</f>
        <v>Falta</v>
      </c>
    </row>
    <row r="2264" spans="1:6" x14ac:dyDescent="0.25">
      <c r="A2264" s="11">
        <f t="shared" si="35"/>
        <v>7703675</v>
      </c>
      <c r="B2264" s="6">
        <v>7703675</v>
      </c>
      <c r="C2264" s="6" t="s">
        <v>752</v>
      </c>
      <c r="D2264" s="6">
        <v>424.83</v>
      </c>
      <c r="E2264" s="1">
        <v>12</v>
      </c>
      <c r="F2264" s="7" t="str">
        <f>IF(A2264=IFERROR(VLOOKUP(A2264,CATALOGO!$B$2:$B$600,1,FALSE),"Falta"),"", "Falta")</f>
        <v>Falta</v>
      </c>
    </row>
    <row r="2265" spans="1:6" x14ac:dyDescent="0.25">
      <c r="A2265" s="11">
        <f t="shared" si="35"/>
        <v>7703676</v>
      </c>
      <c r="B2265" s="6">
        <v>7703676</v>
      </c>
      <c r="C2265" s="6" t="s">
        <v>758</v>
      </c>
      <c r="D2265" s="6">
        <v>424.83</v>
      </c>
      <c r="E2265" s="1">
        <v>11</v>
      </c>
      <c r="F2265" s="7" t="str">
        <f>IF(A2265=IFERROR(VLOOKUP(A2265,CATALOGO!$B$2:$B$600,1,FALSE),"Falta"),"", "Falta")</f>
        <v>Falta</v>
      </c>
    </row>
    <row r="2266" spans="1:6" x14ac:dyDescent="0.25">
      <c r="A2266" s="11">
        <f t="shared" si="35"/>
        <v>7703678</v>
      </c>
      <c r="B2266" s="6">
        <v>7703678</v>
      </c>
      <c r="C2266" s="6" t="s">
        <v>757</v>
      </c>
      <c r="D2266" s="6">
        <v>424.83</v>
      </c>
      <c r="E2266" s="1">
        <v>13</v>
      </c>
      <c r="F2266" s="7" t="str">
        <f>IF(A2266=IFERROR(VLOOKUP(A2266,CATALOGO!$B$2:$B$600,1,FALSE),"Falta"),"", "Falta")</f>
        <v>Falta</v>
      </c>
    </row>
    <row r="2267" spans="1:6" x14ac:dyDescent="0.25">
      <c r="A2267" s="11" t="str">
        <f t="shared" si="35"/>
        <v/>
      </c>
      <c r="B2267" s="6" t="s">
        <v>1859</v>
      </c>
      <c r="C2267" s="6" t="s">
        <v>1859</v>
      </c>
      <c r="D2267" s="6">
        <v>0</v>
      </c>
      <c r="E2267" s="1">
        <v>0</v>
      </c>
      <c r="F2267" s="7" t="str">
        <f>IF(A2267=IFERROR(VLOOKUP(A2267,CATALOGO!$B$2:$B$600,1,FALSE),"Falta"),"", "Falta")</f>
        <v>Falta</v>
      </c>
    </row>
    <row r="2268" spans="1:6" x14ac:dyDescent="0.25">
      <c r="A2268" s="11">
        <f t="shared" si="35"/>
        <v>7703701</v>
      </c>
      <c r="B2268" s="6">
        <v>7703701</v>
      </c>
      <c r="C2268" s="6" t="s">
        <v>2193</v>
      </c>
      <c r="D2268" s="6">
        <v>0</v>
      </c>
      <c r="E2268" s="1">
        <v>0</v>
      </c>
      <c r="F2268" s="7" t="str">
        <f>IF(A2268=IFERROR(VLOOKUP(A2268,CATALOGO!$B$2:$B$600,1,FALSE),"Falta"),"", "Falta")</f>
        <v>Falta</v>
      </c>
    </row>
    <row r="2269" spans="1:6" x14ac:dyDescent="0.25">
      <c r="A2269" s="11">
        <f t="shared" si="35"/>
        <v>7703702</v>
      </c>
      <c r="B2269" s="6">
        <v>7703702</v>
      </c>
      <c r="C2269" s="6" t="s">
        <v>1546</v>
      </c>
      <c r="D2269" s="6">
        <v>290.81</v>
      </c>
      <c r="E2269" s="1">
        <v>1</v>
      </c>
      <c r="F2269" s="7" t="str">
        <f>IF(A2269=IFERROR(VLOOKUP(A2269,CATALOGO!$B$2:$B$600,1,FALSE),"Falta"),"", "Falta")</f>
        <v>Falta</v>
      </c>
    </row>
    <row r="2270" spans="1:6" x14ac:dyDescent="0.25">
      <c r="A2270" s="11" t="str">
        <f t="shared" si="35"/>
        <v/>
      </c>
      <c r="B2270" s="6" t="s">
        <v>1859</v>
      </c>
      <c r="C2270" s="6" t="s">
        <v>1859</v>
      </c>
      <c r="D2270" s="6">
        <v>0</v>
      </c>
      <c r="E2270" s="1">
        <v>0</v>
      </c>
      <c r="F2270" s="7" t="str">
        <f>IF(A2270=IFERROR(VLOOKUP(A2270,CATALOGO!$B$2:$B$600,1,FALSE),"Falta"),"", "Falta")</f>
        <v>Falta</v>
      </c>
    </row>
    <row r="2271" spans="1:6" x14ac:dyDescent="0.25">
      <c r="A2271" s="11">
        <f t="shared" si="35"/>
        <v>7703703</v>
      </c>
      <c r="B2271" s="6">
        <v>7703703</v>
      </c>
      <c r="C2271" s="6" t="s">
        <v>2194</v>
      </c>
      <c r="D2271" s="6">
        <v>0</v>
      </c>
      <c r="E2271" s="1">
        <v>0</v>
      </c>
      <c r="F2271" s="7" t="str">
        <f>IF(A2271=IFERROR(VLOOKUP(A2271,CATALOGO!$B$2:$B$600,1,FALSE),"Falta"),"", "Falta")</f>
        <v>Falta</v>
      </c>
    </row>
    <row r="2272" spans="1:6" x14ac:dyDescent="0.25">
      <c r="A2272" s="11">
        <f t="shared" si="35"/>
        <v>7703704</v>
      </c>
      <c r="B2272" s="6">
        <v>7703704</v>
      </c>
      <c r="C2272" s="6" t="s">
        <v>1547</v>
      </c>
      <c r="D2272" s="6">
        <v>290.81</v>
      </c>
      <c r="E2272" s="1">
        <v>2</v>
      </c>
      <c r="F2272" s="7" t="str">
        <f>IF(A2272=IFERROR(VLOOKUP(A2272,CATALOGO!$B$2:$B$600,1,FALSE),"Falta"),"", "Falta")</f>
        <v>Falta</v>
      </c>
    </row>
    <row r="2273" spans="1:6" x14ac:dyDescent="0.25">
      <c r="A2273" s="11" t="str">
        <f t="shared" si="35"/>
        <v/>
      </c>
      <c r="B2273" s="6" t="s">
        <v>1859</v>
      </c>
      <c r="C2273" s="6" t="s">
        <v>1859</v>
      </c>
      <c r="D2273" s="6">
        <v>0</v>
      </c>
      <c r="E2273" s="1">
        <v>0</v>
      </c>
      <c r="F2273" s="7" t="str">
        <f>IF(A2273=IFERROR(VLOOKUP(A2273,CATALOGO!$B$2:$B$600,1,FALSE),"Falta"),"", "Falta")</f>
        <v>Falta</v>
      </c>
    </row>
    <row r="2274" spans="1:6" x14ac:dyDescent="0.25">
      <c r="A2274" s="11">
        <f t="shared" si="35"/>
        <v>7703705</v>
      </c>
      <c r="B2274" s="6">
        <v>7703705</v>
      </c>
      <c r="C2274" s="6" t="s">
        <v>2195</v>
      </c>
      <c r="D2274" s="6">
        <v>0</v>
      </c>
      <c r="E2274" s="1">
        <v>0</v>
      </c>
      <c r="F2274" s="7" t="str">
        <f>IF(A2274=IFERROR(VLOOKUP(A2274,CATALOGO!$B$2:$B$600,1,FALSE),"Falta"),"", "Falta")</f>
        <v>Falta</v>
      </c>
    </row>
    <row r="2275" spans="1:6" x14ac:dyDescent="0.25">
      <c r="A2275" s="11" t="str">
        <f t="shared" si="35"/>
        <v/>
      </c>
      <c r="B2275" s="6" t="s">
        <v>1859</v>
      </c>
      <c r="C2275" s="6" t="s">
        <v>1859</v>
      </c>
      <c r="D2275" s="6">
        <v>0</v>
      </c>
      <c r="E2275" s="1">
        <v>0</v>
      </c>
      <c r="F2275" s="7" t="str">
        <f>IF(A2275=IFERROR(VLOOKUP(A2275,CATALOGO!$B$2:$B$600,1,FALSE),"Falta"),"", "Falta")</f>
        <v>Falta</v>
      </c>
    </row>
    <row r="2276" spans="1:6" x14ac:dyDescent="0.25">
      <c r="A2276" s="11">
        <f t="shared" si="35"/>
        <v>7703706</v>
      </c>
      <c r="B2276" s="6">
        <v>7703706</v>
      </c>
      <c r="C2276" s="6" t="s">
        <v>2196</v>
      </c>
      <c r="D2276" s="6">
        <v>0</v>
      </c>
      <c r="E2276" s="1">
        <v>0</v>
      </c>
      <c r="F2276" s="7" t="str">
        <f>IF(A2276=IFERROR(VLOOKUP(A2276,CATALOGO!$B$2:$B$600,1,FALSE),"Falta"),"", "Falta")</f>
        <v>Falta</v>
      </c>
    </row>
    <row r="2277" spans="1:6" x14ac:dyDescent="0.25">
      <c r="A2277" s="11" t="str">
        <f t="shared" si="35"/>
        <v/>
      </c>
      <c r="B2277" s="6" t="s">
        <v>1859</v>
      </c>
      <c r="C2277" s="6" t="s">
        <v>1859</v>
      </c>
      <c r="D2277" s="6">
        <v>0</v>
      </c>
      <c r="E2277" s="1">
        <v>0</v>
      </c>
      <c r="F2277" s="7" t="str">
        <f>IF(A2277=IFERROR(VLOOKUP(A2277,CATALOGO!$B$2:$B$600,1,FALSE),"Falta"),"", "Falta")</f>
        <v>Falta</v>
      </c>
    </row>
    <row r="2278" spans="1:6" x14ac:dyDescent="0.25">
      <c r="A2278" s="11">
        <f t="shared" si="35"/>
        <v>7703707</v>
      </c>
      <c r="B2278" s="6">
        <v>7703707</v>
      </c>
      <c r="C2278" s="6" t="s">
        <v>2197</v>
      </c>
      <c r="D2278" s="6">
        <v>0</v>
      </c>
      <c r="E2278" s="1">
        <v>0</v>
      </c>
      <c r="F2278" s="7" t="str">
        <f>IF(A2278=IFERROR(VLOOKUP(A2278,CATALOGO!$B$2:$B$600,1,FALSE),"Falta"),"", "Falta")</f>
        <v>Falta</v>
      </c>
    </row>
    <row r="2279" spans="1:6" x14ac:dyDescent="0.25">
      <c r="A2279" s="11" t="str">
        <f t="shared" si="35"/>
        <v/>
      </c>
      <c r="B2279" s="6" t="s">
        <v>1859</v>
      </c>
      <c r="C2279" s="6" t="s">
        <v>1859</v>
      </c>
      <c r="D2279" s="6">
        <v>0</v>
      </c>
      <c r="E2279" s="1">
        <v>0</v>
      </c>
      <c r="F2279" s="7" t="str">
        <f>IF(A2279=IFERROR(VLOOKUP(A2279,CATALOGO!$B$2:$B$600,1,FALSE),"Falta"),"", "Falta")</f>
        <v>Falta</v>
      </c>
    </row>
    <row r="2280" spans="1:6" x14ac:dyDescent="0.25">
      <c r="A2280" s="11">
        <f t="shared" si="35"/>
        <v>7703713</v>
      </c>
      <c r="B2280" s="6">
        <v>7703713</v>
      </c>
      <c r="C2280" s="6" t="s">
        <v>2198</v>
      </c>
      <c r="D2280" s="6">
        <v>0</v>
      </c>
      <c r="E2280" s="1">
        <v>0</v>
      </c>
      <c r="F2280" s="7" t="str">
        <f>IF(A2280=IFERROR(VLOOKUP(A2280,CATALOGO!$B$2:$B$600,1,FALSE),"Falta"),"", "Falta")</f>
        <v>Falta</v>
      </c>
    </row>
    <row r="2281" spans="1:6" x14ac:dyDescent="0.25">
      <c r="A2281" s="11">
        <f t="shared" si="35"/>
        <v>7703716</v>
      </c>
      <c r="B2281" s="6">
        <v>7703716</v>
      </c>
      <c r="C2281" s="6" t="s">
        <v>1548</v>
      </c>
      <c r="D2281" s="6">
        <v>336.73</v>
      </c>
      <c r="E2281" s="1">
        <v>0</v>
      </c>
      <c r="F2281" s="7" t="str">
        <f>IF(A2281=IFERROR(VLOOKUP(A2281,CATALOGO!$B$2:$B$600,1,FALSE),"Falta"),"", "Falta")</f>
        <v>Falta</v>
      </c>
    </row>
    <row r="2282" spans="1:6" x14ac:dyDescent="0.25">
      <c r="A2282" s="11" t="str">
        <f t="shared" si="35"/>
        <v/>
      </c>
      <c r="B2282" s="6" t="s">
        <v>1859</v>
      </c>
      <c r="C2282" s="6" t="s">
        <v>1859</v>
      </c>
      <c r="D2282" s="6">
        <v>0</v>
      </c>
      <c r="E2282" s="1">
        <v>0</v>
      </c>
      <c r="F2282" s="7" t="str">
        <f>IF(A2282=IFERROR(VLOOKUP(A2282,CATALOGO!$B$2:$B$600,1,FALSE),"Falta"),"", "Falta")</f>
        <v>Falta</v>
      </c>
    </row>
    <row r="2283" spans="1:6" x14ac:dyDescent="0.25">
      <c r="A2283" s="11">
        <f t="shared" si="35"/>
        <v>7703777</v>
      </c>
      <c r="B2283" s="6">
        <v>7703777</v>
      </c>
      <c r="C2283" s="6" t="s">
        <v>2199</v>
      </c>
      <c r="D2283" s="6">
        <v>0</v>
      </c>
      <c r="E2283" s="1">
        <v>0</v>
      </c>
      <c r="F2283" s="7" t="str">
        <f>IF(A2283=IFERROR(VLOOKUP(A2283,CATALOGO!$B$2:$B$600,1,FALSE),"Falta"),"", "Falta")</f>
        <v>Falta</v>
      </c>
    </row>
    <row r="2284" spans="1:6" x14ac:dyDescent="0.25">
      <c r="A2284" s="11">
        <f t="shared" si="35"/>
        <v>7703780</v>
      </c>
      <c r="B2284" s="6">
        <v>7703780</v>
      </c>
      <c r="C2284" s="6" t="s">
        <v>748</v>
      </c>
      <c r="D2284" s="6">
        <v>514.27</v>
      </c>
      <c r="E2284" s="1">
        <v>14</v>
      </c>
      <c r="F2284" s="7" t="str">
        <f>IF(A2284=IFERROR(VLOOKUP(A2284,CATALOGO!$B$2:$B$600,1,FALSE),"Falta"),"", "Falta")</f>
        <v>Falta</v>
      </c>
    </row>
    <row r="2285" spans="1:6" x14ac:dyDescent="0.25">
      <c r="A2285" s="11">
        <f t="shared" si="35"/>
        <v>7703815</v>
      </c>
      <c r="B2285" s="6">
        <v>7703815</v>
      </c>
      <c r="C2285" s="6" t="s">
        <v>1549</v>
      </c>
      <c r="D2285" s="6">
        <v>2515.59</v>
      </c>
      <c r="E2285" s="1">
        <v>0</v>
      </c>
      <c r="F2285" s="7" t="str">
        <f>IF(A2285=IFERROR(VLOOKUP(A2285,CATALOGO!$B$2:$B$600,1,FALSE),"Falta"),"", "Falta")</f>
        <v>Falta</v>
      </c>
    </row>
    <row r="2286" spans="1:6" x14ac:dyDescent="0.25">
      <c r="A2286" s="11">
        <f t="shared" si="35"/>
        <v>7703881</v>
      </c>
      <c r="B2286" s="6">
        <v>7703881</v>
      </c>
      <c r="C2286" s="6" t="s">
        <v>1550</v>
      </c>
      <c r="D2286" s="6">
        <v>2528.89</v>
      </c>
      <c r="E2286" s="1">
        <v>0</v>
      </c>
      <c r="F2286" s="7" t="str">
        <f>IF(A2286=IFERROR(VLOOKUP(A2286,CATALOGO!$B$2:$B$600,1,FALSE),"Falta"),"", "Falta")</f>
        <v>Falta</v>
      </c>
    </row>
    <row r="2287" spans="1:6" x14ac:dyDescent="0.25">
      <c r="A2287" s="11">
        <f t="shared" si="35"/>
        <v>7703888</v>
      </c>
      <c r="B2287" s="6">
        <v>7703888</v>
      </c>
      <c r="C2287" s="6" t="s">
        <v>736</v>
      </c>
      <c r="D2287" s="6">
        <v>2999.99</v>
      </c>
      <c r="E2287" s="1">
        <v>1</v>
      </c>
      <c r="F2287" s="7" t="str">
        <f>IF(A2287=IFERROR(VLOOKUP(A2287,CATALOGO!$B$2:$B$600,1,FALSE),"Falta"),"", "Falta")</f>
        <v>Falta</v>
      </c>
    </row>
    <row r="2288" spans="1:6" x14ac:dyDescent="0.25">
      <c r="A2288" s="11" t="str">
        <f t="shared" si="35"/>
        <v/>
      </c>
      <c r="B2288" s="6" t="s">
        <v>1859</v>
      </c>
      <c r="C2288" s="6" t="s">
        <v>1859</v>
      </c>
      <c r="D2288" s="6">
        <v>0</v>
      </c>
      <c r="E2288" s="1">
        <v>0</v>
      </c>
      <c r="F2288" s="7" t="str">
        <f>IF(A2288=IFERROR(VLOOKUP(A2288,CATALOGO!$B$2:$B$600,1,FALSE),"Falta"),"", "Falta")</f>
        <v>Falta</v>
      </c>
    </row>
    <row r="2289" spans="1:6" x14ac:dyDescent="0.25">
      <c r="A2289" s="11">
        <f t="shared" si="35"/>
        <v>7703901</v>
      </c>
      <c r="B2289" s="6">
        <v>7703901</v>
      </c>
      <c r="C2289" s="6" t="s">
        <v>2200</v>
      </c>
      <c r="D2289" s="6">
        <v>0</v>
      </c>
      <c r="E2289" s="1">
        <v>0</v>
      </c>
      <c r="F2289" s="7" t="str">
        <f>IF(A2289=IFERROR(VLOOKUP(A2289,CATALOGO!$B$2:$B$600,1,FALSE),"Falta"),"", "Falta")</f>
        <v>Falta</v>
      </c>
    </row>
    <row r="2290" spans="1:6" x14ac:dyDescent="0.25">
      <c r="A2290" s="11" t="str">
        <f t="shared" si="35"/>
        <v/>
      </c>
      <c r="B2290" s="6" t="s">
        <v>1859</v>
      </c>
      <c r="C2290" s="6" t="s">
        <v>1859</v>
      </c>
      <c r="D2290" s="6">
        <v>0</v>
      </c>
      <c r="E2290" s="1">
        <v>0</v>
      </c>
      <c r="F2290" s="7" t="str">
        <f>IF(A2290=IFERROR(VLOOKUP(A2290,CATALOGO!$B$2:$B$600,1,FALSE),"Falta"),"", "Falta")</f>
        <v>Falta</v>
      </c>
    </row>
    <row r="2291" spans="1:6" x14ac:dyDescent="0.25">
      <c r="A2291" s="11">
        <f t="shared" si="35"/>
        <v>7703902</v>
      </c>
      <c r="B2291" s="6">
        <v>7703902</v>
      </c>
      <c r="C2291" s="6" t="s">
        <v>2201</v>
      </c>
      <c r="D2291" s="6">
        <v>0</v>
      </c>
      <c r="E2291" s="1">
        <v>0</v>
      </c>
      <c r="F2291" s="7" t="str">
        <f>IF(A2291=IFERROR(VLOOKUP(A2291,CATALOGO!$B$2:$B$600,1,FALSE),"Falta"),"", "Falta")</f>
        <v>Falta</v>
      </c>
    </row>
    <row r="2292" spans="1:6" x14ac:dyDescent="0.25">
      <c r="A2292" s="11" t="str">
        <f t="shared" si="35"/>
        <v/>
      </c>
      <c r="B2292" s="6" t="s">
        <v>1859</v>
      </c>
      <c r="C2292" s="6" t="s">
        <v>1859</v>
      </c>
      <c r="D2292" s="6">
        <v>0</v>
      </c>
      <c r="E2292" s="1">
        <v>0</v>
      </c>
      <c r="F2292" s="7" t="str">
        <f>IF(A2292=IFERROR(VLOOKUP(A2292,CATALOGO!$B$2:$B$600,1,FALSE),"Falta"),"", "Falta")</f>
        <v>Falta</v>
      </c>
    </row>
    <row r="2293" spans="1:6" x14ac:dyDescent="0.25">
      <c r="A2293" s="11">
        <f t="shared" si="35"/>
        <v>7703903</v>
      </c>
      <c r="B2293" s="6">
        <v>7703903</v>
      </c>
      <c r="C2293" s="6" t="s">
        <v>2202</v>
      </c>
      <c r="D2293" s="6">
        <v>0</v>
      </c>
      <c r="E2293" s="1">
        <v>0</v>
      </c>
      <c r="F2293" s="7" t="str">
        <f>IF(A2293=IFERROR(VLOOKUP(A2293,CATALOGO!$B$2:$B$600,1,FALSE),"Falta"),"", "Falta")</f>
        <v>Falta</v>
      </c>
    </row>
    <row r="2294" spans="1:6" x14ac:dyDescent="0.25">
      <c r="A2294" s="11" t="str">
        <f t="shared" si="35"/>
        <v/>
      </c>
      <c r="B2294" s="6" t="s">
        <v>1859</v>
      </c>
      <c r="C2294" s="6" t="s">
        <v>1859</v>
      </c>
      <c r="D2294" s="6">
        <v>0</v>
      </c>
      <c r="E2294" s="1">
        <v>0</v>
      </c>
      <c r="F2294" s="7" t="str">
        <f>IF(A2294=IFERROR(VLOOKUP(A2294,CATALOGO!$B$2:$B$600,1,FALSE),"Falta"),"", "Falta")</f>
        <v>Falta</v>
      </c>
    </row>
    <row r="2295" spans="1:6" x14ac:dyDescent="0.25">
      <c r="A2295" s="11">
        <f t="shared" si="35"/>
        <v>7703910</v>
      </c>
      <c r="B2295" s="6">
        <v>7703910</v>
      </c>
      <c r="C2295" s="6" t="s">
        <v>2203</v>
      </c>
      <c r="D2295" s="6">
        <v>0</v>
      </c>
      <c r="E2295" s="1">
        <v>0</v>
      </c>
      <c r="F2295" s="7" t="str">
        <f>IF(A2295=IFERROR(VLOOKUP(A2295,CATALOGO!$B$2:$B$600,1,FALSE),"Falta"),"", "Falta")</f>
        <v>Falta</v>
      </c>
    </row>
    <row r="2296" spans="1:6" x14ac:dyDescent="0.25">
      <c r="A2296" s="11">
        <f t="shared" si="35"/>
        <v>7703915</v>
      </c>
      <c r="B2296" s="6">
        <v>7703915</v>
      </c>
      <c r="C2296" s="6" t="s">
        <v>1551</v>
      </c>
      <c r="D2296" s="6">
        <v>336.73</v>
      </c>
      <c r="E2296" s="1">
        <v>0</v>
      </c>
      <c r="F2296" s="7" t="str">
        <f>IF(A2296=IFERROR(VLOOKUP(A2296,CATALOGO!$B$2:$B$600,1,FALSE),"Falta"),"", "Falta")</f>
        <v>Falta</v>
      </c>
    </row>
    <row r="2297" spans="1:6" x14ac:dyDescent="0.25">
      <c r="A2297" s="11" t="str">
        <f t="shared" si="35"/>
        <v/>
      </c>
      <c r="B2297" s="6" t="s">
        <v>1859</v>
      </c>
      <c r="C2297" s="6" t="s">
        <v>1859</v>
      </c>
      <c r="D2297" s="6">
        <v>0</v>
      </c>
      <c r="E2297" s="1">
        <v>0</v>
      </c>
      <c r="F2297" s="7" t="str">
        <f>IF(A2297=IFERROR(VLOOKUP(A2297,CATALOGO!$B$2:$B$600,1,FALSE),"Falta"),"", "Falta")</f>
        <v>Falta</v>
      </c>
    </row>
    <row r="2298" spans="1:6" x14ac:dyDescent="0.25">
      <c r="A2298" s="11">
        <f t="shared" si="35"/>
        <v>7703918</v>
      </c>
      <c r="B2298" s="6">
        <v>7703918</v>
      </c>
      <c r="C2298" s="6" t="s">
        <v>2204</v>
      </c>
      <c r="D2298" s="6">
        <v>0</v>
      </c>
      <c r="E2298" s="1">
        <v>0</v>
      </c>
      <c r="F2298" s="7" t="str">
        <f>IF(A2298=IFERROR(VLOOKUP(A2298,CATALOGO!$B$2:$B$600,1,FALSE),"Falta"),"", "Falta")</f>
        <v>Falta</v>
      </c>
    </row>
    <row r="2299" spans="1:6" x14ac:dyDescent="0.25">
      <c r="A2299" s="11">
        <f t="shared" si="35"/>
        <v>7703920</v>
      </c>
      <c r="B2299" s="6">
        <v>7703920</v>
      </c>
      <c r="C2299" s="6" t="s">
        <v>746</v>
      </c>
      <c r="D2299" s="6">
        <v>514.27</v>
      </c>
      <c r="E2299" s="1">
        <v>15</v>
      </c>
      <c r="F2299" s="7" t="str">
        <f>IF(A2299=IFERROR(VLOOKUP(A2299,CATALOGO!$B$2:$B$600,1,FALSE),"Falta"),"", "Falta")</f>
        <v>Falta</v>
      </c>
    </row>
    <row r="2300" spans="1:6" x14ac:dyDescent="0.25">
      <c r="A2300" s="11">
        <f t="shared" si="35"/>
        <v>7703951</v>
      </c>
      <c r="B2300" s="6">
        <v>7703951</v>
      </c>
      <c r="C2300" s="6" t="s">
        <v>735</v>
      </c>
      <c r="D2300" s="6">
        <v>5199.99</v>
      </c>
      <c r="E2300" s="1">
        <v>0</v>
      </c>
      <c r="F2300" s="7" t="str">
        <f>IF(A2300=IFERROR(VLOOKUP(A2300,CATALOGO!$B$2:$B$600,1,FALSE),"Falta"),"", "Falta")</f>
        <v>Falta</v>
      </c>
    </row>
    <row r="2301" spans="1:6" x14ac:dyDescent="0.25">
      <c r="A2301" s="11" t="str">
        <f t="shared" si="35"/>
        <v/>
      </c>
      <c r="B2301" s="6" t="s">
        <v>1859</v>
      </c>
      <c r="C2301" s="6" t="s">
        <v>1859</v>
      </c>
      <c r="D2301" s="6">
        <v>0</v>
      </c>
      <c r="E2301" s="1">
        <v>0</v>
      </c>
      <c r="F2301" s="7" t="str">
        <f>IF(A2301=IFERROR(VLOOKUP(A2301,CATALOGO!$B$2:$B$600,1,FALSE),"Falta"),"", "Falta")</f>
        <v>Falta</v>
      </c>
    </row>
    <row r="2302" spans="1:6" x14ac:dyDescent="0.25">
      <c r="A2302" s="11">
        <f t="shared" si="35"/>
        <v>7703987</v>
      </c>
      <c r="B2302" s="6">
        <v>7703987</v>
      </c>
      <c r="C2302" s="6" t="s">
        <v>2205</v>
      </c>
      <c r="D2302" s="6">
        <v>0</v>
      </c>
      <c r="E2302" s="1">
        <v>0</v>
      </c>
      <c r="F2302" s="7" t="str">
        <f>IF(A2302=IFERROR(VLOOKUP(A2302,CATALOGO!$B$2:$B$600,1,FALSE),"Falta"),"", "Falta")</f>
        <v>Falta</v>
      </c>
    </row>
    <row r="2303" spans="1:6" x14ac:dyDescent="0.25">
      <c r="A2303" s="11">
        <f t="shared" si="35"/>
        <v>7703994</v>
      </c>
      <c r="B2303" s="6">
        <v>7703994</v>
      </c>
      <c r="C2303" s="6" t="s">
        <v>734</v>
      </c>
      <c r="D2303" s="6">
        <v>1999.99</v>
      </c>
      <c r="E2303" s="1">
        <v>20</v>
      </c>
      <c r="F2303" s="7" t="str">
        <f>IF(A2303=IFERROR(VLOOKUP(A2303,CATALOGO!$B$2:$B$600,1,FALSE),"Falta"),"", "Falta")</f>
        <v>Falta</v>
      </c>
    </row>
    <row r="2304" spans="1:6" x14ac:dyDescent="0.25">
      <c r="A2304" s="11" t="str">
        <f t="shared" si="35"/>
        <v/>
      </c>
      <c r="B2304" s="6" t="s">
        <v>1859</v>
      </c>
      <c r="C2304" s="6" t="s">
        <v>1859</v>
      </c>
      <c r="D2304" s="6">
        <v>0</v>
      </c>
      <c r="E2304" s="1">
        <v>0</v>
      </c>
      <c r="F2304" s="7" t="str">
        <f>IF(A2304=IFERROR(VLOOKUP(A2304,CATALOGO!$B$2:$B$600,1,FALSE),"Falta"),"", "Falta")</f>
        <v>Falta</v>
      </c>
    </row>
    <row r="2305" spans="1:6" x14ac:dyDescent="0.25">
      <c r="A2305" s="11">
        <f t="shared" si="35"/>
        <v>7703999</v>
      </c>
      <c r="B2305" s="6">
        <v>7703999</v>
      </c>
      <c r="C2305" s="6" t="s">
        <v>2206</v>
      </c>
      <c r="D2305" s="6">
        <v>0</v>
      </c>
      <c r="E2305" s="1">
        <v>0</v>
      </c>
      <c r="F2305" s="7" t="str">
        <f>IF(A2305=IFERROR(VLOOKUP(A2305,CATALOGO!$B$2:$B$600,1,FALSE),"Falta"),"", "Falta")</f>
        <v>Falta</v>
      </c>
    </row>
    <row r="2306" spans="1:6" x14ac:dyDescent="0.25">
      <c r="A2306" s="11" t="str">
        <f t="shared" si="35"/>
        <v/>
      </c>
      <c r="B2306" s="6" t="s">
        <v>1859</v>
      </c>
      <c r="C2306" s="6" t="s">
        <v>2207</v>
      </c>
      <c r="D2306" s="6">
        <v>0</v>
      </c>
      <c r="E2306" s="1">
        <v>0</v>
      </c>
      <c r="F2306" s="7" t="str">
        <f>IF(A2306=IFERROR(VLOOKUP(A2306,CATALOGO!$B$2:$B$600,1,FALSE),"Falta"),"", "Falta")</f>
        <v>Falta</v>
      </c>
    </row>
    <row r="2307" spans="1:6" x14ac:dyDescent="0.25">
      <c r="A2307" s="11" t="str">
        <f t="shared" si="35"/>
        <v/>
      </c>
      <c r="B2307" s="6" t="s">
        <v>1859</v>
      </c>
      <c r="C2307" s="6" t="s">
        <v>1859</v>
      </c>
      <c r="D2307" s="6">
        <v>0</v>
      </c>
      <c r="E2307" s="1">
        <v>0</v>
      </c>
      <c r="F2307" s="7" t="str">
        <f>IF(A2307=IFERROR(VLOOKUP(A2307,CATALOGO!$B$2:$B$600,1,FALSE),"Falta"),"", "Falta")</f>
        <v>Falta</v>
      </c>
    </row>
    <row r="2308" spans="1:6" x14ac:dyDescent="0.25">
      <c r="A2308" s="11">
        <f t="shared" si="35"/>
        <v>7707000</v>
      </c>
      <c r="B2308" s="6">
        <v>7707000</v>
      </c>
      <c r="C2308" s="6" t="s">
        <v>2208</v>
      </c>
      <c r="D2308" s="6">
        <v>0</v>
      </c>
      <c r="E2308" s="1">
        <v>0</v>
      </c>
      <c r="F2308" s="7" t="str">
        <f>IF(A2308=IFERROR(VLOOKUP(A2308,CATALOGO!$B$2:$B$600,1,FALSE),"Falta"),"", "Falta")</f>
        <v>Falta</v>
      </c>
    </row>
    <row r="2309" spans="1:6" x14ac:dyDescent="0.25">
      <c r="A2309" s="11">
        <f t="shared" si="35"/>
        <v>7707001</v>
      </c>
      <c r="B2309" s="6">
        <v>7707001</v>
      </c>
      <c r="C2309" s="6" t="s">
        <v>1843</v>
      </c>
      <c r="D2309" s="6">
        <v>122.44</v>
      </c>
      <c r="E2309" s="1">
        <v>53</v>
      </c>
      <c r="F2309" s="7" t="str">
        <f>IF(A2309=IFERROR(VLOOKUP(A2309,CATALOGO!$B$2:$B$600,1,FALSE),"Falta"),"", "Falta")</f>
        <v>Falta</v>
      </c>
    </row>
    <row r="2310" spans="1:6" x14ac:dyDescent="0.25">
      <c r="A2310" s="11">
        <f t="shared" ref="A2310:A2373" si="36">IFERROR(B2310*1,"")</f>
        <v>7707002</v>
      </c>
      <c r="B2310" s="6">
        <v>7707002</v>
      </c>
      <c r="C2310" s="6" t="s">
        <v>928</v>
      </c>
      <c r="D2310" s="6">
        <v>190</v>
      </c>
      <c r="E2310" s="1">
        <v>49</v>
      </c>
      <c r="F2310" s="7" t="str">
        <f>IF(A2310=IFERROR(VLOOKUP(A2310,CATALOGO!$B$2:$B$600,1,FALSE),"Falta"),"", "Falta")</f>
        <v/>
      </c>
    </row>
    <row r="2311" spans="1:6" x14ac:dyDescent="0.25">
      <c r="A2311" s="11" t="str">
        <f t="shared" si="36"/>
        <v/>
      </c>
      <c r="B2311" s="6" t="s">
        <v>1859</v>
      </c>
      <c r="C2311" s="6" t="s">
        <v>1859</v>
      </c>
      <c r="D2311" s="6">
        <v>0</v>
      </c>
      <c r="E2311" s="1">
        <v>0</v>
      </c>
      <c r="F2311" s="7" t="str">
        <f>IF(A2311=IFERROR(VLOOKUP(A2311,CATALOGO!$B$2:$B$600,1,FALSE),"Falta"),"", "Falta")</f>
        <v>Falta</v>
      </c>
    </row>
    <row r="2312" spans="1:6" x14ac:dyDescent="0.25">
      <c r="A2312" s="11">
        <f t="shared" si="36"/>
        <v>7707003</v>
      </c>
      <c r="B2312" s="6">
        <v>7707003</v>
      </c>
      <c r="C2312" s="6" t="s">
        <v>2209</v>
      </c>
      <c r="D2312" s="6">
        <v>0</v>
      </c>
      <c r="E2312" s="1">
        <v>0</v>
      </c>
      <c r="F2312" s="7" t="str">
        <f>IF(A2312=IFERROR(VLOOKUP(A2312,CATALOGO!$B$2:$B$600,1,FALSE),"Falta"),"", "Falta")</f>
        <v>Falta</v>
      </c>
    </row>
    <row r="2313" spans="1:6" x14ac:dyDescent="0.25">
      <c r="A2313" s="11" t="str">
        <f t="shared" si="36"/>
        <v/>
      </c>
      <c r="B2313" s="6" t="s">
        <v>1859</v>
      </c>
      <c r="C2313" s="6" t="s">
        <v>1859</v>
      </c>
      <c r="D2313" s="6">
        <v>0</v>
      </c>
      <c r="E2313" s="1">
        <v>0</v>
      </c>
      <c r="F2313" s="7" t="str">
        <f>IF(A2313=IFERROR(VLOOKUP(A2313,CATALOGO!$B$2:$B$600,1,FALSE),"Falta"),"", "Falta")</f>
        <v>Falta</v>
      </c>
    </row>
    <row r="2314" spans="1:6" x14ac:dyDescent="0.25">
      <c r="A2314" s="11">
        <f t="shared" si="36"/>
        <v>7707004</v>
      </c>
      <c r="B2314" s="6">
        <v>7707004</v>
      </c>
      <c r="C2314" s="6" t="s">
        <v>2210</v>
      </c>
      <c r="D2314" s="6">
        <v>0</v>
      </c>
      <c r="E2314" s="1">
        <v>0</v>
      </c>
      <c r="F2314" s="7" t="str">
        <f>IF(A2314=IFERROR(VLOOKUP(A2314,CATALOGO!$B$2:$B$600,1,FALSE),"Falta"),"", "Falta")</f>
        <v>Falta</v>
      </c>
    </row>
    <row r="2315" spans="1:6" x14ac:dyDescent="0.25">
      <c r="A2315" s="11" t="str">
        <f t="shared" si="36"/>
        <v/>
      </c>
      <c r="B2315" s="6" t="s">
        <v>1859</v>
      </c>
      <c r="C2315" s="6" t="s">
        <v>1859</v>
      </c>
      <c r="D2315" s="6">
        <v>0</v>
      </c>
      <c r="E2315" s="1">
        <v>0</v>
      </c>
      <c r="F2315" s="7" t="str">
        <f>IF(A2315=IFERROR(VLOOKUP(A2315,CATALOGO!$B$2:$B$600,1,FALSE),"Falta"),"", "Falta")</f>
        <v>Falta</v>
      </c>
    </row>
    <row r="2316" spans="1:6" x14ac:dyDescent="0.25">
      <c r="A2316" s="11">
        <f t="shared" si="36"/>
        <v>7707005</v>
      </c>
      <c r="B2316" s="6">
        <v>7707005</v>
      </c>
      <c r="C2316" s="6" t="s">
        <v>2211</v>
      </c>
      <c r="D2316" s="6">
        <v>0</v>
      </c>
      <c r="E2316" s="1">
        <v>0</v>
      </c>
      <c r="F2316" s="7" t="str">
        <f>IF(A2316=IFERROR(VLOOKUP(A2316,CATALOGO!$B$2:$B$600,1,FALSE),"Falta"),"", "Falta")</f>
        <v>Falta</v>
      </c>
    </row>
    <row r="2317" spans="1:6" x14ac:dyDescent="0.25">
      <c r="A2317" s="11" t="str">
        <f t="shared" si="36"/>
        <v/>
      </c>
      <c r="B2317" s="6" t="s">
        <v>1859</v>
      </c>
      <c r="C2317" s="6" t="s">
        <v>1859</v>
      </c>
      <c r="D2317" s="6">
        <v>0</v>
      </c>
      <c r="E2317" s="1">
        <v>0</v>
      </c>
      <c r="F2317" s="7" t="str">
        <f>IF(A2317=IFERROR(VLOOKUP(A2317,CATALOGO!$B$2:$B$600,1,FALSE),"Falta"),"", "Falta")</f>
        <v>Falta</v>
      </c>
    </row>
    <row r="2318" spans="1:6" x14ac:dyDescent="0.25">
      <c r="A2318" s="11">
        <f t="shared" si="36"/>
        <v>7707006</v>
      </c>
      <c r="B2318" s="6">
        <v>7707006</v>
      </c>
      <c r="C2318" s="6" t="s">
        <v>2212</v>
      </c>
      <c r="D2318" s="6">
        <v>0</v>
      </c>
      <c r="E2318" s="1">
        <v>0</v>
      </c>
      <c r="F2318" s="7" t="str">
        <f>IF(A2318=IFERROR(VLOOKUP(A2318,CATALOGO!$B$2:$B$600,1,FALSE),"Falta"),"", "Falta")</f>
        <v>Falta</v>
      </c>
    </row>
    <row r="2319" spans="1:6" x14ac:dyDescent="0.25">
      <c r="A2319" s="11">
        <f t="shared" si="36"/>
        <v>7707007</v>
      </c>
      <c r="B2319" s="6">
        <v>7707007</v>
      </c>
      <c r="C2319" s="6" t="s">
        <v>948</v>
      </c>
      <c r="D2319" s="6">
        <v>99.86</v>
      </c>
      <c r="E2319" s="1">
        <v>0</v>
      </c>
      <c r="F2319" s="7" t="str">
        <f>IF(A2319=IFERROR(VLOOKUP(A2319,CATALOGO!$B$2:$B$600,1,FALSE),"Falta"),"", "Falta")</f>
        <v>Falta</v>
      </c>
    </row>
    <row r="2320" spans="1:6" x14ac:dyDescent="0.25">
      <c r="A2320" s="11">
        <f t="shared" si="36"/>
        <v>7707008</v>
      </c>
      <c r="B2320" s="6">
        <v>7707008</v>
      </c>
      <c r="C2320" s="6" t="s">
        <v>947</v>
      </c>
      <c r="D2320" s="6">
        <v>99.86</v>
      </c>
      <c r="E2320" s="1">
        <v>0</v>
      </c>
      <c r="F2320" s="7" t="str">
        <f>IF(A2320=IFERROR(VLOOKUP(A2320,CATALOGO!$B$2:$B$600,1,FALSE),"Falta"),"", "Falta")</f>
        <v>Falta</v>
      </c>
    </row>
    <row r="2321" spans="1:6" x14ac:dyDescent="0.25">
      <c r="A2321" s="11" t="str">
        <f t="shared" si="36"/>
        <v/>
      </c>
      <c r="B2321" s="6" t="s">
        <v>1859</v>
      </c>
      <c r="C2321" s="6" t="s">
        <v>1859</v>
      </c>
      <c r="D2321" s="6">
        <v>0</v>
      </c>
      <c r="E2321" s="1">
        <v>0</v>
      </c>
      <c r="F2321" s="7" t="str">
        <f>IF(A2321=IFERROR(VLOOKUP(A2321,CATALOGO!$B$2:$B$600,1,FALSE),"Falta"),"", "Falta")</f>
        <v>Falta</v>
      </c>
    </row>
    <row r="2322" spans="1:6" x14ac:dyDescent="0.25">
      <c r="A2322" s="11">
        <f t="shared" si="36"/>
        <v>7707009</v>
      </c>
      <c r="B2322" s="6">
        <v>7707009</v>
      </c>
      <c r="C2322" s="6" t="s">
        <v>2213</v>
      </c>
      <c r="D2322" s="6">
        <v>0</v>
      </c>
      <c r="E2322" s="1">
        <v>0</v>
      </c>
      <c r="F2322" s="7" t="str">
        <f>IF(A2322=IFERROR(VLOOKUP(A2322,CATALOGO!$B$2:$B$600,1,FALSE),"Falta"),"", "Falta")</f>
        <v>Falta</v>
      </c>
    </row>
    <row r="2323" spans="1:6" x14ac:dyDescent="0.25">
      <c r="A2323" s="11" t="str">
        <f t="shared" si="36"/>
        <v/>
      </c>
      <c r="B2323" s="6" t="s">
        <v>1859</v>
      </c>
      <c r="C2323" s="6" t="s">
        <v>1859</v>
      </c>
      <c r="D2323" s="6">
        <v>0</v>
      </c>
      <c r="E2323" s="1">
        <v>0</v>
      </c>
      <c r="F2323" s="7" t="str">
        <f>IF(A2323=IFERROR(VLOOKUP(A2323,CATALOGO!$B$2:$B$600,1,FALSE),"Falta"),"", "Falta")</f>
        <v>Falta</v>
      </c>
    </row>
    <row r="2324" spans="1:6" x14ac:dyDescent="0.25">
      <c r="A2324" s="11">
        <f t="shared" si="36"/>
        <v>7707010</v>
      </c>
      <c r="B2324" s="6">
        <v>7707010</v>
      </c>
      <c r="C2324" s="6" t="s">
        <v>2214</v>
      </c>
      <c r="D2324" s="6">
        <v>0</v>
      </c>
      <c r="E2324" s="1">
        <v>0</v>
      </c>
      <c r="F2324" s="7" t="str">
        <f>IF(A2324=IFERROR(VLOOKUP(A2324,CATALOGO!$B$2:$B$600,1,FALSE),"Falta"),"", "Falta")</f>
        <v>Falta</v>
      </c>
    </row>
    <row r="2325" spans="1:6" x14ac:dyDescent="0.25">
      <c r="A2325" s="11">
        <f t="shared" si="36"/>
        <v>7707011</v>
      </c>
      <c r="B2325" s="6">
        <v>7707011</v>
      </c>
      <c r="C2325" s="6" t="s">
        <v>907</v>
      </c>
      <c r="D2325" s="6">
        <v>1200</v>
      </c>
      <c r="E2325" s="1">
        <v>4</v>
      </c>
      <c r="F2325" s="7" t="str">
        <f>IF(A2325=IFERROR(VLOOKUP(A2325,CATALOGO!$B$2:$B$600,1,FALSE),"Falta"),"", "Falta")</f>
        <v/>
      </c>
    </row>
    <row r="2326" spans="1:6" x14ac:dyDescent="0.25">
      <c r="A2326" s="11">
        <f t="shared" si="36"/>
        <v>7707012</v>
      </c>
      <c r="B2326" s="6">
        <v>7707012</v>
      </c>
      <c r="C2326" s="6" t="s">
        <v>1552</v>
      </c>
      <c r="D2326" s="6">
        <v>24.49</v>
      </c>
      <c r="E2326" s="1">
        <v>0</v>
      </c>
      <c r="F2326" s="7" t="str">
        <f>IF(A2326=IFERROR(VLOOKUP(A2326,CATALOGO!$B$2:$B$600,1,FALSE),"Falta"),"", "Falta")</f>
        <v>Falta</v>
      </c>
    </row>
    <row r="2327" spans="1:6" x14ac:dyDescent="0.25">
      <c r="A2327" s="11">
        <f t="shared" si="36"/>
        <v>7707013</v>
      </c>
      <c r="B2327" s="6">
        <v>7707013</v>
      </c>
      <c r="C2327" s="6" t="s">
        <v>1553</v>
      </c>
      <c r="D2327" s="6">
        <v>198.97</v>
      </c>
      <c r="E2327" s="1">
        <v>59</v>
      </c>
      <c r="F2327" s="7" t="str">
        <f>IF(A2327=IFERROR(VLOOKUP(A2327,CATALOGO!$B$2:$B$600,1,FALSE),"Falta"),"", "Falta")</f>
        <v/>
      </c>
    </row>
    <row r="2328" spans="1:6" x14ac:dyDescent="0.25">
      <c r="A2328" s="11" t="str">
        <f t="shared" si="36"/>
        <v/>
      </c>
      <c r="B2328" s="6" t="s">
        <v>1859</v>
      </c>
      <c r="C2328" s="6" t="s">
        <v>1859</v>
      </c>
      <c r="D2328" s="6">
        <v>0</v>
      </c>
      <c r="E2328" s="1">
        <v>0</v>
      </c>
      <c r="F2328" s="7" t="str">
        <f>IF(A2328=IFERROR(VLOOKUP(A2328,CATALOGO!$B$2:$B$600,1,FALSE),"Falta"),"", "Falta")</f>
        <v>Falta</v>
      </c>
    </row>
    <row r="2329" spans="1:6" x14ac:dyDescent="0.25">
      <c r="A2329" s="11">
        <f t="shared" si="36"/>
        <v>7707014</v>
      </c>
      <c r="B2329" s="6">
        <v>7707014</v>
      </c>
      <c r="C2329" s="6" t="s">
        <v>2215</v>
      </c>
      <c r="D2329" s="6">
        <v>0</v>
      </c>
      <c r="E2329" s="1">
        <v>0</v>
      </c>
      <c r="F2329" s="7" t="str">
        <f>IF(A2329=IFERROR(VLOOKUP(A2329,CATALOGO!$B$2:$B$600,1,FALSE),"Falta"),"", "Falta")</f>
        <v>Falta</v>
      </c>
    </row>
    <row r="2330" spans="1:6" x14ac:dyDescent="0.25">
      <c r="A2330" s="11" t="str">
        <f t="shared" si="36"/>
        <v/>
      </c>
      <c r="B2330" s="6" t="s">
        <v>1859</v>
      </c>
      <c r="C2330" s="6" t="s">
        <v>1859</v>
      </c>
      <c r="D2330" s="6">
        <v>0</v>
      </c>
      <c r="E2330" s="1">
        <v>0</v>
      </c>
      <c r="F2330" s="7" t="str">
        <f>IF(A2330=IFERROR(VLOOKUP(A2330,CATALOGO!$B$2:$B$600,1,FALSE),"Falta"),"", "Falta")</f>
        <v>Falta</v>
      </c>
    </row>
    <row r="2331" spans="1:6" x14ac:dyDescent="0.25">
      <c r="A2331" s="11">
        <f t="shared" si="36"/>
        <v>7707015</v>
      </c>
      <c r="B2331" s="6">
        <v>7707015</v>
      </c>
      <c r="C2331" s="6" t="s">
        <v>2216</v>
      </c>
      <c r="D2331" s="6">
        <v>0</v>
      </c>
      <c r="E2331" s="1">
        <v>0</v>
      </c>
      <c r="F2331" s="7" t="str">
        <f>IF(A2331=IFERROR(VLOOKUP(A2331,CATALOGO!$B$2:$B$600,1,FALSE),"Falta"),"", "Falta")</f>
        <v>Falta</v>
      </c>
    </row>
    <row r="2332" spans="1:6" x14ac:dyDescent="0.25">
      <c r="A2332" s="11" t="str">
        <f t="shared" si="36"/>
        <v/>
      </c>
      <c r="B2332" s="6" t="s">
        <v>1859</v>
      </c>
      <c r="C2332" s="6" t="s">
        <v>1859</v>
      </c>
      <c r="D2332" s="6">
        <v>0</v>
      </c>
      <c r="E2332" s="1">
        <v>0</v>
      </c>
      <c r="F2332" s="7" t="str">
        <f>IF(A2332=IFERROR(VLOOKUP(A2332,CATALOGO!$B$2:$B$600,1,FALSE),"Falta"),"", "Falta")</f>
        <v>Falta</v>
      </c>
    </row>
    <row r="2333" spans="1:6" x14ac:dyDescent="0.25">
      <c r="A2333" s="11">
        <f t="shared" si="36"/>
        <v>7707016</v>
      </c>
      <c r="B2333" s="6">
        <v>7707016</v>
      </c>
      <c r="C2333" s="6" t="s">
        <v>2217</v>
      </c>
      <c r="D2333" s="6">
        <v>0</v>
      </c>
      <c r="E2333" s="1">
        <v>0</v>
      </c>
      <c r="F2333" s="7" t="str">
        <f>IF(A2333=IFERROR(VLOOKUP(A2333,CATALOGO!$B$2:$B$600,1,FALSE),"Falta"),"", "Falta")</f>
        <v>Falta</v>
      </c>
    </row>
    <row r="2334" spans="1:6" x14ac:dyDescent="0.25">
      <c r="A2334" s="11">
        <f t="shared" si="36"/>
        <v>7707017</v>
      </c>
      <c r="B2334" s="6">
        <v>7707017</v>
      </c>
      <c r="C2334" s="6" t="s">
        <v>1554</v>
      </c>
      <c r="D2334" s="6">
        <v>107.13</v>
      </c>
      <c r="E2334" s="1">
        <v>7</v>
      </c>
      <c r="F2334" s="7" t="str">
        <f>IF(A2334=IFERROR(VLOOKUP(A2334,CATALOGO!$B$2:$B$600,1,FALSE),"Falta"),"", "Falta")</f>
        <v>Falta</v>
      </c>
    </row>
    <row r="2335" spans="1:6" x14ac:dyDescent="0.25">
      <c r="A2335" s="11" t="str">
        <f t="shared" si="36"/>
        <v/>
      </c>
      <c r="B2335" s="6" t="s">
        <v>1859</v>
      </c>
      <c r="C2335" s="6" t="s">
        <v>1859</v>
      </c>
      <c r="D2335" s="6">
        <v>0</v>
      </c>
      <c r="E2335" s="1">
        <v>0</v>
      </c>
      <c r="F2335" s="7" t="str">
        <f>IF(A2335=IFERROR(VLOOKUP(A2335,CATALOGO!$B$2:$B$600,1,FALSE),"Falta"),"", "Falta")</f>
        <v>Falta</v>
      </c>
    </row>
    <row r="2336" spans="1:6" x14ac:dyDescent="0.25">
      <c r="A2336" s="11">
        <f t="shared" si="36"/>
        <v>7707018</v>
      </c>
      <c r="B2336" s="6">
        <v>7707018</v>
      </c>
      <c r="C2336" s="6" t="s">
        <v>2218</v>
      </c>
      <c r="D2336" s="6">
        <v>0</v>
      </c>
      <c r="E2336" s="1">
        <v>0</v>
      </c>
      <c r="F2336" s="7" t="str">
        <f>IF(A2336=IFERROR(VLOOKUP(A2336,CATALOGO!$B$2:$B$600,1,FALSE),"Falta"),"", "Falta")</f>
        <v>Falta</v>
      </c>
    </row>
    <row r="2337" spans="1:6" x14ac:dyDescent="0.25">
      <c r="A2337" s="11" t="str">
        <f t="shared" si="36"/>
        <v/>
      </c>
      <c r="B2337" s="6" t="s">
        <v>1859</v>
      </c>
      <c r="C2337" s="6" t="s">
        <v>1859</v>
      </c>
      <c r="D2337" s="6">
        <v>0</v>
      </c>
      <c r="E2337" s="1">
        <v>0</v>
      </c>
      <c r="F2337" s="7" t="str">
        <f>IF(A2337=IFERROR(VLOOKUP(A2337,CATALOGO!$B$2:$B$600,1,FALSE),"Falta"),"", "Falta")</f>
        <v>Falta</v>
      </c>
    </row>
    <row r="2338" spans="1:6" x14ac:dyDescent="0.25">
      <c r="A2338" s="11">
        <f t="shared" si="36"/>
        <v>7707019</v>
      </c>
      <c r="B2338" s="6">
        <v>7707019</v>
      </c>
      <c r="C2338" s="6" t="s">
        <v>2219</v>
      </c>
      <c r="D2338" s="6">
        <v>0</v>
      </c>
      <c r="E2338" s="1">
        <v>0</v>
      </c>
      <c r="F2338" s="7" t="str">
        <f>IF(A2338=IFERROR(VLOOKUP(A2338,CATALOGO!$B$2:$B$600,1,FALSE),"Falta"),"", "Falta")</f>
        <v>Falta</v>
      </c>
    </row>
    <row r="2339" spans="1:6" x14ac:dyDescent="0.25">
      <c r="A2339" s="11" t="str">
        <f t="shared" si="36"/>
        <v/>
      </c>
      <c r="B2339" s="6" t="s">
        <v>1859</v>
      </c>
      <c r="C2339" s="6" t="s">
        <v>1859</v>
      </c>
      <c r="D2339" s="6">
        <v>0</v>
      </c>
      <c r="E2339" s="1">
        <v>0</v>
      </c>
      <c r="F2339" s="7" t="str">
        <f>IF(A2339=IFERROR(VLOOKUP(A2339,CATALOGO!$B$2:$B$600,1,FALSE),"Falta"),"", "Falta")</f>
        <v>Falta</v>
      </c>
    </row>
    <row r="2340" spans="1:6" x14ac:dyDescent="0.25">
      <c r="A2340" s="11">
        <f t="shared" si="36"/>
        <v>7707020</v>
      </c>
      <c r="B2340" s="6">
        <v>7707020</v>
      </c>
      <c r="C2340" s="6" t="s">
        <v>2220</v>
      </c>
      <c r="D2340" s="6">
        <v>0</v>
      </c>
      <c r="E2340" s="1">
        <v>0</v>
      </c>
      <c r="F2340" s="7" t="str">
        <f>IF(A2340=IFERROR(VLOOKUP(A2340,CATALOGO!$B$2:$B$600,1,FALSE),"Falta"),"", "Falta")</f>
        <v>Falta</v>
      </c>
    </row>
    <row r="2341" spans="1:6" x14ac:dyDescent="0.25">
      <c r="A2341" s="11">
        <f t="shared" si="36"/>
        <v>7707021</v>
      </c>
      <c r="B2341" s="6">
        <v>7707021</v>
      </c>
      <c r="C2341" s="6" t="s">
        <v>2221</v>
      </c>
      <c r="D2341" s="6">
        <v>0</v>
      </c>
      <c r="E2341" s="1">
        <v>1</v>
      </c>
      <c r="F2341" s="7" t="str">
        <f>IF(A2341=IFERROR(VLOOKUP(A2341,CATALOGO!$B$2:$B$600,1,FALSE),"Falta"),"", "Falta")</f>
        <v>Falta</v>
      </c>
    </row>
    <row r="2342" spans="1:6" x14ac:dyDescent="0.25">
      <c r="A2342" s="11">
        <f t="shared" si="36"/>
        <v>7707025</v>
      </c>
      <c r="B2342" s="6">
        <v>7707025</v>
      </c>
      <c r="C2342" s="6" t="s">
        <v>2222</v>
      </c>
      <c r="D2342" s="6">
        <v>65.67</v>
      </c>
      <c r="E2342" s="1">
        <v>0</v>
      </c>
      <c r="F2342" s="7" t="str">
        <f>IF(A2342=IFERROR(VLOOKUP(A2342,CATALOGO!$B$2:$B$600,1,FALSE),"Falta"),"", "Falta")</f>
        <v>Falta</v>
      </c>
    </row>
    <row r="2343" spans="1:6" x14ac:dyDescent="0.25">
      <c r="A2343" s="11">
        <f t="shared" si="36"/>
        <v>7707051</v>
      </c>
      <c r="B2343" s="6">
        <v>7707051</v>
      </c>
      <c r="C2343" s="6" t="s">
        <v>1382</v>
      </c>
      <c r="D2343" s="6">
        <v>240.79</v>
      </c>
      <c r="E2343" s="1">
        <v>0</v>
      </c>
      <c r="F2343" s="7" t="str">
        <f>IF(A2343=IFERROR(VLOOKUP(A2343,CATALOGO!$B$2:$B$600,1,FALSE),"Falta"),"", "Falta")</f>
        <v>Falta</v>
      </c>
    </row>
    <row r="2344" spans="1:6" x14ac:dyDescent="0.25">
      <c r="A2344" s="11" t="str">
        <f t="shared" si="36"/>
        <v/>
      </c>
      <c r="B2344" s="6" t="s">
        <v>1859</v>
      </c>
      <c r="C2344" s="6" t="s">
        <v>1859</v>
      </c>
      <c r="D2344" s="6">
        <v>0</v>
      </c>
      <c r="E2344" s="1">
        <v>0</v>
      </c>
      <c r="F2344" s="7" t="str">
        <f>IF(A2344=IFERROR(VLOOKUP(A2344,CATALOGO!$B$2:$B$600,1,FALSE),"Falta"),"", "Falta")</f>
        <v>Falta</v>
      </c>
    </row>
    <row r="2345" spans="1:6" x14ac:dyDescent="0.25">
      <c r="A2345" s="11">
        <f t="shared" si="36"/>
        <v>7707060</v>
      </c>
      <c r="B2345" s="6">
        <v>7707060</v>
      </c>
      <c r="C2345" s="6" t="s">
        <v>2223</v>
      </c>
      <c r="D2345" s="6">
        <v>0</v>
      </c>
      <c r="E2345" s="1">
        <v>0</v>
      </c>
      <c r="F2345" s="7" t="str">
        <f>IF(A2345=IFERROR(VLOOKUP(A2345,CATALOGO!$B$2:$B$600,1,FALSE),"Falta"),"", "Falta")</f>
        <v>Falta</v>
      </c>
    </row>
    <row r="2346" spans="1:6" x14ac:dyDescent="0.25">
      <c r="A2346" s="11">
        <f t="shared" si="36"/>
        <v>7707061</v>
      </c>
      <c r="B2346" s="6">
        <v>7707061</v>
      </c>
      <c r="C2346" s="6" t="s">
        <v>2224</v>
      </c>
      <c r="D2346" s="6">
        <v>0</v>
      </c>
      <c r="E2346" s="1">
        <v>0</v>
      </c>
      <c r="F2346" s="7" t="str">
        <f>IF(A2346=IFERROR(VLOOKUP(A2346,CATALOGO!$B$2:$B$600,1,FALSE),"Falta"),"", "Falta")</f>
        <v>Falta</v>
      </c>
    </row>
    <row r="2347" spans="1:6" x14ac:dyDescent="0.25">
      <c r="A2347" s="11">
        <f t="shared" si="36"/>
        <v>7707070</v>
      </c>
      <c r="B2347" s="6">
        <v>7707070</v>
      </c>
      <c r="C2347" s="6" t="s">
        <v>950</v>
      </c>
      <c r="D2347" s="6">
        <v>134.68</v>
      </c>
      <c r="E2347" s="1">
        <v>0</v>
      </c>
      <c r="F2347" s="7" t="str">
        <f>IF(A2347=IFERROR(VLOOKUP(A2347,CATALOGO!$B$2:$B$600,1,FALSE),"Falta"),"", "Falta")</f>
        <v>Falta</v>
      </c>
    </row>
    <row r="2348" spans="1:6" x14ac:dyDescent="0.25">
      <c r="A2348" s="11" t="str">
        <f t="shared" si="36"/>
        <v/>
      </c>
      <c r="B2348" s="6" t="s">
        <v>1859</v>
      </c>
      <c r="C2348" s="6" t="s">
        <v>1859</v>
      </c>
      <c r="D2348" s="6">
        <v>0</v>
      </c>
      <c r="E2348" s="1">
        <v>0</v>
      </c>
      <c r="F2348" s="7" t="str">
        <f>IF(A2348=IFERROR(VLOOKUP(A2348,CATALOGO!$B$2:$B$600,1,FALSE),"Falta"),"", "Falta")</f>
        <v>Falta</v>
      </c>
    </row>
    <row r="2349" spans="1:6" x14ac:dyDescent="0.25">
      <c r="A2349" s="11">
        <f t="shared" si="36"/>
        <v>7707071</v>
      </c>
      <c r="B2349" s="6">
        <v>7707071</v>
      </c>
      <c r="C2349" s="6" t="s">
        <v>2225</v>
      </c>
      <c r="D2349" s="6">
        <v>0</v>
      </c>
      <c r="E2349" s="1">
        <v>0</v>
      </c>
      <c r="F2349" s="7" t="str">
        <f>IF(A2349=IFERROR(VLOOKUP(A2349,CATALOGO!$B$2:$B$600,1,FALSE),"Falta"),"", "Falta")</f>
        <v>Falta</v>
      </c>
    </row>
    <row r="2350" spans="1:6" x14ac:dyDescent="0.25">
      <c r="A2350" s="11" t="str">
        <f t="shared" si="36"/>
        <v/>
      </c>
      <c r="B2350" s="6" t="s">
        <v>1859</v>
      </c>
      <c r="C2350" s="6" t="s">
        <v>1859</v>
      </c>
      <c r="D2350" s="6">
        <v>0</v>
      </c>
      <c r="E2350" s="1">
        <v>0</v>
      </c>
      <c r="F2350" s="7" t="str">
        <f>IF(A2350=IFERROR(VLOOKUP(A2350,CATALOGO!$B$2:$B$600,1,FALSE),"Falta"),"", "Falta")</f>
        <v>Falta</v>
      </c>
    </row>
    <row r="2351" spans="1:6" x14ac:dyDescent="0.25">
      <c r="A2351" s="11">
        <f t="shared" si="36"/>
        <v>7707074</v>
      </c>
      <c r="B2351" s="6">
        <v>7707074</v>
      </c>
      <c r="C2351" s="6" t="s">
        <v>2226</v>
      </c>
      <c r="D2351" s="6">
        <v>0</v>
      </c>
      <c r="E2351" s="1">
        <v>0</v>
      </c>
      <c r="F2351" s="7" t="str">
        <f>IF(A2351=IFERROR(VLOOKUP(A2351,CATALOGO!$B$2:$B$600,1,FALSE),"Falta"),"", "Falta")</f>
        <v>Falta</v>
      </c>
    </row>
    <row r="2352" spans="1:6" x14ac:dyDescent="0.25">
      <c r="A2352" s="11" t="str">
        <f t="shared" si="36"/>
        <v/>
      </c>
      <c r="B2352" s="6" t="s">
        <v>1859</v>
      </c>
      <c r="C2352" s="6" t="s">
        <v>1859</v>
      </c>
      <c r="D2352" s="6">
        <v>0</v>
      </c>
      <c r="E2352" s="1">
        <v>0</v>
      </c>
      <c r="F2352" s="7" t="str">
        <f>IF(A2352=IFERROR(VLOOKUP(A2352,CATALOGO!$B$2:$B$600,1,FALSE),"Falta"),"", "Falta")</f>
        <v>Falta</v>
      </c>
    </row>
    <row r="2353" spans="1:6" x14ac:dyDescent="0.25">
      <c r="A2353" s="11">
        <f t="shared" si="36"/>
        <v>7707079</v>
      </c>
      <c r="B2353" s="6">
        <v>7707079</v>
      </c>
      <c r="C2353" s="6" t="s">
        <v>2227</v>
      </c>
      <c r="D2353" s="6">
        <v>0</v>
      </c>
      <c r="E2353" s="1">
        <v>0</v>
      </c>
      <c r="F2353" s="7" t="str">
        <f>IF(A2353=IFERROR(VLOOKUP(A2353,CATALOGO!$B$2:$B$600,1,FALSE),"Falta"),"", "Falta")</f>
        <v>Falta</v>
      </c>
    </row>
    <row r="2354" spans="1:6" x14ac:dyDescent="0.25">
      <c r="A2354" s="11">
        <f t="shared" si="36"/>
        <v>7707081</v>
      </c>
      <c r="B2354" s="6">
        <v>7707081</v>
      </c>
      <c r="C2354" s="6" t="s">
        <v>2228</v>
      </c>
      <c r="D2354" s="6">
        <v>0</v>
      </c>
      <c r="E2354" s="1">
        <v>0</v>
      </c>
      <c r="F2354" s="7" t="str">
        <f>IF(A2354=IFERROR(VLOOKUP(A2354,CATALOGO!$B$2:$B$600,1,FALSE),"Falta"),"", "Falta")</f>
        <v>Falta</v>
      </c>
    </row>
    <row r="2355" spans="1:6" x14ac:dyDescent="0.25">
      <c r="A2355" s="11">
        <f t="shared" si="36"/>
        <v>7707100</v>
      </c>
      <c r="B2355" s="6">
        <v>7707100</v>
      </c>
      <c r="C2355" s="6" t="s">
        <v>926</v>
      </c>
      <c r="D2355" s="6">
        <v>137.74</v>
      </c>
      <c r="E2355" s="1">
        <v>27</v>
      </c>
      <c r="F2355" s="7" t="str">
        <f>IF(A2355=IFERROR(VLOOKUP(A2355,CATALOGO!$B$2:$B$600,1,FALSE),"Falta"),"", "Falta")</f>
        <v/>
      </c>
    </row>
    <row r="2356" spans="1:6" x14ac:dyDescent="0.25">
      <c r="A2356" s="11">
        <f t="shared" si="36"/>
        <v>7707105</v>
      </c>
      <c r="B2356" s="6">
        <v>7707105</v>
      </c>
      <c r="C2356" s="6" t="s">
        <v>596</v>
      </c>
      <c r="D2356" s="6">
        <v>2299.9899999999998</v>
      </c>
      <c r="E2356" s="1">
        <v>1</v>
      </c>
      <c r="F2356" s="7" t="str">
        <f>IF(A2356=IFERROR(VLOOKUP(A2356,CATALOGO!$B$2:$B$600,1,FALSE),"Falta"),"", "Falta")</f>
        <v>Falta</v>
      </c>
    </row>
    <row r="2357" spans="1:6" x14ac:dyDescent="0.25">
      <c r="A2357" s="11" t="str">
        <f t="shared" si="36"/>
        <v/>
      </c>
      <c r="B2357" s="6" t="s">
        <v>1859</v>
      </c>
      <c r="C2357" s="6" t="s">
        <v>1859</v>
      </c>
      <c r="D2357" s="6">
        <v>0</v>
      </c>
      <c r="E2357" s="1">
        <v>0</v>
      </c>
      <c r="F2357" s="7" t="str">
        <f>IF(A2357=IFERROR(VLOOKUP(A2357,CATALOGO!$B$2:$B$600,1,FALSE),"Falta"),"", "Falta")</f>
        <v>Falta</v>
      </c>
    </row>
    <row r="2358" spans="1:6" x14ac:dyDescent="0.25">
      <c r="A2358" s="11">
        <f t="shared" si="36"/>
        <v>7707110</v>
      </c>
      <c r="B2358" s="6">
        <v>7707110</v>
      </c>
      <c r="C2358" s="6" t="s">
        <v>2229</v>
      </c>
      <c r="D2358" s="6">
        <v>0</v>
      </c>
      <c r="E2358" s="1">
        <v>0</v>
      </c>
      <c r="F2358" s="7" t="str">
        <f>IF(A2358=IFERROR(VLOOKUP(A2358,CATALOGO!$B$2:$B$600,1,FALSE),"Falta"),"", "Falta")</f>
        <v>Falta</v>
      </c>
    </row>
    <row r="2359" spans="1:6" x14ac:dyDescent="0.25">
      <c r="A2359" s="11">
        <f t="shared" si="36"/>
        <v>7707115</v>
      </c>
      <c r="B2359" s="6">
        <v>7707115</v>
      </c>
      <c r="C2359" s="6" t="s">
        <v>937</v>
      </c>
      <c r="D2359" s="6">
        <v>168.36</v>
      </c>
      <c r="E2359" s="1">
        <v>24</v>
      </c>
      <c r="F2359" s="7" t="str">
        <f>IF(A2359=IFERROR(VLOOKUP(A2359,CATALOGO!$B$2:$B$600,1,FALSE),"Falta"),"", "Falta")</f>
        <v/>
      </c>
    </row>
    <row r="2360" spans="1:6" x14ac:dyDescent="0.25">
      <c r="A2360" s="11" t="str">
        <f t="shared" si="36"/>
        <v/>
      </c>
      <c r="B2360" s="6" t="s">
        <v>1859</v>
      </c>
      <c r="C2360" s="6" t="s">
        <v>1859</v>
      </c>
      <c r="D2360" s="6">
        <v>0</v>
      </c>
      <c r="E2360" s="1">
        <v>0</v>
      </c>
      <c r="F2360" s="7" t="str">
        <f>IF(A2360=IFERROR(VLOOKUP(A2360,CATALOGO!$B$2:$B$600,1,FALSE),"Falta"),"", "Falta")</f>
        <v>Falta</v>
      </c>
    </row>
    <row r="2361" spans="1:6" x14ac:dyDescent="0.25">
      <c r="A2361" s="11">
        <f t="shared" si="36"/>
        <v>7707116</v>
      </c>
      <c r="B2361" s="6">
        <v>7707116</v>
      </c>
      <c r="C2361" s="6" t="s">
        <v>2230</v>
      </c>
      <c r="D2361" s="6">
        <v>0</v>
      </c>
      <c r="E2361" s="1">
        <v>0</v>
      </c>
      <c r="F2361" s="7" t="str">
        <f>IF(A2361=IFERROR(VLOOKUP(A2361,CATALOGO!$B$2:$B$600,1,FALSE),"Falta"),"", "Falta")</f>
        <v>Falta</v>
      </c>
    </row>
    <row r="2362" spans="1:6" x14ac:dyDescent="0.25">
      <c r="A2362" s="11">
        <f t="shared" si="36"/>
        <v>7707120</v>
      </c>
      <c r="B2362" s="6">
        <v>7707120</v>
      </c>
      <c r="C2362" s="6" t="s">
        <v>922</v>
      </c>
      <c r="D2362" s="6">
        <v>303.07</v>
      </c>
      <c r="E2362" s="1">
        <v>0</v>
      </c>
      <c r="F2362" s="7" t="str">
        <f>IF(A2362=IFERROR(VLOOKUP(A2362,CATALOGO!$B$2:$B$600,1,FALSE),"Falta"),"", "Falta")</f>
        <v/>
      </c>
    </row>
    <row r="2363" spans="1:6" x14ac:dyDescent="0.25">
      <c r="A2363" s="11">
        <f t="shared" si="36"/>
        <v>7707122</v>
      </c>
      <c r="B2363" s="6">
        <v>7707122</v>
      </c>
      <c r="C2363" s="6" t="s">
        <v>921</v>
      </c>
      <c r="D2363" s="6">
        <v>120.99</v>
      </c>
      <c r="E2363" s="1">
        <v>0</v>
      </c>
      <c r="F2363" s="7" t="str">
        <f>IF(A2363=IFERROR(VLOOKUP(A2363,CATALOGO!$B$2:$B$600,1,FALSE),"Falta"),"", "Falta")</f>
        <v>Falta</v>
      </c>
    </row>
    <row r="2364" spans="1:6" x14ac:dyDescent="0.25">
      <c r="A2364" s="11">
        <f t="shared" si="36"/>
        <v>7707136</v>
      </c>
      <c r="B2364" s="6">
        <v>7707136</v>
      </c>
      <c r="C2364" s="6" t="s">
        <v>1555</v>
      </c>
      <c r="D2364" s="6">
        <v>229.58</v>
      </c>
      <c r="E2364" s="1">
        <v>0</v>
      </c>
      <c r="F2364" s="7" t="str">
        <f>IF(A2364=IFERROR(VLOOKUP(A2364,CATALOGO!$B$2:$B$600,1,FALSE),"Falta"),"", "Falta")</f>
        <v/>
      </c>
    </row>
    <row r="2365" spans="1:6" x14ac:dyDescent="0.25">
      <c r="A2365" s="11">
        <f t="shared" si="36"/>
        <v>7707139</v>
      </c>
      <c r="B2365" s="6">
        <v>7707139</v>
      </c>
      <c r="C2365" s="6" t="s">
        <v>914</v>
      </c>
      <c r="D2365" s="6">
        <v>531.07000000000005</v>
      </c>
      <c r="E2365" s="1">
        <v>2</v>
      </c>
      <c r="F2365" s="7" t="str">
        <f>IF(A2365=IFERROR(VLOOKUP(A2365,CATALOGO!$B$2:$B$600,1,FALSE),"Falta"),"", "Falta")</f>
        <v>Falta</v>
      </c>
    </row>
    <row r="2366" spans="1:6" x14ac:dyDescent="0.25">
      <c r="A2366" s="11">
        <f t="shared" si="36"/>
        <v>7707154</v>
      </c>
      <c r="B2366" s="6">
        <v>7707154</v>
      </c>
      <c r="C2366" s="6" t="s">
        <v>934</v>
      </c>
      <c r="D2366" s="6">
        <v>96.8</v>
      </c>
      <c r="E2366" s="1">
        <v>49</v>
      </c>
      <c r="F2366" s="7" t="str">
        <f>IF(A2366=IFERROR(VLOOKUP(A2366,CATALOGO!$B$2:$B$600,1,FALSE),"Falta"),"", "Falta")</f>
        <v/>
      </c>
    </row>
    <row r="2367" spans="1:6" x14ac:dyDescent="0.25">
      <c r="A2367" s="11">
        <f t="shared" si="36"/>
        <v>7707159</v>
      </c>
      <c r="B2367" s="6">
        <v>7707159</v>
      </c>
      <c r="C2367" s="6" t="s">
        <v>14</v>
      </c>
      <c r="D2367" s="6">
        <v>228.07</v>
      </c>
      <c r="E2367" s="1">
        <v>148</v>
      </c>
      <c r="F2367" s="7" t="str">
        <f>IF(A2367=IFERROR(VLOOKUP(A2367,CATALOGO!$B$2:$B$600,1,FALSE),"Falta"),"", "Falta")</f>
        <v/>
      </c>
    </row>
    <row r="2368" spans="1:6" x14ac:dyDescent="0.25">
      <c r="A2368" s="11">
        <f t="shared" si="36"/>
        <v>7707160</v>
      </c>
      <c r="B2368" s="6">
        <v>7707160</v>
      </c>
      <c r="C2368" s="6" t="s">
        <v>930</v>
      </c>
      <c r="D2368" s="6">
        <v>362.01</v>
      </c>
      <c r="E2368" s="1">
        <v>29</v>
      </c>
      <c r="F2368" s="7" t="str">
        <f>IF(A2368=IFERROR(VLOOKUP(A2368,CATALOGO!$B$2:$B$600,1,FALSE),"Falta"),"", "Falta")</f>
        <v>Falta</v>
      </c>
    </row>
    <row r="2369" spans="1:6" x14ac:dyDescent="0.25">
      <c r="A2369" s="11">
        <f t="shared" si="36"/>
        <v>7707161</v>
      </c>
      <c r="B2369" s="6">
        <v>7707161</v>
      </c>
      <c r="C2369" s="6" t="s">
        <v>931</v>
      </c>
      <c r="D2369" s="6">
        <v>450</v>
      </c>
      <c r="E2369" s="1">
        <v>0</v>
      </c>
      <c r="F2369" s="7" t="str">
        <f>IF(A2369=IFERROR(VLOOKUP(A2369,CATALOGO!$B$2:$B$600,1,FALSE),"Falta"),"", "Falta")</f>
        <v/>
      </c>
    </row>
    <row r="2370" spans="1:6" x14ac:dyDescent="0.25">
      <c r="A2370" s="11">
        <f t="shared" si="36"/>
        <v>7707170</v>
      </c>
      <c r="B2370" s="6">
        <v>7707170</v>
      </c>
      <c r="C2370" s="6" t="s">
        <v>1556</v>
      </c>
      <c r="D2370" s="6">
        <v>189.77</v>
      </c>
      <c r="E2370" s="1">
        <v>1</v>
      </c>
      <c r="F2370" s="7" t="str">
        <f>IF(A2370=IFERROR(VLOOKUP(A2370,CATALOGO!$B$2:$B$600,1,FALSE),"Falta"),"", "Falta")</f>
        <v>Falta</v>
      </c>
    </row>
    <row r="2371" spans="1:6" x14ac:dyDescent="0.25">
      <c r="A2371" s="11">
        <f t="shared" si="36"/>
        <v>7707200</v>
      </c>
      <c r="B2371" s="6">
        <v>7707200</v>
      </c>
      <c r="C2371" s="6" t="s">
        <v>902</v>
      </c>
      <c r="D2371" s="6">
        <v>367.36</v>
      </c>
      <c r="E2371" s="1">
        <v>0</v>
      </c>
      <c r="F2371" s="7" t="str">
        <f>IF(A2371=IFERROR(VLOOKUP(A2371,CATALOGO!$B$2:$B$600,1,FALSE),"Falta"),"", "Falta")</f>
        <v>Falta</v>
      </c>
    </row>
    <row r="2372" spans="1:6" x14ac:dyDescent="0.25">
      <c r="A2372" s="11">
        <f t="shared" si="36"/>
        <v>7707220</v>
      </c>
      <c r="B2372" s="6">
        <v>7707220</v>
      </c>
      <c r="C2372" s="6" t="s">
        <v>887</v>
      </c>
      <c r="D2372" s="6">
        <v>289.99</v>
      </c>
      <c r="E2372" s="1">
        <v>0</v>
      </c>
      <c r="F2372" s="7" t="str">
        <f>IF(A2372=IFERROR(VLOOKUP(A2372,CATALOGO!$B$2:$B$600,1,FALSE),"Falta"),"", "Falta")</f>
        <v>Falta</v>
      </c>
    </row>
    <row r="2373" spans="1:6" x14ac:dyDescent="0.25">
      <c r="A2373" s="11" t="str">
        <f t="shared" si="36"/>
        <v/>
      </c>
      <c r="B2373" s="6" t="s">
        <v>1859</v>
      </c>
      <c r="C2373" s="6" t="s">
        <v>1859</v>
      </c>
      <c r="D2373" s="6">
        <v>0</v>
      </c>
      <c r="E2373" s="1">
        <v>0</v>
      </c>
      <c r="F2373" s="7" t="str">
        <f>IF(A2373=IFERROR(VLOOKUP(A2373,CATALOGO!$B$2:$B$600,1,FALSE),"Falta"),"", "Falta")</f>
        <v>Falta</v>
      </c>
    </row>
    <row r="2374" spans="1:6" x14ac:dyDescent="0.25">
      <c r="A2374" s="11">
        <f t="shared" ref="A2374:A2437" si="37">IFERROR(B2374*1,"")</f>
        <v>7707222</v>
      </c>
      <c r="B2374" s="6">
        <v>7707222</v>
      </c>
      <c r="C2374" s="6" t="s">
        <v>2231</v>
      </c>
      <c r="D2374" s="6">
        <v>0</v>
      </c>
      <c r="E2374" s="1">
        <v>0</v>
      </c>
      <c r="F2374" s="7" t="str">
        <f>IF(A2374=IFERROR(VLOOKUP(A2374,CATALOGO!$B$2:$B$600,1,FALSE),"Falta"),"", "Falta")</f>
        <v>Falta</v>
      </c>
    </row>
    <row r="2375" spans="1:6" x14ac:dyDescent="0.25">
      <c r="A2375" s="11">
        <f t="shared" si="37"/>
        <v>7707223</v>
      </c>
      <c r="B2375" s="6">
        <v>7707223</v>
      </c>
      <c r="C2375" s="6" t="s">
        <v>951</v>
      </c>
      <c r="D2375" s="6">
        <v>139.80000000000001</v>
      </c>
      <c r="E2375" s="1">
        <v>6</v>
      </c>
      <c r="F2375" s="7" t="str">
        <f>IF(A2375=IFERROR(VLOOKUP(A2375,CATALOGO!$B$2:$B$600,1,FALSE),"Falta"),"", "Falta")</f>
        <v>Falta</v>
      </c>
    </row>
    <row r="2376" spans="1:6" x14ac:dyDescent="0.25">
      <c r="A2376" s="11" t="str">
        <f t="shared" si="37"/>
        <v/>
      </c>
      <c r="B2376" s="6" t="s">
        <v>1859</v>
      </c>
      <c r="C2376" s="6" t="s">
        <v>1859</v>
      </c>
      <c r="D2376" s="6">
        <v>0</v>
      </c>
      <c r="E2376" s="1">
        <v>0</v>
      </c>
      <c r="F2376" s="7" t="str">
        <f>IF(A2376=IFERROR(VLOOKUP(A2376,CATALOGO!$B$2:$B$600,1,FALSE),"Falta"),"", "Falta")</f>
        <v>Falta</v>
      </c>
    </row>
    <row r="2377" spans="1:6" x14ac:dyDescent="0.25">
      <c r="A2377" s="11">
        <f t="shared" si="37"/>
        <v>7707226</v>
      </c>
      <c r="B2377" s="6">
        <v>7707226</v>
      </c>
      <c r="C2377" s="6" t="s">
        <v>2232</v>
      </c>
      <c r="D2377" s="6">
        <v>0</v>
      </c>
      <c r="E2377" s="1">
        <v>0</v>
      </c>
      <c r="F2377" s="7" t="str">
        <f>IF(A2377=IFERROR(VLOOKUP(A2377,CATALOGO!$B$2:$B$600,1,FALSE),"Falta"),"", "Falta")</f>
        <v>Falta</v>
      </c>
    </row>
    <row r="2378" spans="1:6" x14ac:dyDescent="0.25">
      <c r="A2378" s="11">
        <f t="shared" si="37"/>
        <v>7707235</v>
      </c>
      <c r="B2378" s="6">
        <v>7707235</v>
      </c>
      <c r="C2378" s="6" t="s">
        <v>886</v>
      </c>
      <c r="D2378" s="6">
        <v>368.73</v>
      </c>
      <c r="E2378" s="1">
        <v>25</v>
      </c>
      <c r="F2378" s="7" t="str">
        <f>IF(A2378=IFERROR(VLOOKUP(A2378,CATALOGO!$B$2:$B$600,1,FALSE),"Falta"),"", "Falta")</f>
        <v>Falta</v>
      </c>
    </row>
    <row r="2379" spans="1:6" x14ac:dyDescent="0.25">
      <c r="A2379" s="11" t="str">
        <f t="shared" si="37"/>
        <v/>
      </c>
      <c r="B2379" s="6" t="s">
        <v>1859</v>
      </c>
      <c r="C2379" s="6" t="s">
        <v>1859</v>
      </c>
      <c r="D2379" s="6">
        <v>0</v>
      </c>
      <c r="E2379" s="1">
        <v>0</v>
      </c>
      <c r="F2379" s="7" t="str">
        <f>IF(A2379=IFERROR(VLOOKUP(A2379,CATALOGO!$B$2:$B$600,1,FALSE),"Falta"),"", "Falta")</f>
        <v>Falta</v>
      </c>
    </row>
    <row r="2380" spans="1:6" x14ac:dyDescent="0.25">
      <c r="A2380" s="11">
        <f t="shared" si="37"/>
        <v>7707236</v>
      </c>
      <c r="B2380" s="6">
        <v>7707236</v>
      </c>
      <c r="C2380" s="6" t="s">
        <v>2233</v>
      </c>
      <c r="D2380" s="6">
        <v>0</v>
      </c>
      <c r="E2380" s="1">
        <v>0</v>
      </c>
      <c r="F2380" s="7" t="str">
        <f>IF(A2380=IFERROR(VLOOKUP(A2380,CATALOGO!$B$2:$B$600,1,FALSE),"Falta"),"", "Falta")</f>
        <v>Falta</v>
      </c>
    </row>
    <row r="2381" spans="1:6" x14ac:dyDescent="0.25">
      <c r="A2381" s="11">
        <f t="shared" si="37"/>
        <v>7707237</v>
      </c>
      <c r="B2381" s="6">
        <v>7707237</v>
      </c>
      <c r="C2381" s="6" t="s">
        <v>894</v>
      </c>
      <c r="D2381" s="6">
        <v>235.95</v>
      </c>
      <c r="E2381" s="1">
        <v>0</v>
      </c>
      <c r="F2381" s="7" t="str">
        <f>IF(A2381=IFERROR(VLOOKUP(A2381,CATALOGO!$B$2:$B$600,1,FALSE),"Falta"),"", "Falta")</f>
        <v>Falta</v>
      </c>
    </row>
    <row r="2382" spans="1:6" x14ac:dyDescent="0.25">
      <c r="A2382" s="11">
        <f t="shared" si="37"/>
        <v>7707246</v>
      </c>
      <c r="B2382" s="6">
        <v>7707246</v>
      </c>
      <c r="C2382" s="6" t="s">
        <v>929</v>
      </c>
      <c r="D2382" s="6">
        <v>250</v>
      </c>
      <c r="E2382" s="1">
        <v>67</v>
      </c>
      <c r="F2382" s="7" t="str">
        <f>IF(A2382=IFERROR(VLOOKUP(A2382,CATALOGO!$B$2:$B$600,1,FALSE),"Falta"),"", "Falta")</f>
        <v/>
      </c>
    </row>
    <row r="2383" spans="1:6" x14ac:dyDescent="0.25">
      <c r="A2383" s="11">
        <f t="shared" si="37"/>
        <v>7707260</v>
      </c>
      <c r="B2383" s="6">
        <v>7707260</v>
      </c>
      <c r="C2383" s="6" t="s">
        <v>942</v>
      </c>
      <c r="D2383" s="6">
        <v>459.18</v>
      </c>
      <c r="E2383" s="1">
        <v>54</v>
      </c>
      <c r="F2383" s="7" t="str">
        <f>IF(A2383=IFERROR(VLOOKUP(A2383,CATALOGO!$B$2:$B$600,1,FALSE),"Falta"),"", "Falta")</f>
        <v>Falta</v>
      </c>
    </row>
    <row r="2384" spans="1:6" x14ac:dyDescent="0.25">
      <c r="A2384" s="11">
        <f t="shared" si="37"/>
        <v>7707266</v>
      </c>
      <c r="B2384" s="6">
        <v>7707266</v>
      </c>
      <c r="C2384" s="6" t="s">
        <v>1147</v>
      </c>
      <c r="D2384" s="6">
        <v>160.72</v>
      </c>
      <c r="E2384" s="1">
        <v>18</v>
      </c>
      <c r="F2384" s="7" t="str">
        <f>IF(A2384=IFERROR(VLOOKUP(A2384,CATALOGO!$B$2:$B$600,1,FALSE),"Falta"),"", "Falta")</f>
        <v/>
      </c>
    </row>
    <row r="2385" spans="1:6" x14ac:dyDescent="0.25">
      <c r="A2385" s="11">
        <f t="shared" si="37"/>
        <v>7707267</v>
      </c>
      <c r="B2385" s="6">
        <v>7707267</v>
      </c>
      <c r="C2385" s="6" t="s">
        <v>1557</v>
      </c>
      <c r="D2385" s="6">
        <v>175.45</v>
      </c>
      <c r="E2385" s="1">
        <v>0</v>
      </c>
      <c r="F2385" s="7" t="str">
        <f>IF(A2385=IFERROR(VLOOKUP(A2385,CATALOGO!$B$2:$B$600,1,FALSE),"Falta"),"", "Falta")</f>
        <v>Falta</v>
      </c>
    </row>
    <row r="2386" spans="1:6" x14ac:dyDescent="0.25">
      <c r="A2386" s="11">
        <f t="shared" si="37"/>
        <v>7707273</v>
      </c>
      <c r="B2386" s="6">
        <v>7707273</v>
      </c>
      <c r="C2386" s="6" t="s">
        <v>892</v>
      </c>
      <c r="D2386" s="6">
        <v>121</v>
      </c>
      <c r="E2386" s="1">
        <v>0</v>
      </c>
      <c r="F2386" s="7" t="str">
        <f>IF(A2386=IFERROR(VLOOKUP(A2386,CATALOGO!$B$2:$B$600,1,FALSE),"Falta"),"", "Falta")</f>
        <v>Falta</v>
      </c>
    </row>
    <row r="2387" spans="1:6" x14ac:dyDescent="0.25">
      <c r="A2387" s="11">
        <f t="shared" si="37"/>
        <v>7707274</v>
      </c>
      <c r="B2387" s="6">
        <v>7707274</v>
      </c>
      <c r="C2387" s="6" t="s">
        <v>891</v>
      </c>
      <c r="D2387" s="6">
        <v>108.9</v>
      </c>
      <c r="E2387" s="1">
        <v>0</v>
      </c>
      <c r="F2387" s="7" t="str">
        <f>IF(A2387=IFERROR(VLOOKUP(A2387,CATALOGO!$B$2:$B$600,1,FALSE),"Falta"),"", "Falta")</f>
        <v>Falta</v>
      </c>
    </row>
    <row r="2388" spans="1:6" x14ac:dyDescent="0.25">
      <c r="A2388" s="11">
        <f t="shared" si="37"/>
        <v>7707275</v>
      </c>
      <c r="B2388" s="6">
        <v>7707275</v>
      </c>
      <c r="C2388" s="6" t="s">
        <v>2234</v>
      </c>
      <c r="D2388" s="6">
        <v>108.9</v>
      </c>
      <c r="E2388" s="1">
        <v>0</v>
      </c>
      <c r="F2388" s="7" t="str">
        <f>IF(A2388=IFERROR(VLOOKUP(A2388,CATALOGO!$B$2:$B$600,1,FALSE),"Falta"),"", "Falta")</f>
        <v>Falta</v>
      </c>
    </row>
    <row r="2389" spans="1:6" x14ac:dyDescent="0.25">
      <c r="A2389" s="11">
        <f t="shared" si="37"/>
        <v>7707276</v>
      </c>
      <c r="B2389" s="6">
        <v>7707276</v>
      </c>
      <c r="C2389" s="6" t="s">
        <v>1558</v>
      </c>
      <c r="D2389" s="6">
        <v>102.85</v>
      </c>
      <c r="E2389" s="1">
        <v>0</v>
      </c>
      <c r="F2389" s="7" t="str">
        <f>IF(A2389=IFERROR(VLOOKUP(A2389,CATALOGO!$B$2:$B$600,1,FALSE),"Falta"),"", "Falta")</f>
        <v>Falta</v>
      </c>
    </row>
    <row r="2390" spans="1:6" x14ac:dyDescent="0.25">
      <c r="A2390" s="11">
        <f t="shared" si="37"/>
        <v>7707277</v>
      </c>
      <c r="B2390" s="6">
        <v>7707277</v>
      </c>
      <c r="C2390" s="6" t="s">
        <v>2235</v>
      </c>
      <c r="D2390" s="6">
        <v>96.8</v>
      </c>
      <c r="E2390" s="1">
        <v>31</v>
      </c>
      <c r="F2390" s="7" t="str">
        <f>IF(A2390=IFERROR(VLOOKUP(A2390,CATALOGO!$B$2:$B$600,1,FALSE),"Falta"),"", "Falta")</f>
        <v>Falta</v>
      </c>
    </row>
    <row r="2391" spans="1:6" x14ac:dyDescent="0.25">
      <c r="A2391" s="11">
        <f t="shared" si="37"/>
        <v>7707278</v>
      </c>
      <c r="B2391" s="6">
        <v>7707278</v>
      </c>
      <c r="C2391" s="6" t="s">
        <v>2236</v>
      </c>
      <c r="D2391" s="6">
        <v>121</v>
      </c>
      <c r="E2391" s="1">
        <v>35</v>
      </c>
      <c r="F2391" s="7" t="str">
        <f>IF(A2391=IFERROR(VLOOKUP(A2391,CATALOGO!$B$2:$B$600,1,FALSE),"Falta"),"", "Falta")</f>
        <v>Falta</v>
      </c>
    </row>
    <row r="2392" spans="1:6" x14ac:dyDescent="0.25">
      <c r="A2392" s="11">
        <f t="shared" si="37"/>
        <v>7707279</v>
      </c>
      <c r="B2392" s="6">
        <v>7707279</v>
      </c>
      <c r="C2392" s="6" t="s">
        <v>888</v>
      </c>
      <c r="D2392" s="6">
        <v>119.78</v>
      </c>
      <c r="E2392" s="1">
        <v>20</v>
      </c>
      <c r="F2392" s="7" t="str">
        <f>IF(A2392=IFERROR(VLOOKUP(A2392,CATALOGO!$B$2:$B$600,1,FALSE),"Falta"),"", "Falta")</f>
        <v>Falta</v>
      </c>
    </row>
    <row r="2393" spans="1:6" x14ac:dyDescent="0.25">
      <c r="A2393" s="11" t="str">
        <f t="shared" si="37"/>
        <v/>
      </c>
      <c r="B2393" s="6" t="s">
        <v>1859</v>
      </c>
      <c r="C2393" s="6" t="s">
        <v>1859</v>
      </c>
      <c r="D2393" s="6">
        <v>0</v>
      </c>
      <c r="E2393" s="1">
        <v>0</v>
      </c>
      <c r="F2393" s="7" t="str">
        <f>IF(A2393=IFERROR(VLOOKUP(A2393,CATALOGO!$B$2:$B$600,1,FALSE),"Falta"),"", "Falta")</f>
        <v>Falta</v>
      </c>
    </row>
    <row r="2394" spans="1:6" x14ac:dyDescent="0.25">
      <c r="A2394" s="11">
        <f t="shared" si="37"/>
        <v>7707280</v>
      </c>
      <c r="B2394" s="6">
        <v>7707280</v>
      </c>
      <c r="C2394" s="6" t="s">
        <v>2237</v>
      </c>
      <c r="D2394" s="6">
        <v>0</v>
      </c>
      <c r="E2394" s="1">
        <v>0</v>
      </c>
      <c r="F2394" s="7" t="str">
        <f>IF(A2394=IFERROR(VLOOKUP(A2394,CATALOGO!$B$2:$B$600,1,FALSE),"Falta"),"", "Falta")</f>
        <v>Falta</v>
      </c>
    </row>
    <row r="2395" spans="1:6" x14ac:dyDescent="0.25">
      <c r="A2395" s="11">
        <f t="shared" si="37"/>
        <v>7707281</v>
      </c>
      <c r="B2395" s="6">
        <v>7707281</v>
      </c>
      <c r="C2395" s="6" t="s">
        <v>901</v>
      </c>
      <c r="D2395" s="6">
        <v>671.8</v>
      </c>
      <c r="E2395" s="1">
        <v>0</v>
      </c>
      <c r="F2395" s="7" t="str">
        <f>IF(A2395=IFERROR(VLOOKUP(A2395,CATALOGO!$B$2:$B$600,1,FALSE),"Falta"),"", "Falta")</f>
        <v>Falta</v>
      </c>
    </row>
    <row r="2396" spans="1:6" x14ac:dyDescent="0.25">
      <c r="A2396" s="11" t="str">
        <f t="shared" si="37"/>
        <v/>
      </c>
      <c r="B2396" s="6" t="s">
        <v>1859</v>
      </c>
      <c r="C2396" s="6" t="s">
        <v>1859</v>
      </c>
      <c r="D2396" s="6">
        <v>0</v>
      </c>
      <c r="E2396" s="1">
        <v>0</v>
      </c>
      <c r="F2396" s="7" t="str">
        <f>IF(A2396=IFERROR(VLOOKUP(A2396,CATALOGO!$B$2:$B$600,1,FALSE),"Falta"),"", "Falta")</f>
        <v>Falta</v>
      </c>
    </row>
    <row r="2397" spans="1:6" x14ac:dyDescent="0.25">
      <c r="A2397" s="11">
        <f t="shared" si="37"/>
        <v>7707283</v>
      </c>
      <c r="B2397" s="6">
        <v>7707283</v>
      </c>
      <c r="C2397" s="6" t="s">
        <v>2238</v>
      </c>
      <c r="D2397" s="6">
        <v>0</v>
      </c>
      <c r="E2397" s="1">
        <v>0</v>
      </c>
      <c r="F2397" s="7" t="str">
        <f>IF(A2397=IFERROR(VLOOKUP(A2397,CATALOGO!$B$2:$B$600,1,FALSE),"Falta"),"", "Falta")</f>
        <v>Falta</v>
      </c>
    </row>
    <row r="2398" spans="1:6" x14ac:dyDescent="0.25">
      <c r="A2398" s="11">
        <f t="shared" si="37"/>
        <v>7707284</v>
      </c>
      <c r="B2398" s="6">
        <v>7707284</v>
      </c>
      <c r="C2398" s="6" t="s">
        <v>1559</v>
      </c>
      <c r="D2398" s="6">
        <v>102.85</v>
      </c>
      <c r="E2398" s="1">
        <v>7</v>
      </c>
      <c r="F2398" s="7" t="str">
        <f>IF(A2398=IFERROR(VLOOKUP(A2398,CATALOGO!$B$2:$B$600,1,FALSE),"Falta"),"", "Falta")</f>
        <v/>
      </c>
    </row>
    <row r="2399" spans="1:6" x14ac:dyDescent="0.25">
      <c r="A2399" s="11">
        <f t="shared" si="37"/>
        <v>7707285</v>
      </c>
      <c r="B2399" s="6">
        <v>7707285</v>
      </c>
      <c r="C2399" s="6" t="s">
        <v>1560</v>
      </c>
      <c r="D2399" s="6">
        <v>114.95</v>
      </c>
      <c r="E2399" s="1">
        <v>0</v>
      </c>
      <c r="F2399" s="7" t="str">
        <f>IF(A2399=IFERROR(VLOOKUP(A2399,CATALOGO!$B$2:$B$600,1,FALSE),"Falta"),"", "Falta")</f>
        <v/>
      </c>
    </row>
    <row r="2400" spans="1:6" x14ac:dyDescent="0.25">
      <c r="A2400" s="11">
        <f t="shared" si="37"/>
        <v>7707288</v>
      </c>
      <c r="B2400" s="6">
        <v>7707288</v>
      </c>
      <c r="C2400" s="6" t="s">
        <v>1561</v>
      </c>
      <c r="D2400" s="6">
        <v>89.99</v>
      </c>
      <c r="E2400" s="1">
        <v>0</v>
      </c>
      <c r="F2400" s="7" t="str">
        <f>IF(A2400=IFERROR(VLOOKUP(A2400,CATALOGO!$B$2:$B$600,1,FALSE),"Falta"),"", "Falta")</f>
        <v/>
      </c>
    </row>
    <row r="2401" spans="1:6" x14ac:dyDescent="0.25">
      <c r="A2401" s="11">
        <f t="shared" si="37"/>
        <v>7707289</v>
      </c>
      <c r="B2401" s="6">
        <v>7707289</v>
      </c>
      <c r="C2401" s="6" t="s">
        <v>898</v>
      </c>
      <c r="D2401" s="6">
        <v>587.62</v>
      </c>
      <c r="E2401" s="1">
        <v>0</v>
      </c>
      <c r="F2401" s="7" t="str">
        <f>IF(A2401=IFERROR(VLOOKUP(A2401,CATALOGO!$B$2:$B$600,1,FALSE),"Falta"),"", "Falta")</f>
        <v>Falta</v>
      </c>
    </row>
    <row r="2402" spans="1:6" x14ac:dyDescent="0.25">
      <c r="A2402" s="11">
        <f t="shared" si="37"/>
        <v>7707290</v>
      </c>
      <c r="B2402" s="6">
        <v>7707290</v>
      </c>
      <c r="C2402" s="6" t="s">
        <v>895</v>
      </c>
      <c r="D2402" s="6">
        <v>596.94000000000005</v>
      </c>
      <c r="E2402" s="1">
        <v>14</v>
      </c>
      <c r="F2402" s="7" t="str">
        <f>IF(A2402=IFERROR(VLOOKUP(A2402,CATALOGO!$B$2:$B$600,1,FALSE),"Falta"),"", "Falta")</f>
        <v>Falta</v>
      </c>
    </row>
    <row r="2403" spans="1:6" x14ac:dyDescent="0.25">
      <c r="A2403" s="11" t="str">
        <f t="shared" si="37"/>
        <v/>
      </c>
      <c r="B2403" s="6" t="s">
        <v>1859</v>
      </c>
      <c r="C2403" s="6" t="s">
        <v>1859</v>
      </c>
      <c r="D2403" s="6">
        <v>0</v>
      </c>
      <c r="E2403" s="1">
        <v>0</v>
      </c>
      <c r="F2403" s="7" t="str">
        <f>IF(A2403=IFERROR(VLOOKUP(A2403,CATALOGO!$B$2:$B$600,1,FALSE),"Falta"),"", "Falta")</f>
        <v>Falta</v>
      </c>
    </row>
    <row r="2404" spans="1:6" x14ac:dyDescent="0.25">
      <c r="A2404" s="11">
        <f t="shared" si="37"/>
        <v>7707291</v>
      </c>
      <c r="B2404" s="6">
        <v>7707291</v>
      </c>
      <c r="C2404" s="6" t="s">
        <v>2239</v>
      </c>
      <c r="D2404" s="6">
        <v>0</v>
      </c>
      <c r="E2404" s="1">
        <v>0</v>
      </c>
      <c r="F2404" s="7" t="str">
        <f>IF(A2404=IFERROR(VLOOKUP(A2404,CATALOGO!$B$2:$B$600,1,FALSE),"Falta"),"", "Falta")</f>
        <v>Falta</v>
      </c>
    </row>
    <row r="2405" spans="1:6" x14ac:dyDescent="0.25">
      <c r="A2405" s="11">
        <f t="shared" si="37"/>
        <v>7707292</v>
      </c>
      <c r="B2405" s="6">
        <v>7707292</v>
      </c>
      <c r="C2405" s="6" t="s">
        <v>1562</v>
      </c>
      <c r="D2405" s="6">
        <v>581.64</v>
      </c>
      <c r="E2405" s="1">
        <v>1</v>
      </c>
      <c r="F2405" s="7" t="str">
        <f>IF(A2405=IFERROR(VLOOKUP(A2405,CATALOGO!$B$2:$B$600,1,FALSE),"Falta"),"", "Falta")</f>
        <v>Falta</v>
      </c>
    </row>
    <row r="2406" spans="1:6" x14ac:dyDescent="0.25">
      <c r="A2406" s="11">
        <f t="shared" si="37"/>
        <v>7707293</v>
      </c>
      <c r="B2406" s="6">
        <v>7707293</v>
      </c>
      <c r="C2406" s="6" t="s">
        <v>2240</v>
      </c>
      <c r="D2406" s="6">
        <v>0</v>
      </c>
      <c r="E2406" s="1">
        <v>0</v>
      </c>
      <c r="F2406" s="7" t="str">
        <f>IF(A2406=IFERROR(VLOOKUP(A2406,CATALOGO!$B$2:$B$600,1,FALSE),"Falta"),"", "Falta")</f>
        <v>Falta</v>
      </c>
    </row>
    <row r="2407" spans="1:6" x14ac:dyDescent="0.25">
      <c r="A2407" s="11">
        <f t="shared" si="37"/>
        <v>7707294</v>
      </c>
      <c r="B2407" s="6">
        <v>7707294</v>
      </c>
      <c r="C2407" s="6" t="s">
        <v>2241</v>
      </c>
      <c r="D2407" s="6">
        <v>565.67999999999995</v>
      </c>
      <c r="E2407" s="1">
        <v>0</v>
      </c>
      <c r="F2407" s="7" t="str">
        <f>IF(A2407=IFERROR(VLOOKUP(A2407,CATALOGO!$B$2:$B$600,1,FALSE),"Falta"),"", "Falta")</f>
        <v>Falta</v>
      </c>
    </row>
    <row r="2408" spans="1:6" x14ac:dyDescent="0.25">
      <c r="A2408" s="11">
        <f t="shared" si="37"/>
        <v>7707298</v>
      </c>
      <c r="B2408" s="6">
        <v>7707298</v>
      </c>
      <c r="C2408" s="6" t="s">
        <v>1563</v>
      </c>
      <c r="D2408" s="6">
        <v>550</v>
      </c>
      <c r="E2408" s="1">
        <v>23</v>
      </c>
      <c r="F2408" s="7" t="str">
        <f>IF(A2408=IFERROR(VLOOKUP(A2408,CATALOGO!$B$2:$B$600,1,FALSE),"Falta"),"", "Falta")</f>
        <v/>
      </c>
    </row>
    <row r="2409" spans="1:6" x14ac:dyDescent="0.25">
      <c r="A2409" s="11">
        <f t="shared" si="37"/>
        <v>7707299</v>
      </c>
      <c r="B2409" s="6">
        <v>7707299</v>
      </c>
      <c r="C2409" s="6" t="s">
        <v>912</v>
      </c>
      <c r="D2409" s="6">
        <v>592.9</v>
      </c>
      <c r="E2409" s="1">
        <v>0</v>
      </c>
      <c r="F2409" s="7" t="str">
        <f>IF(A2409=IFERROR(VLOOKUP(A2409,CATALOGO!$B$2:$B$600,1,FALSE),"Falta"),"", "Falta")</f>
        <v>Falta</v>
      </c>
    </row>
    <row r="2410" spans="1:6" x14ac:dyDescent="0.25">
      <c r="A2410" s="11">
        <f t="shared" si="37"/>
        <v>7707318</v>
      </c>
      <c r="B2410" s="6">
        <v>7707318</v>
      </c>
      <c r="C2410" s="6" t="s">
        <v>908</v>
      </c>
      <c r="D2410" s="6">
        <v>671.8</v>
      </c>
      <c r="E2410" s="1">
        <v>0</v>
      </c>
      <c r="F2410" s="7" t="str">
        <f>IF(A2410=IFERROR(VLOOKUP(A2410,CATALOGO!$B$2:$B$600,1,FALSE),"Falta"),"", "Falta")</f>
        <v>Falta</v>
      </c>
    </row>
    <row r="2411" spans="1:6" x14ac:dyDescent="0.25">
      <c r="A2411" s="11">
        <f t="shared" si="37"/>
        <v>7707319</v>
      </c>
      <c r="B2411" s="6">
        <v>7707319</v>
      </c>
      <c r="C2411" s="6" t="s">
        <v>909</v>
      </c>
      <c r="D2411" s="6">
        <v>671.8</v>
      </c>
      <c r="E2411" s="1">
        <v>0</v>
      </c>
      <c r="F2411" s="7" t="str">
        <f>IF(A2411=IFERROR(VLOOKUP(A2411,CATALOGO!$B$2:$B$600,1,FALSE),"Falta"),"", "Falta")</f>
        <v>Falta</v>
      </c>
    </row>
    <row r="2412" spans="1:6" x14ac:dyDescent="0.25">
      <c r="A2412" s="11">
        <f t="shared" si="37"/>
        <v>7707320</v>
      </c>
      <c r="B2412" s="6">
        <v>7707320</v>
      </c>
      <c r="C2412" s="6" t="s">
        <v>911</v>
      </c>
      <c r="D2412" s="6">
        <v>725.99</v>
      </c>
      <c r="E2412" s="1">
        <v>0</v>
      </c>
      <c r="F2412" s="7" t="str">
        <f>IF(A2412=IFERROR(VLOOKUP(A2412,CATALOGO!$B$2:$B$600,1,FALSE),"Falta"),"", "Falta")</f>
        <v>Falta</v>
      </c>
    </row>
    <row r="2413" spans="1:6" x14ac:dyDescent="0.25">
      <c r="A2413" s="11">
        <f t="shared" si="37"/>
        <v>7707321</v>
      </c>
      <c r="B2413" s="6">
        <v>7707321</v>
      </c>
      <c r="C2413" s="6" t="s">
        <v>910</v>
      </c>
      <c r="D2413" s="6">
        <v>798.59</v>
      </c>
      <c r="E2413" s="1">
        <v>0</v>
      </c>
      <c r="F2413" s="7" t="str">
        <f>IF(A2413=IFERROR(VLOOKUP(A2413,CATALOGO!$B$2:$B$600,1,FALSE),"Falta"),"", "Falta")</f>
        <v>Falta</v>
      </c>
    </row>
    <row r="2414" spans="1:6" x14ac:dyDescent="0.25">
      <c r="A2414" s="11">
        <f t="shared" si="37"/>
        <v>7707322</v>
      </c>
      <c r="B2414" s="6">
        <v>7707322</v>
      </c>
      <c r="C2414" s="6" t="s">
        <v>915</v>
      </c>
      <c r="D2414" s="6">
        <v>531.07000000000005</v>
      </c>
      <c r="E2414" s="1">
        <v>3</v>
      </c>
      <c r="F2414" s="7" t="str">
        <f>IF(A2414=IFERROR(VLOOKUP(A2414,CATALOGO!$B$2:$B$600,1,FALSE),"Falta"),"", "Falta")</f>
        <v/>
      </c>
    </row>
    <row r="2415" spans="1:6" x14ac:dyDescent="0.25">
      <c r="A2415" s="11">
        <f t="shared" si="37"/>
        <v>7707324</v>
      </c>
      <c r="B2415" s="6">
        <v>7707324</v>
      </c>
      <c r="C2415" s="6" t="s">
        <v>916</v>
      </c>
      <c r="D2415" s="6">
        <v>531.07000000000005</v>
      </c>
      <c r="E2415" s="1">
        <v>0</v>
      </c>
      <c r="F2415" s="7" t="str">
        <f>IF(A2415=IFERROR(VLOOKUP(A2415,CATALOGO!$B$2:$B$600,1,FALSE),"Falta"),"", "Falta")</f>
        <v/>
      </c>
    </row>
    <row r="2416" spans="1:6" x14ac:dyDescent="0.25">
      <c r="A2416" s="11">
        <f t="shared" si="37"/>
        <v>7707325</v>
      </c>
      <c r="B2416" s="6">
        <v>7707325</v>
      </c>
      <c r="C2416" s="6" t="s">
        <v>2242</v>
      </c>
      <c r="D2416" s="6">
        <v>531.07000000000005</v>
      </c>
      <c r="E2416" s="1">
        <v>0</v>
      </c>
      <c r="F2416" s="7" t="str">
        <f>IF(A2416=IFERROR(VLOOKUP(A2416,CATALOGO!$B$2:$B$600,1,FALSE),"Falta"),"", "Falta")</f>
        <v>Falta</v>
      </c>
    </row>
    <row r="2417" spans="1:6" x14ac:dyDescent="0.25">
      <c r="A2417" s="11">
        <f t="shared" si="37"/>
        <v>7707333</v>
      </c>
      <c r="B2417" s="6">
        <v>7707333</v>
      </c>
      <c r="C2417" s="6" t="s">
        <v>946</v>
      </c>
      <c r="D2417" s="6">
        <v>439.48</v>
      </c>
      <c r="E2417" s="1">
        <v>0</v>
      </c>
      <c r="F2417" s="7" t="str">
        <f>IF(A2417=IFERROR(VLOOKUP(A2417,CATALOGO!$B$2:$B$600,1,FALSE),"Falta"),"", "Falta")</f>
        <v>Falta</v>
      </c>
    </row>
    <row r="2418" spans="1:6" x14ac:dyDescent="0.25">
      <c r="A2418" s="11" t="str">
        <f t="shared" si="37"/>
        <v/>
      </c>
      <c r="B2418" s="6" t="s">
        <v>1859</v>
      </c>
      <c r="C2418" s="6" t="s">
        <v>1859</v>
      </c>
      <c r="D2418" s="6">
        <v>0</v>
      </c>
      <c r="E2418" s="1">
        <v>0</v>
      </c>
      <c r="F2418" s="7" t="str">
        <f>IF(A2418=IFERROR(VLOOKUP(A2418,CATALOGO!$B$2:$B$600,1,FALSE),"Falta"),"", "Falta")</f>
        <v>Falta</v>
      </c>
    </row>
    <row r="2419" spans="1:6" x14ac:dyDescent="0.25">
      <c r="A2419" s="11">
        <f t="shared" si="37"/>
        <v>7707349</v>
      </c>
      <c r="B2419" s="6">
        <v>7707349</v>
      </c>
      <c r="C2419" s="6" t="s">
        <v>2243</v>
      </c>
      <c r="D2419" s="6">
        <v>0</v>
      </c>
      <c r="E2419" s="1">
        <v>0</v>
      </c>
      <c r="F2419" s="7" t="str">
        <f>IF(A2419=IFERROR(VLOOKUP(A2419,CATALOGO!$B$2:$B$600,1,FALSE),"Falta"),"", "Falta")</f>
        <v>Falta</v>
      </c>
    </row>
    <row r="2420" spans="1:6" x14ac:dyDescent="0.25">
      <c r="A2420" s="11" t="str">
        <f t="shared" si="37"/>
        <v/>
      </c>
      <c r="B2420" s="6" t="s">
        <v>1859</v>
      </c>
      <c r="C2420" s="6" t="s">
        <v>1859</v>
      </c>
      <c r="D2420" s="6">
        <v>0</v>
      </c>
      <c r="E2420" s="1">
        <v>0</v>
      </c>
      <c r="F2420" s="7" t="str">
        <f>IF(A2420=IFERROR(VLOOKUP(A2420,CATALOGO!$B$2:$B$600,1,FALSE),"Falta"),"", "Falta")</f>
        <v>Falta</v>
      </c>
    </row>
    <row r="2421" spans="1:6" x14ac:dyDescent="0.25">
      <c r="A2421" s="11">
        <f t="shared" si="37"/>
        <v>7707350</v>
      </c>
      <c r="B2421" s="6">
        <v>7707350</v>
      </c>
      <c r="C2421" s="6" t="s">
        <v>2244</v>
      </c>
      <c r="D2421" s="6">
        <v>0</v>
      </c>
      <c r="E2421" s="1">
        <v>0</v>
      </c>
      <c r="F2421" s="7" t="str">
        <f>IF(A2421=IFERROR(VLOOKUP(A2421,CATALOGO!$B$2:$B$600,1,FALSE),"Falta"),"", "Falta")</f>
        <v>Falta</v>
      </c>
    </row>
    <row r="2422" spans="1:6" x14ac:dyDescent="0.25">
      <c r="A2422" s="11">
        <f t="shared" si="37"/>
        <v>7707357</v>
      </c>
      <c r="B2422" s="6">
        <v>7707357</v>
      </c>
      <c r="C2422" s="6" t="s">
        <v>1564</v>
      </c>
      <c r="D2422" s="6">
        <v>180</v>
      </c>
      <c r="E2422" s="1">
        <v>44</v>
      </c>
      <c r="F2422" s="7" t="str">
        <f>IF(A2422=IFERROR(VLOOKUP(A2422,CATALOGO!$B$2:$B$600,1,FALSE),"Falta"),"", "Falta")</f>
        <v/>
      </c>
    </row>
    <row r="2423" spans="1:6" x14ac:dyDescent="0.25">
      <c r="A2423" s="11">
        <f t="shared" si="37"/>
        <v>7707368</v>
      </c>
      <c r="B2423" s="6">
        <v>7707368</v>
      </c>
      <c r="C2423" s="6" t="s">
        <v>920</v>
      </c>
      <c r="D2423" s="6">
        <v>159.81</v>
      </c>
      <c r="E2423" s="1">
        <v>22</v>
      </c>
      <c r="F2423" s="7" t="str">
        <f>IF(A2423=IFERROR(VLOOKUP(A2423,CATALOGO!$B$2:$B$600,1,FALSE),"Falta"),"", "Falta")</f>
        <v/>
      </c>
    </row>
    <row r="2424" spans="1:6" x14ac:dyDescent="0.25">
      <c r="A2424" s="11">
        <f t="shared" si="37"/>
        <v>7707426</v>
      </c>
      <c r="B2424" s="6">
        <v>7707426</v>
      </c>
      <c r="C2424" s="6" t="s">
        <v>1565</v>
      </c>
      <c r="D2424" s="6">
        <v>149.99</v>
      </c>
      <c r="E2424" s="1">
        <v>4</v>
      </c>
      <c r="F2424" s="7" t="str">
        <f>IF(A2424=IFERROR(VLOOKUP(A2424,CATALOGO!$B$2:$B$600,1,FALSE),"Falta"),"", "Falta")</f>
        <v>Falta</v>
      </c>
    </row>
    <row r="2425" spans="1:6" x14ac:dyDescent="0.25">
      <c r="A2425" s="11" t="str">
        <f t="shared" si="37"/>
        <v/>
      </c>
      <c r="B2425" s="6" t="s">
        <v>1859</v>
      </c>
      <c r="C2425" s="6" t="s">
        <v>1859</v>
      </c>
      <c r="D2425" s="6">
        <v>0</v>
      </c>
      <c r="E2425" s="1">
        <v>0</v>
      </c>
      <c r="F2425" s="7" t="str">
        <f>IF(A2425=IFERROR(VLOOKUP(A2425,CATALOGO!$B$2:$B$600,1,FALSE),"Falta"),"", "Falta")</f>
        <v>Falta</v>
      </c>
    </row>
    <row r="2426" spans="1:6" x14ac:dyDescent="0.25">
      <c r="A2426" s="11">
        <f t="shared" si="37"/>
        <v>7707444</v>
      </c>
      <c r="B2426" s="6">
        <v>7707444</v>
      </c>
      <c r="C2426" s="6" t="s">
        <v>2245</v>
      </c>
      <c r="D2426" s="6">
        <v>0</v>
      </c>
      <c r="E2426" s="1">
        <v>0</v>
      </c>
      <c r="F2426" s="7" t="str">
        <f>IF(A2426=IFERROR(VLOOKUP(A2426,CATALOGO!$B$2:$B$600,1,FALSE),"Falta"),"", "Falta")</f>
        <v>Falta</v>
      </c>
    </row>
    <row r="2427" spans="1:6" x14ac:dyDescent="0.25">
      <c r="A2427" s="11">
        <f t="shared" si="37"/>
        <v>7707450</v>
      </c>
      <c r="B2427" s="6">
        <v>7707450</v>
      </c>
      <c r="C2427" s="6" t="s">
        <v>938</v>
      </c>
      <c r="D2427" s="6">
        <v>153.05000000000001</v>
      </c>
      <c r="E2427" s="1">
        <v>26</v>
      </c>
      <c r="F2427" s="7" t="str">
        <f>IF(A2427=IFERROR(VLOOKUP(A2427,CATALOGO!$B$2:$B$600,1,FALSE),"Falta"),"", "Falta")</f>
        <v/>
      </c>
    </row>
    <row r="2428" spans="1:6" x14ac:dyDescent="0.25">
      <c r="A2428" s="11">
        <f t="shared" si="37"/>
        <v>7707452</v>
      </c>
      <c r="B2428" s="6">
        <v>7707452</v>
      </c>
      <c r="C2428" s="6" t="s">
        <v>944</v>
      </c>
      <c r="D2428" s="6">
        <v>120.99</v>
      </c>
      <c r="E2428" s="1">
        <v>71</v>
      </c>
      <c r="F2428" s="7" t="str">
        <f>IF(A2428=IFERROR(VLOOKUP(A2428,CATALOGO!$B$2:$B$600,1,FALSE),"Falta"),"", "Falta")</f>
        <v>Falta</v>
      </c>
    </row>
    <row r="2429" spans="1:6" x14ac:dyDescent="0.25">
      <c r="A2429" s="11">
        <f t="shared" si="37"/>
        <v>7707453</v>
      </c>
      <c r="B2429" s="6">
        <v>7707453</v>
      </c>
      <c r="C2429" s="6" t="s">
        <v>1566</v>
      </c>
      <c r="D2429" s="6">
        <v>133.01</v>
      </c>
      <c r="E2429" s="1">
        <v>5</v>
      </c>
      <c r="F2429" s="7" t="str">
        <f>IF(A2429=IFERROR(VLOOKUP(A2429,CATALOGO!$B$2:$B$600,1,FALSE),"Falta"),"", "Falta")</f>
        <v>Falta</v>
      </c>
    </row>
    <row r="2430" spans="1:6" x14ac:dyDescent="0.25">
      <c r="A2430" s="11">
        <f t="shared" si="37"/>
        <v>7707502</v>
      </c>
      <c r="B2430" s="6">
        <v>7707502</v>
      </c>
      <c r="C2430" s="6" t="s">
        <v>884</v>
      </c>
      <c r="D2430" s="6">
        <v>110</v>
      </c>
      <c r="E2430" s="1">
        <v>383</v>
      </c>
      <c r="F2430" s="7" t="str">
        <f>IF(A2430=IFERROR(VLOOKUP(A2430,CATALOGO!$B$2:$B$600,1,FALSE),"Falta"),"", "Falta")</f>
        <v/>
      </c>
    </row>
    <row r="2431" spans="1:6" x14ac:dyDescent="0.25">
      <c r="A2431" s="11" t="str">
        <f t="shared" si="37"/>
        <v/>
      </c>
      <c r="B2431" s="6" t="s">
        <v>1859</v>
      </c>
      <c r="C2431" s="6" t="s">
        <v>1859</v>
      </c>
      <c r="D2431" s="6">
        <v>0</v>
      </c>
      <c r="E2431" s="1">
        <v>0</v>
      </c>
      <c r="F2431" s="7" t="str">
        <f>IF(A2431=IFERROR(VLOOKUP(A2431,CATALOGO!$B$2:$B$600,1,FALSE),"Falta"),"", "Falta")</f>
        <v>Falta</v>
      </c>
    </row>
    <row r="2432" spans="1:6" x14ac:dyDescent="0.25">
      <c r="A2432" s="11">
        <f t="shared" si="37"/>
        <v>7707503</v>
      </c>
      <c r="B2432" s="6">
        <v>7707503</v>
      </c>
      <c r="C2432" s="6" t="s">
        <v>2246</v>
      </c>
      <c r="D2432" s="6">
        <v>0</v>
      </c>
      <c r="E2432" s="1">
        <v>0</v>
      </c>
      <c r="F2432" s="7" t="str">
        <f>IF(A2432=IFERROR(VLOOKUP(A2432,CATALOGO!$B$2:$B$600,1,FALSE),"Falta"),"", "Falta")</f>
        <v>Falta</v>
      </c>
    </row>
    <row r="2433" spans="1:6" x14ac:dyDescent="0.25">
      <c r="A2433" s="11">
        <f t="shared" si="37"/>
        <v>7707504</v>
      </c>
      <c r="B2433" s="6">
        <v>7707504</v>
      </c>
      <c r="C2433" s="6" t="s">
        <v>890</v>
      </c>
      <c r="D2433" s="6">
        <v>99</v>
      </c>
      <c r="E2433" s="1">
        <v>31</v>
      </c>
      <c r="F2433" s="7" t="str">
        <f>IF(A2433=IFERROR(VLOOKUP(A2433,CATALOGO!$B$2:$B$600,1,FALSE),"Falta"),"", "Falta")</f>
        <v/>
      </c>
    </row>
    <row r="2434" spans="1:6" x14ac:dyDescent="0.25">
      <c r="A2434" s="11">
        <f t="shared" si="37"/>
        <v>7707505</v>
      </c>
      <c r="B2434" s="6">
        <v>7707505</v>
      </c>
      <c r="C2434" s="6" t="s">
        <v>1567</v>
      </c>
      <c r="D2434" s="6">
        <v>114.95</v>
      </c>
      <c r="E2434" s="1">
        <v>10</v>
      </c>
      <c r="F2434" s="7" t="str">
        <f>IF(A2434=IFERROR(VLOOKUP(A2434,CATALOGO!$B$2:$B$600,1,FALSE),"Falta"),"", "Falta")</f>
        <v/>
      </c>
    </row>
    <row r="2435" spans="1:6" x14ac:dyDescent="0.25">
      <c r="A2435" s="11">
        <f t="shared" si="37"/>
        <v>7707508</v>
      </c>
      <c r="B2435" s="6">
        <v>7707508</v>
      </c>
      <c r="C2435" s="6" t="s">
        <v>889</v>
      </c>
      <c r="D2435" s="6">
        <v>90.75</v>
      </c>
      <c r="E2435" s="1">
        <v>217</v>
      </c>
      <c r="F2435" s="7" t="str">
        <f>IF(A2435=IFERROR(VLOOKUP(A2435,CATALOGO!$B$2:$B$600,1,FALSE),"Falta"),"", "Falta")</f>
        <v/>
      </c>
    </row>
    <row r="2436" spans="1:6" x14ac:dyDescent="0.25">
      <c r="A2436" s="11">
        <f t="shared" si="37"/>
        <v>7707511</v>
      </c>
      <c r="B2436" s="6">
        <v>7707511</v>
      </c>
      <c r="C2436" s="6" t="s">
        <v>893</v>
      </c>
      <c r="D2436" s="6">
        <v>362.99</v>
      </c>
      <c r="E2436" s="1">
        <v>0</v>
      </c>
      <c r="F2436" s="7" t="str">
        <f>IF(A2436=IFERROR(VLOOKUP(A2436,CATALOGO!$B$2:$B$600,1,FALSE),"Falta"),"", "Falta")</f>
        <v>Falta</v>
      </c>
    </row>
    <row r="2437" spans="1:6" x14ac:dyDescent="0.25">
      <c r="A2437" s="11">
        <f t="shared" si="37"/>
        <v>7707518</v>
      </c>
      <c r="B2437" s="6">
        <v>7707518</v>
      </c>
      <c r="C2437" s="6" t="s">
        <v>1568</v>
      </c>
      <c r="D2437" s="6">
        <v>587.62</v>
      </c>
      <c r="E2437" s="1">
        <v>1</v>
      </c>
      <c r="F2437" s="7" t="str">
        <f>IF(A2437=IFERROR(VLOOKUP(A2437,CATALOGO!$B$2:$B$600,1,FALSE),"Falta"),"", "Falta")</f>
        <v>Falta</v>
      </c>
    </row>
    <row r="2438" spans="1:6" x14ac:dyDescent="0.25">
      <c r="A2438" s="11">
        <f t="shared" ref="A2438:A2501" si="38">IFERROR(B2438*1,"")</f>
        <v>7707519</v>
      </c>
      <c r="B2438" s="6">
        <v>7707519</v>
      </c>
      <c r="C2438" s="6" t="s">
        <v>896</v>
      </c>
      <c r="D2438" s="6">
        <v>599.99</v>
      </c>
      <c r="E2438" s="1">
        <v>231</v>
      </c>
      <c r="F2438" s="7" t="str">
        <f>IF(A2438=IFERROR(VLOOKUP(A2438,CATALOGO!$B$2:$B$600,1,FALSE),"Falta"),"", "Falta")</f>
        <v/>
      </c>
    </row>
    <row r="2439" spans="1:6" x14ac:dyDescent="0.25">
      <c r="A2439" s="11">
        <f t="shared" si="38"/>
        <v>7707521</v>
      </c>
      <c r="B2439" s="6">
        <v>7707521</v>
      </c>
      <c r="C2439" s="6" t="s">
        <v>1569</v>
      </c>
      <c r="D2439" s="6">
        <v>120</v>
      </c>
      <c r="E2439" s="1">
        <v>273</v>
      </c>
      <c r="F2439" s="7" t="str">
        <f>IF(A2439=IFERROR(VLOOKUP(A2439,CATALOGO!$B$2:$B$600,1,FALSE),"Falta"),"", "Falta")</f>
        <v/>
      </c>
    </row>
    <row r="2440" spans="1:6" x14ac:dyDescent="0.25">
      <c r="A2440" s="11">
        <f t="shared" si="38"/>
        <v>7707522</v>
      </c>
      <c r="B2440" s="6">
        <v>7707522</v>
      </c>
      <c r="C2440" s="6" t="s">
        <v>1570</v>
      </c>
      <c r="D2440" s="6">
        <v>70</v>
      </c>
      <c r="E2440" s="1">
        <v>133</v>
      </c>
      <c r="F2440" s="7" t="str">
        <f>IF(A2440=IFERROR(VLOOKUP(A2440,CATALOGO!$B$2:$B$600,1,FALSE),"Falta"),"", "Falta")</f>
        <v/>
      </c>
    </row>
    <row r="2441" spans="1:6" x14ac:dyDescent="0.25">
      <c r="A2441" s="11" t="str">
        <f t="shared" si="38"/>
        <v/>
      </c>
      <c r="B2441" s="6" t="s">
        <v>1859</v>
      </c>
      <c r="C2441" s="6" t="s">
        <v>1859</v>
      </c>
      <c r="D2441" s="6">
        <v>0</v>
      </c>
      <c r="E2441" s="1">
        <v>0</v>
      </c>
      <c r="F2441" s="7" t="str">
        <f>IF(A2441=IFERROR(VLOOKUP(A2441,CATALOGO!$B$2:$B$600,1,FALSE),"Falta"),"", "Falta")</f>
        <v>Falta</v>
      </c>
    </row>
    <row r="2442" spans="1:6" x14ac:dyDescent="0.25">
      <c r="A2442" s="11">
        <f t="shared" si="38"/>
        <v>7707523</v>
      </c>
      <c r="B2442" s="6">
        <v>7707523</v>
      </c>
      <c r="C2442" s="6" t="s">
        <v>2247</v>
      </c>
      <c r="D2442" s="6">
        <v>0</v>
      </c>
      <c r="E2442" s="1">
        <v>0</v>
      </c>
      <c r="F2442" s="7" t="str">
        <f>IF(A2442=IFERROR(VLOOKUP(A2442,CATALOGO!$B$2:$B$600,1,FALSE),"Falta"),"", "Falta")</f>
        <v>Falta</v>
      </c>
    </row>
    <row r="2443" spans="1:6" x14ac:dyDescent="0.25">
      <c r="A2443" s="11">
        <f t="shared" si="38"/>
        <v>7707524</v>
      </c>
      <c r="B2443" s="6">
        <v>7707524</v>
      </c>
      <c r="C2443" s="6" t="s">
        <v>1571</v>
      </c>
      <c r="D2443" s="6">
        <v>116.18</v>
      </c>
      <c r="E2443" s="1">
        <v>4</v>
      </c>
      <c r="F2443" s="7" t="str">
        <f>IF(A2443=IFERROR(VLOOKUP(A2443,CATALOGO!$B$2:$B$600,1,FALSE),"Falta"),"", "Falta")</f>
        <v>Falta</v>
      </c>
    </row>
    <row r="2444" spans="1:6" x14ac:dyDescent="0.25">
      <c r="A2444" s="11" t="str">
        <f t="shared" si="38"/>
        <v/>
      </c>
      <c r="B2444" s="6" t="s">
        <v>1859</v>
      </c>
      <c r="C2444" s="6" t="s">
        <v>1859</v>
      </c>
      <c r="D2444" s="6">
        <v>0</v>
      </c>
      <c r="E2444" s="1">
        <v>0</v>
      </c>
      <c r="F2444" s="7" t="str">
        <f>IF(A2444=IFERROR(VLOOKUP(A2444,CATALOGO!$B$2:$B$600,1,FALSE),"Falta"),"", "Falta")</f>
        <v>Falta</v>
      </c>
    </row>
    <row r="2445" spans="1:6" x14ac:dyDescent="0.25">
      <c r="A2445" s="11">
        <f t="shared" si="38"/>
        <v>7707525</v>
      </c>
      <c r="B2445" s="6">
        <v>7707525</v>
      </c>
      <c r="C2445" s="6" t="s">
        <v>2248</v>
      </c>
      <c r="D2445" s="6">
        <v>0</v>
      </c>
      <c r="E2445" s="1">
        <v>0</v>
      </c>
      <c r="F2445" s="7" t="str">
        <f>IF(A2445=IFERROR(VLOOKUP(A2445,CATALOGO!$B$2:$B$600,1,FALSE),"Falta"),"", "Falta")</f>
        <v>Falta</v>
      </c>
    </row>
    <row r="2446" spans="1:6" x14ac:dyDescent="0.25">
      <c r="A2446" s="11" t="str">
        <f t="shared" si="38"/>
        <v/>
      </c>
      <c r="B2446" s="6" t="s">
        <v>1859</v>
      </c>
      <c r="C2446" s="6" t="s">
        <v>1859</v>
      </c>
      <c r="D2446" s="6">
        <v>0</v>
      </c>
      <c r="E2446" s="1">
        <v>0</v>
      </c>
      <c r="F2446" s="7" t="str">
        <f>IF(A2446=IFERROR(VLOOKUP(A2446,CATALOGO!$B$2:$B$600,1,FALSE),"Falta"),"", "Falta")</f>
        <v>Falta</v>
      </c>
    </row>
    <row r="2447" spans="1:6" x14ac:dyDescent="0.25">
      <c r="A2447" s="11">
        <f t="shared" si="38"/>
        <v>7707526</v>
      </c>
      <c r="B2447" s="6">
        <v>7707526</v>
      </c>
      <c r="C2447" s="6" t="s">
        <v>2249</v>
      </c>
      <c r="D2447" s="6">
        <v>0</v>
      </c>
      <c r="E2447" s="1">
        <v>0</v>
      </c>
      <c r="F2447" s="7" t="str">
        <f>IF(A2447=IFERROR(VLOOKUP(A2447,CATALOGO!$B$2:$B$600,1,FALSE),"Falta"),"", "Falta")</f>
        <v>Falta</v>
      </c>
    </row>
    <row r="2448" spans="1:6" x14ac:dyDescent="0.25">
      <c r="A2448" s="11">
        <f t="shared" si="38"/>
        <v>7707528</v>
      </c>
      <c r="B2448" s="6">
        <v>7707528</v>
      </c>
      <c r="C2448" s="6" t="s">
        <v>923</v>
      </c>
      <c r="D2448" s="6">
        <v>169.39</v>
      </c>
      <c r="E2448" s="1">
        <v>40</v>
      </c>
      <c r="F2448" s="7" t="str">
        <f>IF(A2448=IFERROR(VLOOKUP(A2448,CATALOGO!$B$2:$B$600,1,FALSE),"Falta"),"", "Falta")</f>
        <v/>
      </c>
    </row>
    <row r="2449" spans="1:6" x14ac:dyDescent="0.25">
      <c r="A2449" s="11">
        <f t="shared" si="38"/>
        <v>7707529</v>
      </c>
      <c r="B2449" s="6">
        <v>7707529</v>
      </c>
      <c r="C2449" s="6" t="s">
        <v>900</v>
      </c>
      <c r="D2449" s="6">
        <v>565.67999999999995</v>
      </c>
      <c r="E2449" s="1">
        <v>0</v>
      </c>
      <c r="F2449" s="7" t="str">
        <f>IF(A2449=IFERROR(VLOOKUP(A2449,CATALOGO!$B$2:$B$600,1,FALSE),"Falta"),"", "Falta")</f>
        <v>Falta</v>
      </c>
    </row>
    <row r="2450" spans="1:6" x14ac:dyDescent="0.25">
      <c r="A2450" s="11">
        <f t="shared" si="38"/>
        <v>7707532</v>
      </c>
      <c r="B2450" s="6">
        <v>7707532</v>
      </c>
      <c r="C2450" s="6" t="s">
        <v>1572</v>
      </c>
      <c r="D2450" s="6">
        <v>480</v>
      </c>
      <c r="E2450" s="1">
        <v>98</v>
      </c>
      <c r="F2450" s="7" t="str">
        <f>IF(A2450=IFERROR(VLOOKUP(A2450,CATALOGO!$B$2:$B$600,1,FALSE),"Falta"),"", "Falta")</f>
        <v/>
      </c>
    </row>
    <row r="2451" spans="1:6" x14ac:dyDescent="0.25">
      <c r="A2451" s="11">
        <f t="shared" si="38"/>
        <v>7707533</v>
      </c>
      <c r="B2451" s="6">
        <v>7707533</v>
      </c>
      <c r="C2451" s="6" t="s">
        <v>2250</v>
      </c>
      <c r="D2451" s="6">
        <v>1147.97</v>
      </c>
      <c r="E2451" s="1">
        <v>0</v>
      </c>
      <c r="F2451" s="7" t="str">
        <f>IF(A2451=IFERROR(VLOOKUP(A2451,CATALOGO!$B$2:$B$600,1,FALSE),"Falta"),"", "Falta")</f>
        <v>Falta</v>
      </c>
    </row>
    <row r="2452" spans="1:6" x14ac:dyDescent="0.25">
      <c r="A2452" s="11" t="str">
        <f t="shared" si="38"/>
        <v/>
      </c>
      <c r="B2452" s="6" t="s">
        <v>1859</v>
      </c>
      <c r="C2452" s="6" t="s">
        <v>1859</v>
      </c>
      <c r="D2452" s="6">
        <v>0</v>
      </c>
      <c r="E2452" s="1">
        <v>0</v>
      </c>
      <c r="F2452" s="7" t="str">
        <f>IF(A2452=IFERROR(VLOOKUP(A2452,CATALOGO!$B$2:$B$600,1,FALSE),"Falta"),"", "Falta")</f>
        <v>Falta</v>
      </c>
    </row>
    <row r="2453" spans="1:6" x14ac:dyDescent="0.25">
      <c r="A2453" s="11">
        <f t="shared" si="38"/>
        <v>7707536</v>
      </c>
      <c r="B2453" s="6">
        <v>7707536</v>
      </c>
      <c r="C2453" s="6" t="s">
        <v>2251</v>
      </c>
      <c r="D2453" s="6">
        <v>0</v>
      </c>
      <c r="E2453" s="1">
        <v>0</v>
      </c>
      <c r="F2453" s="7" t="str">
        <f>IF(A2453=IFERROR(VLOOKUP(A2453,CATALOGO!$B$2:$B$600,1,FALSE),"Falta"),"", "Falta")</f>
        <v>Falta</v>
      </c>
    </row>
    <row r="2454" spans="1:6" x14ac:dyDescent="0.25">
      <c r="A2454" s="11">
        <f t="shared" si="38"/>
        <v>7707545</v>
      </c>
      <c r="B2454" s="6">
        <v>7707545</v>
      </c>
      <c r="C2454" s="6" t="s">
        <v>1573</v>
      </c>
      <c r="D2454" s="6">
        <v>153.05000000000001</v>
      </c>
      <c r="E2454" s="1">
        <v>0</v>
      </c>
      <c r="F2454" s="7" t="str">
        <f>IF(A2454=IFERROR(VLOOKUP(A2454,CATALOGO!$B$2:$B$600,1,FALSE),"Falta"),"", "Falta")</f>
        <v/>
      </c>
    </row>
    <row r="2455" spans="1:6" x14ac:dyDescent="0.25">
      <c r="A2455" s="11">
        <f t="shared" si="38"/>
        <v>7707547</v>
      </c>
      <c r="B2455" s="6">
        <v>7707547</v>
      </c>
      <c r="C2455" s="6" t="s">
        <v>925</v>
      </c>
      <c r="D2455" s="6">
        <v>99.86</v>
      </c>
      <c r="E2455" s="1">
        <v>32</v>
      </c>
      <c r="F2455" s="7" t="str">
        <f>IF(A2455=IFERROR(VLOOKUP(A2455,CATALOGO!$B$2:$B$600,1,FALSE),"Falta"),"", "Falta")</f>
        <v/>
      </c>
    </row>
    <row r="2456" spans="1:6" x14ac:dyDescent="0.25">
      <c r="A2456" s="11">
        <f t="shared" si="38"/>
        <v>7707550</v>
      </c>
      <c r="B2456" s="6">
        <v>7707550</v>
      </c>
      <c r="C2456" s="6" t="s">
        <v>913</v>
      </c>
      <c r="D2456" s="6">
        <v>535.71</v>
      </c>
      <c r="E2456" s="1">
        <v>2</v>
      </c>
      <c r="F2456" s="7" t="str">
        <f>IF(A2456=IFERROR(VLOOKUP(A2456,CATALOGO!$B$2:$B$600,1,FALSE),"Falta"),"", "Falta")</f>
        <v>Falta</v>
      </c>
    </row>
    <row r="2457" spans="1:6" x14ac:dyDescent="0.25">
      <c r="A2457" s="11">
        <f t="shared" si="38"/>
        <v>7707552</v>
      </c>
      <c r="B2457" s="6">
        <v>7707552</v>
      </c>
      <c r="C2457" s="6" t="s">
        <v>1842</v>
      </c>
      <c r="D2457" s="6">
        <v>109.99</v>
      </c>
      <c r="E2457" s="1">
        <v>0</v>
      </c>
      <c r="F2457" s="7" t="str">
        <f>IF(A2457=IFERROR(VLOOKUP(A2457,CATALOGO!$B$2:$B$600,1,FALSE),"Falta"),"", "Falta")</f>
        <v>Falta</v>
      </c>
    </row>
    <row r="2458" spans="1:6" x14ac:dyDescent="0.25">
      <c r="A2458" s="11">
        <f t="shared" si="38"/>
        <v>7707553</v>
      </c>
      <c r="B2458" s="6">
        <v>7707553</v>
      </c>
      <c r="C2458" s="6" t="s">
        <v>935</v>
      </c>
      <c r="D2458" s="6">
        <v>108.9</v>
      </c>
      <c r="E2458" s="1">
        <v>0</v>
      </c>
      <c r="F2458" s="7" t="str">
        <f>IF(A2458=IFERROR(VLOOKUP(A2458,CATALOGO!$B$2:$B$600,1,FALSE),"Falta"),"", "Falta")</f>
        <v>Falta</v>
      </c>
    </row>
    <row r="2459" spans="1:6" x14ac:dyDescent="0.25">
      <c r="A2459" s="11" t="str">
        <f t="shared" si="38"/>
        <v/>
      </c>
      <c r="B2459" s="6" t="s">
        <v>1859</v>
      </c>
      <c r="C2459" s="6" t="s">
        <v>1859</v>
      </c>
      <c r="D2459" s="6">
        <v>0</v>
      </c>
      <c r="E2459" s="1">
        <v>0</v>
      </c>
      <c r="F2459" s="7" t="str">
        <f>IF(A2459=IFERROR(VLOOKUP(A2459,CATALOGO!$B$2:$B$600,1,FALSE),"Falta"),"", "Falta")</f>
        <v>Falta</v>
      </c>
    </row>
    <row r="2460" spans="1:6" x14ac:dyDescent="0.25">
      <c r="A2460" s="11">
        <f t="shared" si="38"/>
        <v>7707555</v>
      </c>
      <c r="B2460" s="6">
        <v>7707555</v>
      </c>
      <c r="C2460" s="6" t="s">
        <v>2252</v>
      </c>
      <c r="D2460" s="6">
        <v>0</v>
      </c>
      <c r="E2460" s="1">
        <v>0</v>
      </c>
      <c r="F2460" s="7" t="str">
        <f>IF(A2460=IFERROR(VLOOKUP(A2460,CATALOGO!$B$2:$B$600,1,FALSE),"Falta"),"", "Falta")</f>
        <v>Falta</v>
      </c>
    </row>
    <row r="2461" spans="1:6" x14ac:dyDescent="0.25">
      <c r="A2461" s="11">
        <f t="shared" si="38"/>
        <v>7707556</v>
      </c>
      <c r="B2461" s="6">
        <v>7707556</v>
      </c>
      <c r="C2461" s="6" t="s">
        <v>932</v>
      </c>
      <c r="D2461" s="6">
        <v>84.99</v>
      </c>
      <c r="E2461" s="1">
        <v>111</v>
      </c>
      <c r="F2461" s="7" t="str">
        <f>IF(A2461=IFERROR(VLOOKUP(A2461,CATALOGO!$B$2:$B$600,1,FALSE),"Falta"),"", "Falta")</f>
        <v/>
      </c>
    </row>
    <row r="2462" spans="1:6" x14ac:dyDescent="0.25">
      <c r="A2462" s="11">
        <f t="shared" si="38"/>
        <v>7707557</v>
      </c>
      <c r="B2462" s="6">
        <v>7707557</v>
      </c>
      <c r="C2462" s="6" t="s">
        <v>1574</v>
      </c>
      <c r="D2462" s="6">
        <v>84.99</v>
      </c>
      <c r="E2462" s="1">
        <v>165</v>
      </c>
      <c r="F2462" s="7" t="str">
        <f>IF(A2462=IFERROR(VLOOKUP(A2462,CATALOGO!$B$2:$B$600,1,FALSE),"Falta"),"", "Falta")</f>
        <v/>
      </c>
    </row>
    <row r="2463" spans="1:6" x14ac:dyDescent="0.25">
      <c r="A2463" s="11">
        <f t="shared" si="38"/>
        <v>7707562</v>
      </c>
      <c r="B2463" s="6">
        <v>7707562</v>
      </c>
      <c r="C2463" s="6" t="s">
        <v>943</v>
      </c>
      <c r="D2463" s="6">
        <v>665.49</v>
      </c>
      <c r="E2463" s="1">
        <v>30</v>
      </c>
      <c r="F2463" s="7" t="str">
        <f>IF(A2463=IFERROR(VLOOKUP(A2463,CATALOGO!$B$2:$B$600,1,FALSE),"Falta"),"", "Falta")</f>
        <v>Falta</v>
      </c>
    </row>
    <row r="2464" spans="1:6" x14ac:dyDescent="0.25">
      <c r="A2464" s="11">
        <f t="shared" si="38"/>
        <v>7707563</v>
      </c>
      <c r="B2464" s="6">
        <v>7707563</v>
      </c>
      <c r="C2464" s="6" t="s">
        <v>905</v>
      </c>
      <c r="D2464" s="6">
        <v>143.12</v>
      </c>
      <c r="E2464" s="1">
        <v>19</v>
      </c>
      <c r="F2464" s="7" t="str">
        <f>IF(A2464=IFERROR(VLOOKUP(A2464,CATALOGO!$B$2:$B$600,1,FALSE),"Falta"),"", "Falta")</f>
        <v>Falta</v>
      </c>
    </row>
    <row r="2465" spans="1:6" x14ac:dyDescent="0.25">
      <c r="A2465" s="11">
        <f t="shared" si="38"/>
        <v>7707565</v>
      </c>
      <c r="B2465" s="6">
        <v>7707565</v>
      </c>
      <c r="C2465" s="6" t="s">
        <v>939</v>
      </c>
      <c r="D2465" s="6">
        <v>126.29</v>
      </c>
      <c r="E2465" s="1">
        <v>0</v>
      </c>
      <c r="F2465" s="7" t="str">
        <f>IF(A2465=IFERROR(VLOOKUP(A2465,CATALOGO!$B$2:$B$600,1,FALSE),"Falta"),"", "Falta")</f>
        <v>Falta</v>
      </c>
    </row>
    <row r="2466" spans="1:6" x14ac:dyDescent="0.25">
      <c r="A2466" s="11">
        <f t="shared" si="38"/>
        <v>7707566</v>
      </c>
      <c r="B2466" s="6">
        <v>7707566</v>
      </c>
      <c r="C2466" s="6" t="s">
        <v>940</v>
      </c>
      <c r="D2466" s="6">
        <v>181.49</v>
      </c>
      <c r="E2466" s="1">
        <v>10</v>
      </c>
      <c r="F2466" s="7" t="str">
        <f>IF(A2466=IFERROR(VLOOKUP(A2466,CATALOGO!$B$2:$B$600,1,FALSE),"Falta"),"", "Falta")</f>
        <v>Falta</v>
      </c>
    </row>
    <row r="2467" spans="1:6" x14ac:dyDescent="0.25">
      <c r="A2467" s="11">
        <f t="shared" si="38"/>
        <v>7707567</v>
      </c>
      <c r="B2467" s="6">
        <v>7707567</v>
      </c>
      <c r="C2467" s="6" t="s">
        <v>1575</v>
      </c>
      <c r="D2467" s="6">
        <v>350</v>
      </c>
      <c r="E2467" s="1">
        <v>0</v>
      </c>
      <c r="F2467" s="7" t="str">
        <f>IF(A2467=IFERROR(VLOOKUP(A2467,CATALOGO!$B$2:$B$600,1,FALSE),"Falta"),"", "Falta")</f>
        <v/>
      </c>
    </row>
    <row r="2468" spans="1:6" x14ac:dyDescent="0.25">
      <c r="A2468" s="11">
        <f t="shared" si="38"/>
        <v>7707568</v>
      </c>
      <c r="B2468" s="6">
        <v>7707568</v>
      </c>
      <c r="C2468" s="6" t="s">
        <v>1576</v>
      </c>
      <c r="D2468" s="6">
        <v>1650.43</v>
      </c>
      <c r="E2468" s="1">
        <v>6</v>
      </c>
      <c r="F2468" s="7" t="str">
        <f>IF(A2468=IFERROR(VLOOKUP(A2468,CATALOGO!$B$2:$B$600,1,FALSE),"Falta"),"", "Falta")</f>
        <v>Falta</v>
      </c>
    </row>
    <row r="2469" spans="1:6" x14ac:dyDescent="0.25">
      <c r="A2469" s="11">
        <f t="shared" si="38"/>
        <v>7707569</v>
      </c>
      <c r="B2469" s="6">
        <v>7707569</v>
      </c>
      <c r="C2469" s="6" t="s">
        <v>945</v>
      </c>
      <c r="D2469" s="6">
        <v>149.99</v>
      </c>
      <c r="E2469" s="1">
        <v>38</v>
      </c>
      <c r="F2469" s="7" t="str">
        <f>IF(A2469=IFERROR(VLOOKUP(A2469,CATALOGO!$B$2:$B$600,1,FALSE),"Falta"),"", "Falta")</f>
        <v>Falta</v>
      </c>
    </row>
    <row r="2470" spans="1:6" x14ac:dyDescent="0.25">
      <c r="A2470" s="11">
        <f t="shared" si="38"/>
        <v>7707570</v>
      </c>
      <c r="B2470" s="6">
        <v>7707570</v>
      </c>
      <c r="C2470" s="6" t="s">
        <v>904</v>
      </c>
      <c r="D2470" s="6">
        <v>145.19</v>
      </c>
      <c r="E2470" s="1">
        <v>49</v>
      </c>
      <c r="F2470" s="7" t="str">
        <f>IF(A2470=IFERROR(VLOOKUP(A2470,CATALOGO!$B$2:$B$600,1,FALSE),"Falta"),"", "Falta")</f>
        <v/>
      </c>
    </row>
    <row r="2471" spans="1:6" x14ac:dyDescent="0.25">
      <c r="A2471" s="11">
        <f t="shared" si="38"/>
        <v>7707571</v>
      </c>
      <c r="B2471" s="6">
        <v>7707571</v>
      </c>
      <c r="C2471" s="6" t="s">
        <v>927</v>
      </c>
      <c r="D2471" s="6">
        <v>160</v>
      </c>
      <c r="E2471" s="1">
        <v>18</v>
      </c>
      <c r="F2471" s="7" t="str">
        <f>IF(A2471=IFERROR(VLOOKUP(A2471,CATALOGO!$B$2:$B$600,1,FALSE),"Falta"),"", "Falta")</f>
        <v/>
      </c>
    </row>
    <row r="2472" spans="1:6" x14ac:dyDescent="0.25">
      <c r="A2472" s="11">
        <f t="shared" si="38"/>
        <v>7707572</v>
      </c>
      <c r="B2472" s="6">
        <v>7707572</v>
      </c>
      <c r="C2472" s="6" t="s">
        <v>941</v>
      </c>
      <c r="D2472" s="6">
        <v>133.09</v>
      </c>
      <c r="E2472" s="1">
        <v>0</v>
      </c>
      <c r="F2472" s="7" t="str">
        <f>IF(A2472=IFERROR(VLOOKUP(A2472,CATALOGO!$B$2:$B$600,1,FALSE),"Falta"),"", "Falta")</f>
        <v>Falta</v>
      </c>
    </row>
    <row r="2473" spans="1:6" x14ac:dyDescent="0.25">
      <c r="A2473" s="11">
        <f t="shared" si="38"/>
        <v>7707582</v>
      </c>
      <c r="B2473" s="6">
        <v>7707582</v>
      </c>
      <c r="C2473" s="6" t="s">
        <v>917</v>
      </c>
      <c r="D2473" s="6">
        <v>119.87</v>
      </c>
      <c r="E2473" s="1">
        <v>63</v>
      </c>
      <c r="F2473" s="7" t="str">
        <f>IF(A2473=IFERROR(VLOOKUP(A2473,CATALOGO!$B$2:$B$600,1,FALSE),"Falta"),"", "Falta")</f>
        <v>Falta</v>
      </c>
    </row>
    <row r="2474" spans="1:6" x14ac:dyDescent="0.25">
      <c r="A2474" s="11" t="str">
        <f t="shared" si="38"/>
        <v/>
      </c>
      <c r="B2474" s="6" t="s">
        <v>1859</v>
      </c>
      <c r="C2474" s="6" t="s">
        <v>1859</v>
      </c>
      <c r="D2474" s="6">
        <v>0</v>
      </c>
      <c r="E2474" s="1">
        <v>0</v>
      </c>
      <c r="F2474" s="7" t="str">
        <f>IF(A2474=IFERROR(VLOOKUP(A2474,CATALOGO!$B$2:$B$600,1,FALSE),"Falta"),"", "Falta")</f>
        <v>Falta</v>
      </c>
    </row>
    <row r="2475" spans="1:6" x14ac:dyDescent="0.25">
      <c r="A2475" s="11">
        <f t="shared" si="38"/>
        <v>7707583</v>
      </c>
      <c r="B2475" s="6">
        <v>7707583</v>
      </c>
      <c r="C2475" s="6" t="s">
        <v>2253</v>
      </c>
      <c r="D2475" s="6">
        <v>0</v>
      </c>
      <c r="E2475" s="1">
        <v>0</v>
      </c>
      <c r="F2475" s="7" t="str">
        <f>IF(A2475=IFERROR(VLOOKUP(A2475,CATALOGO!$B$2:$B$600,1,FALSE),"Falta"),"", "Falta")</f>
        <v>Falta</v>
      </c>
    </row>
    <row r="2476" spans="1:6" x14ac:dyDescent="0.25">
      <c r="A2476" s="11" t="str">
        <f t="shared" si="38"/>
        <v/>
      </c>
      <c r="B2476" s="6" t="s">
        <v>1859</v>
      </c>
      <c r="C2476" s="6" t="s">
        <v>1859</v>
      </c>
      <c r="D2476" s="6">
        <v>0</v>
      </c>
      <c r="E2476" s="1">
        <v>0</v>
      </c>
      <c r="F2476" s="7" t="str">
        <f>IF(A2476=IFERROR(VLOOKUP(A2476,CATALOGO!$B$2:$B$600,1,FALSE),"Falta"),"", "Falta")</f>
        <v>Falta</v>
      </c>
    </row>
    <row r="2477" spans="1:6" x14ac:dyDescent="0.25">
      <c r="A2477" s="11">
        <f t="shared" si="38"/>
        <v>7707584</v>
      </c>
      <c r="B2477" s="6">
        <v>7707584</v>
      </c>
      <c r="C2477" s="6" t="s">
        <v>2254</v>
      </c>
      <c r="D2477" s="6">
        <v>0</v>
      </c>
      <c r="E2477" s="1">
        <v>0</v>
      </c>
      <c r="F2477" s="7" t="str">
        <f>IF(A2477=IFERROR(VLOOKUP(A2477,CATALOGO!$B$2:$B$600,1,FALSE),"Falta"),"", "Falta")</f>
        <v>Falta</v>
      </c>
    </row>
    <row r="2478" spans="1:6" x14ac:dyDescent="0.25">
      <c r="A2478" s="11">
        <f t="shared" si="38"/>
        <v>7707586</v>
      </c>
      <c r="B2478" s="6">
        <v>7707586</v>
      </c>
      <c r="C2478" s="6" t="s">
        <v>1577</v>
      </c>
      <c r="D2478" s="6">
        <v>137.74</v>
      </c>
      <c r="E2478" s="1">
        <v>50</v>
      </c>
      <c r="F2478" s="7" t="str">
        <f>IF(A2478=IFERROR(VLOOKUP(A2478,CATALOGO!$B$2:$B$600,1,FALSE),"Falta"),"", "Falta")</f>
        <v/>
      </c>
    </row>
    <row r="2479" spans="1:6" x14ac:dyDescent="0.25">
      <c r="A2479" s="11" t="str">
        <f t="shared" si="38"/>
        <v/>
      </c>
      <c r="B2479" s="6" t="s">
        <v>1859</v>
      </c>
      <c r="C2479" s="6" t="s">
        <v>1859</v>
      </c>
      <c r="D2479" s="6">
        <v>0</v>
      </c>
      <c r="E2479" s="1">
        <v>0</v>
      </c>
      <c r="F2479" s="7" t="str">
        <f>IF(A2479=IFERROR(VLOOKUP(A2479,CATALOGO!$B$2:$B$600,1,FALSE),"Falta"),"", "Falta")</f>
        <v>Falta</v>
      </c>
    </row>
    <row r="2480" spans="1:6" x14ac:dyDescent="0.25">
      <c r="A2480" s="11">
        <f t="shared" si="38"/>
        <v>7707650</v>
      </c>
      <c r="B2480" s="6">
        <v>7707650</v>
      </c>
      <c r="C2480" s="6" t="s">
        <v>2255</v>
      </c>
      <c r="D2480" s="6">
        <v>0</v>
      </c>
      <c r="E2480" s="1">
        <v>0</v>
      </c>
      <c r="F2480" s="7" t="str">
        <f>IF(A2480=IFERROR(VLOOKUP(A2480,CATALOGO!$B$2:$B$600,1,FALSE),"Falta"),"", "Falta")</f>
        <v>Falta</v>
      </c>
    </row>
    <row r="2481" spans="1:6" x14ac:dyDescent="0.25">
      <c r="A2481" s="11">
        <f t="shared" si="38"/>
        <v>7707670</v>
      </c>
      <c r="B2481" s="6">
        <v>7707670</v>
      </c>
      <c r="C2481" s="6" t="s">
        <v>1578</v>
      </c>
      <c r="D2481" s="6">
        <v>350</v>
      </c>
      <c r="E2481" s="1">
        <v>0</v>
      </c>
      <c r="F2481" s="7" t="str">
        <f>IF(A2481=IFERROR(VLOOKUP(A2481,CATALOGO!$B$2:$B$600,1,FALSE),"Falta"),"", "Falta")</f>
        <v>Falta</v>
      </c>
    </row>
    <row r="2482" spans="1:6" x14ac:dyDescent="0.25">
      <c r="A2482" s="11" t="str">
        <f t="shared" si="38"/>
        <v/>
      </c>
      <c r="B2482" s="6" t="s">
        <v>1859</v>
      </c>
      <c r="C2482" s="6" t="s">
        <v>1859</v>
      </c>
      <c r="D2482" s="6">
        <v>0</v>
      </c>
      <c r="E2482" s="1">
        <v>0</v>
      </c>
      <c r="F2482" s="7" t="str">
        <f>IF(A2482=IFERROR(VLOOKUP(A2482,CATALOGO!$B$2:$B$600,1,FALSE),"Falta"),"", "Falta")</f>
        <v>Falta</v>
      </c>
    </row>
    <row r="2483" spans="1:6" x14ac:dyDescent="0.25">
      <c r="A2483" s="11">
        <f t="shared" si="38"/>
        <v>7707671</v>
      </c>
      <c r="B2483" s="6">
        <v>7707671</v>
      </c>
      <c r="C2483" s="6" t="s">
        <v>2256</v>
      </c>
      <c r="D2483" s="6">
        <v>0</v>
      </c>
      <c r="E2483" s="1">
        <v>0</v>
      </c>
      <c r="F2483" s="7" t="str">
        <f>IF(A2483=IFERROR(VLOOKUP(A2483,CATALOGO!$B$2:$B$600,1,FALSE),"Falta"),"", "Falta")</f>
        <v>Falta</v>
      </c>
    </row>
    <row r="2484" spans="1:6" x14ac:dyDescent="0.25">
      <c r="A2484" s="11" t="str">
        <f t="shared" si="38"/>
        <v/>
      </c>
      <c r="B2484" s="6" t="s">
        <v>1859</v>
      </c>
      <c r="C2484" s="6" t="s">
        <v>1859</v>
      </c>
      <c r="D2484" s="6">
        <v>0</v>
      </c>
      <c r="E2484" s="1">
        <v>0</v>
      </c>
      <c r="F2484" s="7" t="str">
        <f>IF(A2484=IFERROR(VLOOKUP(A2484,CATALOGO!$B$2:$B$600,1,FALSE),"Falta"),"", "Falta")</f>
        <v>Falta</v>
      </c>
    </row>
    <row r="2485" spans="1:6" x14ac:dyDescent="0.25">
      <c r="A2485" s="11">
        <f t="shared" si="38"/>
        <v>7707672</v>
      </c>
      <c r="B2485" s="6">
        <v>7707672</v>
      </c>
      <c r="C2485" s="6" t="s">
        <v>2257</v>
      </c>
      <c r="D2485" s="6">
        <v>0</v>
      </c>
      <c r="E2485" s="1">
        <v>0</v>
      </c>
      <c r="F2485" s="7" t="str">
        <f>IF(A2485=IFERROR(VLOOKUP(A2485,CATALOGO!$B$2:$B$600,1,FALSE),"Falta"),"", "Falta")</f>
        <v>Falta</v>
      </c>
    </row>
    <row r="2486" spans="1:6" x14ac:dyDescent="0.25">
      <c r="A2486" s="11" t="str">
        <f t="shared" si="38"/>
        <v/>
      </c>
      <c r="B2486" s="6" t="s">
        <v>1859</v>
      </c>
      <c r="C2486" s="6" t="s">
        <v>1859</v>
      </c>
      <c r="D2486" s="6">
        <v>0</v>
      </c>
      <c r="E2486" s="1">
        <v>0</v>
      </c>
      <c r="F2486" s="7" t="str">
        <f>IF(A2486=IFERROR(VLOOKUP(A2486,CATALOGO!$B$2:$B$600,1,FALSE),"Falta"),"", "Falta")</f>
        <v>Falta</v>
      </c>
    </row>
    <row r="2487" spans="1:6" x14ac:dyDescent="0.25">
      <c r="A2487" s="11">
        <f t="shared" si="38"/>
        <v>7707701</v>
      </c>
      <c r="B2487" s="6">
        <v>7707701</v>
      </c>
      <c r="C2487" s="6" t="s">
        <v>2258</v>
      </c>
      <c r="D2487" s="6">
        <v>0</v>
      </c>
      <c r="E2487" s="1">
        <v>0</v>
      </c>
      <c r="F2487" s="7" t="str">
        <f>IF(A2487=IFERROR(VLOOKUP(A2487,CATALOGO!$B$2:$B$600,1,FALSE),"Falta"),"", "Falta")</f>
        <v>Falta</v>
      </c>
    </row>
    <row r="2488" spans="1:6" x14ac:dyDescent="0.25">
      <c r="A2488" s="11">
        <f t="shared" si="38"/>
        <v>7707702</v>
      </c>
      <c r="B2488" s="6">
        <v>7707702</v>
      </c>
      <c r="C2488" s="6" t="s">
        <v>919</v>
      </c>
      <c r="D2488" s="6">
        <v>159.81</v>
      </c>
      <c r="E2488" s="1">
        <v>0</v>
      </c>
      <c r="F2488" s="7" t="str">
        <f>IF(A2488=IFERROR(VLOOKUP(A2488,CATALOGO!$B$2:$B$600,1,FALSE),"Falta"),"", "Falta")</f>
        <v>Falta</v>
      </c>
    </row>
    <row r="2489" spans="1:6" x14ac:dyDescent="0.25">
      <c r="A2489" s="11">
        <f t="shared" si="38"/>
        <v>7707710</v>
      </c>
      <c r="B2489" s="6">
        <v>7707710</v>
      </c>
      <c r="C2489" s="6" t="s">
        <v>936</v>
      </c>
      <c r="D2489" s="6">
        <v>219.99</v>
      </c>
      <c r="E2489" s="1">
        <v>41</v>
      </c>
      <c r="F2489" s="7" t="str">
        <f>IF(A2489=IFERROR(VLOOKUP(A2489,CATALOGO!$B$2:$B$600,1,FALSE),"Falta"),"", "Falta")</f>
        <v/>
      </c>
    </row>
    <row r="2490" spans="1:6" x14ac:dyDescent="0.25">
      <c r="A2490" s="11" t="str">
        <f t="shared" si="38"/>
        <v/>
      </c>
      <c r="B2490" s="6" t="s">
        <v>1859</v>
      </c>
      <c r="C2490" s="6" t="s">
        <v>1859</v>
      </c>
      <c r="D2490" s="6">
        <v>0</v>
      </c>
      <c r="E2490" s="1">
        <v>0</v>
      </c>
      <c r="F2490" s="7" t="str">
        <f>IF(A2490=IFERROR(VLOOKUP(A2490,CATALOGO!$B$2:$B$600,1,FALSE),"Falta"),"", "Falta")</f>
        <v>Falta</v>
      </c>
    </row>
    <row r="2491" spans="1:6" x14ac:dyDescent="0.25">
      <c r="A2491" s="11">
        <f t="shared" si="38"/>
        <v>7707711</v>
      </c>
      <c r="B2491" s="6">
        <v>7707711</v>
      </c>
      <c r="C2491" s="6" t="s">
        <v>2259</v>
      </c>
      <c r="D2491" s="6">
        <v>0</v>
      </c>
      <c r="E2491" s="1">
        <v>0</v>
      </c>
      <c r="F2491" s="7" t="str">
        <f>IF(A2491=IFERROR(VLOOKUP(A2491,CATALOGO!$B$2:$B$600,1,FALSE),"Falta"),"", "Falta")</f>
        <v>Falta</v>
      </c>
    </row>
    <row r="2492" spans="1:6" x14ac:dyDescent="0.25">
      <c r="A2492" s="11">
        <f t="shared" si="38"/>
        <v>7707712</v>
      </c>
      <c r="B2492" s="6">
        <v>7707712</v>
      </c>
      <c r="C2492" s="6" t="s">
        <v>906</v>
      </c>
      <c r="D2492" s="6">
        <v>120.99</v>
      </c>
      <c r="E2492" s="1">
        <v>55</v>
      </c>
      <c r="F2492" s="7" t="str">
        <f>IF(A2492=IFERROR(VLOOKUP(A2492,CATALOGO!$B$2:$B$600,1,FALSE),"Falta"),"", "Falta")</f>
        <v/>
      </c>
    </row>
    <row r="2493" spans="1:6" x14ac:dyDescent="0.25">
      <c r="A2493" s="11" t="str">
        <f t="shared" si="38"/>
        <v/>
      </c>
      <c r="B2493" s="6" t="s">
        <v>1859</v>
      </c>
      <c r="C2493" s="6" t="s">
        <v>1859</v>
      </c>
      <c r="D2493" s="6">
        <v>0</v>
      </c>
      <c r="E2493" s="1">
        <v>0</v>
      </c>
      <c r="F2493" s="7" t="str">
        <f>IF(A2493=IFERROR(VLOOKUP(A2493,CATALOGO!$B$2:$B$600,1,FALSE),"Falta"),"", "Falta")</f>
        <v>Falta</v>
      </c>
    </row>
    <row r="2494" spans="1:6" x14ac:dyDescent="0.25">
      <c r="A2494" s="11">
        <f t="shared" si="38"/>
        <v>7707713</v>
      </c>
      <c r="B2494" s="6">
        <v>7707713</v>
      </c>
      <c r="C2494" s="6" t="s">
        <v>2260</v>
      </c>
      <c r="D2494" s="6">
        <v>0</v>
      </c>
      <c r="E2494" s="1">
        <v>0</v>
      </c>
      <c r="F2494" s="7" t="str">
        <f>IF(A2494=IFERROR(VLOOKUP(A2494,CATALOGO!$B$2:$B$600,1,FALSE),"Falta"),"", "Falta")</f>
        <v>Falta</v>
      </c>
    </row>
    <row r="2495" spans="1:6" x14ac:dyDescent="0.25">
      <c r="A2495" s="11">
        <f t="shared" si="38"/>
        <v>7707714</v>
      </c>
      <c r="B2495" s="6">
        <v>7707714</v>
      </c>
      <c r="C2495" s="6" t="s">
        <v>933</v>
      </c>
      <c r="D2495" s="6">
        <v>99.99</v>
      </c>
      <c r="E2495" s="1">
        <v>77</v>
      </c>
      <c r="F2495" s="7" t="str">
        <f>IF(A2495=IFERROR(VLOOKUP(A2495,CATALOGO!$B$2:$B$600,1,FALSE),"Falta"),"", "Falta")</f>
        <v/>
      </c>
    </row>
    <row r="2496" spans="1:6" x14ac:dyDescent="0.25">
      <c r="A2496" s="11" t="str">
        <f t="shared" si="38"/>
        <v/>
      </c>
      <c r="B2496" s="6" t="s">
        <v>1859</v>
      </c>
      <c r="C2496" s="6" t="s">
        <v>1859</v>
      </c>
      <c r="D2496" s="6">
        <v>0</v>
      </c>
      <c r="E2496" s="1">
        <v>0</v>
      </c>
      <c r="F2496" s="7" t="str">
        <f>IF(A2496=IFERROR(VLOOKUP(A2496,CATALOGO!$B$2:$B$600,1,FALSE),"Falta"),"", "Falta")</f>
        <v>Falta</v>
      </c>
    </row>
    <row r="2497" spans="1:6" x14ac:dyDescent="0.25">
      <c r="A2497" s="11">
        <f t="shared" si="38"/>
        <v>7707716</v>
      </c>
      <c r="B2497" s="6">
        <v>7707716</v>
      </c>
      <c r="C2497" s="6" t="s">
        <v>2261</v>
      </c>
      <c r="D2497" s="6">
        <v>0</v>
      </c>
      <c r="E2497" s="1">
        <v>0</v>
      </c>
      <c r="F2497" s="7" t="str">
        <f>IF(A2497=IFERROR(VLOOKUP(A2497,CATALOGO!$B$2:$B$600,1,FALSE),"Falta"),"", "Falta")</f>
        <v>Falta</v>
      </c>
    </row>
    <row r="2498" spans="1:6" x14ac:dyDescent="0.25">
      <c r="A2498" s="11" t="str">
        <f t="shared" si="38"/>
        <v/>
      </c>
      <c r="B2498" s="6" t="s">
        <v>1859</v>
      </c>
      <c r="C2498" s="6" t="s">
        <v>1859</v>
      </c>
      <c r="D2498" s="6">
        <v>0</v>
      </c>
      <c r="E2498" s="1">
        <v>0</v>
      </c>
      <c r="F2498" s="7" t="str">
        <f>IF(A2498=IFERROR(VLOOKUP(A2498,CATALOGO!$B$2:$B$600,1,FALSE),"Falta"),"", "Falta")</f>
        <v>Falta</v>
      </c>
    </row>
    <row r="2499" spans="1:6" x14ac:dyDescent="0.25">
      <c r="A2499" s="11">
        <f t="shared" si="38"/>
        <v>7707722</v>
      </c>
      <c r="B2499" s="6">
        <v>7707722</v>
      </c>
      <c r="C2499" s="6" t="s">
        <v>2262</v>
      </c>
      <c r="D2499" s="6">
        <v>0</v>
      </c>
      <c r="E2499" s="1">
        <v>0</v>
      </c>
      <c r="F2499" s="7" t="str">
        <f>IF(A2499=IFERROR(VLOOKUP(A2499,CATALOGO!$B$2:$B$600,1,FALSE),"Falta"),"", "Falta")</f>
        <v>Falta</v>
      </c>
    </row>
    <row r="2500" spans="1:6" x14ac:dyDescent="0.25">
      <c r="A2500" s="11" t="str">
        <f t="shared" si="38"/>
        <v/>
      </c>
      <c r="B2500" s="6" t="s">
        <v>1859</v>
      </c>
      <c r="C2500" s="6" t="s">
        <v>1859</v>
      </c>
      <c r="D2500" s="6">
        <v>0</v>
      </c>
      <c r="E2500" s="1">
        <v>0</v>
      </c>
      <c r="F2500" s="7" t="str">
        <f>IF(A2500=IFERROR(VLOOKUP(A2500,CATALOGO!$B$2:$B$600,1,FALSE),"Falta"),"", "Falta")</f>
        <v>Falta</v>
      </c>
    </row>
    <row r="2501" spans="1:6" x14ac:dyDescent="0.25">
      <c r="A2501" s="11">
        <f t="shared" si="38"/>
        <v>7707756</v>
      </c>
      <c r="B2501" s="6">
        <v>7707756</v>
      </c>
      <c r="C2501" s="6" t="s">
        <v>2263</v>
      </c>
      <c r="D2501" s="6">
        <v>0</v>
      </c>
      <c r="E2501" s="1">
        <v>0</v>
      </c>
      <c r="F2501" s="7" t="str">
        <f>IF(A2501=IFERROR(VLOOKUP(A2501,CATALOGO!$B$2:$B$600,1,FALSE),"Falta"),"", "Falta")</f>
        <v>Falta</v>
      </c>
    </row>
    <row r="2502" spans="1:6" x14ac:dyDescent="0.25">
      <c r="A2502" s="11" t="str">
        <f t="shared" ref="A2502:A2565" si="39">IFERROR(B2502*1,"")</f>
        <v/>
      </c>
      <c r="B2502" s="6" t="s">
        <v>1859</v>
      </c>
      <c r="C2502" s="6" t="s">
        <v>1859</v>
      </c>
      <c r="D2502" s="6">
        <v>0</v>
      </c>
      <c r="E2502" s="1">
        <v>0</v>
      </c>
      <c r="F2502" s="7" t="str">
        <f>IF(A2502=IFERROR(VLOOKUP(A2502,CATALOGO!$B$2:$B$600,1,FALSE),"Falta"),"", "Falta")</f>
        <v>Falta</v>
      </c>
    </row>
    <row r="2503" spans="1:6" x14ac:dyDescent="0.25">
      <c r="A2503" s="11">
        <f t="shared" si="39"/>
        <v>7707757</v>
      </c>
      <c r="B2503" s="6">
        <v>7707757</v>
      </c>
      <c r="C2503" s="6" t="s">
        <v>2264</v>
      </c>
      <c r="D2503" s="6">
        <v>0</v>
      </c>
      <c r="E2503" s="1">
        <v>0</v>
      </c>
      <c r="F2503" s="7" t="str">
        <f>IF(A2503=IFERROR(VLOOKUP(A2503,CATALOGO!$B$2:$B$600,1,FALSE),"Falta"),"", "Falta")</f>
        <v>Falta</v>
      </c>
    </row>
    <row r="2504" spans="1:6" x14ac:dyDescent="0.25">
      <c r="A2504" s="11">
        <f t="shared" si="39"/>
        <v>7707758</v>
      </c>
      <c r="B2504" s="6">
        <v>7707758</v>
      </c>
      <c r="C2504" s="6" t="s">
        <v>1579</v>
      </c>
      <c r="D2504" s="6">
        <v>275.51</v>
      </c>
      <c r="E2504" s="1">
        <v>0</v>
      </c>
      <c r="F2504" s="7" t="str">
        <f>IF(A2504=IFERROR(VLOOKUP(A2504,CATALOGO!$B$2:$B$600,1,FALSE),"Falta"),"", "Falta")</f>
        <v>Falta</v>
      </c>
    </row>
    <row r="2505" spans="1:6" x14ac:dyDescent="0.25">
      <c r="A2505" s="11">
        <f t="shared" si="39"/>
        <v>7707784</v>
      </c>
      <c r="B2505" s="6">
        <v>7707784</v>
      </c>
      <c r="C2505" s="6" t="s">
        <v>885</v>
      </c>
      <c r="D2505" s="6">
        <v>260.19</v>
      </c>
      <c r="E2505" s="1">
        <v>0</v>
      </c>
      <c r="F2505" s="7" t="str">
        <f>IF(A2505=IFERROR(VLOOKUP(A2505,CATALOGO!$B$2:$B$600,1,FALSE),"Falta"),"", "Falta")</f>
        <v>Falta</v>
      </c>
    </row>
    <row r="2506" spans="1:6" x14ac:dyDescent="0.25">
      <c r="A2506" s="11" t="str">
        <f t="shared" si="39"/>
        <v/>
      </c>
      <c r="B2506" s="6" t="s">
        <v>1859</v>
      </c>
      <c r="C2506" s="6" t="s">
        <v>1859</v>
      </c>
      <c r="D2506" s="6">
        <v>0</v>
      </c>
      <c r="E2506" s="1">
        <v>0</v>
      </c>
      <c r="F2506" s="7" t="str">
        <f>IF(A2506=IFERROR(VLOOKUP(A2506,CATALOGO!$B$2:$B$600,1,FALSE),"Falta"),"", "Falta")</f>
        <v>Falta</v>
      </c>
    </row>
    <row r="2507" spans="1:6" x14ac:dyDescent="0.25">
      <c r="A2507" s="11">
        <f t="shared" si="39"/>
        <v>7707831</v>
      </c>
      <c r="B2507" s="6">
        <v>7707831</v>
      </c>
      <c r="C2507" s="6" t="s">
        <v>2265</v>
      </c>
      <c r="D2507" s="6">
        <v>0</v>
      </c>
      <c r="E2507" s="1">
        <v>0</v>
      </c>
      <c r="F2507" s="7" t="str">
        <f>IF(A2507=IFERROR(VLOOKUP(A2507,CATALOGO!$B$2:$B$600,1,FALSE),"Falta"),"", "Falta")</f>
        <v>Falta</v>
      </c>
    </row>
    <row r="2508" spans="1:6" x14ac:dyDescent="0.25">
      <c r="A2508" s="11" t="str">
        <f t="shared" si="39"/>
        <v/>
      </c>
      <c r="B2508" s="6" t="s">
        <v>1859</v>
      </c>
      <c r="C2508" s="6" t="s">
        <v>1859</v>
      </c>
      <c r="D2508" s="6">
        <v>0</v>
      </c>
      <c r="E2508" s="1">
        <v>0</v>
      </c>
      <c r="F2508" s="7" t="str">
        <f>IF(A2508=IFERROR(VLOOKUP(A2508,CATALOGO!$B$2:$B$600,1,FALSE),"Falta"),"", "Falta")</f>
        <v>Falta</v>
      </c>
    </row>
    <row r="2509" spans="1:6" x14ac:dyDescent="0.25">
      <c r="A2509" s="11">
        <f t="shared" si="39"/>
        <v>7707832</v>
      </c>
      <c r="B2509" s="6">
        <v>7707832</v>
      </c>
      <c r="C2509" s="6" t="s">
        <v>2266</v>
      </c>
      <c r="D2509" s="6">
        <v>0</v>
      </c>
      <c r="E2509" s="1">
        <v>0</v>
      </c>
      <c r="F2509" s="7" t="str">
        <f>IF(A2509=IFERROR(VLOOKUP(A2509,CATALOGO!$B$2:$B$600,1,FALSE),"Falta"),"", "Falta")</f>
        <v>Falta</v>
      </c>
    </row>
    <row r="2510" spans="1:6" x14ac:dyDescent="0.25">
      <c r="A2510" s="11">
        <f t="shared" si="39"/>
        <v>7707835</v>
      </c>
      <c r="B2510" s="6">
        <v>7707835</v>
      </c>
      <c r="C2510" s="6" t="s">
        <v>2267</v>
      </c>
      <c r="D2510" s="6">
        <v>0</v>
      </c>
      <c r="E2510" s="1">
        <v>1</v>
      </c>
      <c r="F2510" s="7" t="str">
        <f>IF(A2510=IFERROR(VLOOKUP(A2510,CATALOGO!$B$2:$B$600,1,FALSE),"Falta"),"", "Falta")</f>
        <v>Falta</v>
      </c>
    </row>
    <row r="2511" spans="1:6" x14ac:dyDescent="0.25">
      <c r="A2511" s="11" t="str">
        <f t="shared" si="39"/>
        <v/>
      </c>
      <c r="B2511" s="6" t="s">
        <v>1859</v>
      </c>
      <c r="C2511" s="6" t="s">
        <v>1859</v>
      </c>
      <c r="D2511" s="6">
        <v>0</v>
      </c>
      <c r="E2511" s="1">
        <v>0</v>
      </c>
      <c r="F2511" s="7" t="str">
        <f>IF(A2511=IFERROR(VLOOKUP(A2511,CATALOGO!$B$2:$B$600,1,FALSE),"Falta"),"", "Falta")</f>
        <v>Falta</v>
      </c>
    </row>
    <row r="2512" spans="1:6" x14ac:dyDescent="0.25">
      <c r="A2512" s="11">
        <f t="shared" si="39"/>
        <v>7707900</v>
      </c>
      <c r="B2512" s="6">
        <v>7707900</v>
      </c>
      <c r="C2512" s="6" t="s">
        <v>2268</v>
      </c>
      <c r="D2512" s="6">
        <v>0</v>
      </c>
      <c r="E2512" s="1">
        <v>0</v>
      </c>
      <c r="F2512" s="7" t="str">
        <f>IF(A2512=IFERROR(VLOOKUP(A2512,CATALOGO!$B$2:$B$600,1,FALSE),"Falta"),"", "Falta")</f>
        <v/>
      </c>
    </row>
    <row r="2513" spans="1:6" x14ac:dyDescent="0.25">
      <c r="A2513" s="11">
        <f t="shared" si="39"/>
        <v>7707922</v>
      </c>
      <c r="B2513" s="6">
        <v>7707922</v>
      </c>
      <c r="C2513" s="6" t="s">
        <v>1580</v>
      </c>
      <c r="D2513" s="6">
        <v>159.96</v>
      </c>
      <c r="E2513" s="1">
        <v>35</v>
      </c>
      <c r="F2513" s="7" t="str">
        <f>IF(A2513=IFERROR(VLOOKUP(A2513,CATALOGO!$B$2:$B$600,1,FALSE),"Falta"),"", "Falta")</f>
        <v/>
      </c>
    </row>
    <row r="2514" spans="1:6" x14ac:dyDescent="0.25">
      <c r="A2514" s="11">
        <f t="shared" si="39"/>
        <v>7707923</v>
      </c>
      <c r="B2514" s="6">
        <v>7707923</v>
      </c>
      <c r="C2514" s="6" t="s">
        <v>949</v>
      </c>
      <c r="D2514" s="6">
        <v>179.99</v>
      </c>
      <c r="E2514" s="1">
        <v>28</v>
      </c>
      <c r="F2514" s="7" t="str">
        <f>IF(A2514=IFERROR(VLOOKUP(A2514,CATALOGO!$B$2:$B$600,1,FALSE),"Falta"),"", "Falta")</f>
        <v/>
      </c>
    </row>
    <row r="2515" spans="1:6" x14ac:dyDescent="0.25">
      <c r="A2515" s="11">
        <f t="shared" si="39"/>
        <v>7707924</v>
      </c>
      <c r="B2515" s="6">
        <v>7707924</v>
      </c>
      <c r="C2515" s="6" t="s">
        <v>1581</v>
      </c>
      <c r="D2515" s="6">
        <v>78.27</v>
      </c>
      <c r="E2515" s="1">
        <v>3</v>
      </c>
      <c r="F2515" s="7" t="str">
        <f>IF(A2515=IFERROR(VLOOKUP(A2515,CATALOGO!$B$2:$B$600,1,FALSE),"Falta"),"", "Falta")</f>
        <v>Falta</v>
      </c>
    </row>
    <row r="2516" spans="1:6" x14ac:dyDescent="0.25">
      <c r="A2516" s="11" t="str">
        <f t="shared" si="39"/>
        <v/>
      </c>
      <c r="B2516" s="6" t="s">
        <v>1859</v>
      </c>
      <c r="C2516" s="6" t="s">
        <v>1859</v>
      </c>
      <c r="D2516" s="6">
        <v>0</v>
      </c>
      <c r="E2516" s="1">
        <v>0</v>
      </c>
      <c r="F2516" s="7" t="str">
        <f>IF(A2516=IFERROR(VLOOKUP(A2516,CATALOGO!$B$2:$B$600,1,FALSE),"Falta"),"", "Falta")</f>
        <v>Falta</v>
      </c>
    </row>
    <row r="2517" spans="1:6" x14ac:dyDescent="0.25">
      <c r="A2517" s="11">
        <f t="shared" si="39"/>
        <v>7707936</v>
      </c>
      <c r="B2517" s="6">
        <v>7707936</v>
      </c>
      <c r="C2517" s="6" t="s">
        <v>2269</v>
      </c>
      <c r="D2517" s="6">
        <v>0</v>
      </c>
      <c r="E2517" s="1">
        <v>0</v>
      </c>
      <c r="F2517" s="7" t="str">
        <f>IF(A2517=IFERROR(VLOOKUP(A2517,CATALOGO!$B$2:$B$600,1,FALSE),"Falta"),"", "Falta")</f>
        <v>Falta</v>
      </c>
    </row>
    <row r="2518" spans="1:6" x14ac:dyDescent="0.25">
      <c r="A2518" s="11">
        <f t="shared" si="39"/>
        <v>7707940</v>
      </c>
      <c r="B2518" s="6">
        <v>7707940</v>
      </c>
      <c r="C2518" s="6" t="s">
        <v>1582</v>
      </c>
      <c r="D2518" s="6">
        <v>306.12</v>
      </c>
      <c r="E2518" s="1">
        <v>0</v>
      </c>
      <c r="F2518" s="7" t="str">
        <f>IF(A2518=IFERROR(VLOOKUP(A2518,CATALOGO!$B$2:$B$600,1,FALSE),"Falta"),"", "Falta")</f>
        <v>Falta</v>
      </c>
    </row>
    <row r="2519" spans="1:6" x14ac:dyDescent="0.25">
      <c r="A2519" s="11">
        <f t="shared" si="39"/>
        <v>7707949</v>
      </c>
      <c r="B2519" s="6">
        <v>7707949</v>
      </c>
      <c r="C2519" s="6" t="s">
        <v>897</v>
      </c>
      <c r="D2519" s="6">
        <v>457.67</v>
      </c>
      <c r="E2519" s="1">
        <v>7</v>
      </c>
      <c r="F2519" s="7" t="str">
        <f>IF(A2519=IFERROR(VLOOKUP(A2519,CATALOGO!$B$2:$B$600,1,FALSE),"Falta"),"", "Falta")</f>
        <v>Falta</v>
      </c>
    </row>
    <row r="2520" spans="1:6" x14ac:dyDescent="0.25">
      <c r="A2520" s="11">
        <f t="shared" si="39"/>
        <v>7707950</v>
      </c>
      <c r="B2520" s="6">
        <v>7707950</v>
      </c>
      <c r="C2520" s="6" t="s">
        <v>899</v>
      </c>
      <c r="D2520" s="6">
        <v>587.62</v>
      </c>
      <c r="E2520" s="1">
        <v>35</v>
      </c>
      <c r="F2520" s="7" t="str">
        <f>IF(A2520=IFERROR(VLOOKUP(A2520,CATALOGO!$B$2:$B$600,1,FALSE),"Falta"),"", "Falta")</f>
        <v>Falta</v>
      </c>
    </row>
    <row r="2521" spans="1:6" x14ac:dyDescent="0.25">
      <c r="A2521" s="11">
        <f t="shared" si="39"/>
        <v>7707952</v>
      </c>
      <c r="B2521" s="6">
        <v>7707952</v>
      </c>
      <c r="C2521" s="6" t="s">
        <v>1583</v>
      </c>
      <c r="D2521" s="6">
        <v>604.99</v>
      </c>
      <c r="E2521" s="1">
        <v>6</v>
      </c>
      <c r="F2521" s="7" t="str">
        <f>IF(A2521=IFERROR(VLOOKUP(A2521,CATALOGO!$B$2:$B$600,1,FALSE),"Falta"),"", "Falta")</f>
        <v/>
      </c>
    </row>
    <row r="2522" spans="1:6" x14ac:dyDescent="0.25">
      <c r="A2522" s="11">
        <f t="shared" si="39"/>
        <v>7707953</v>
      </c>
      <c r="B2522" s="6">
        <v>7707953</v>
      </c>
      <c r="C2522" s="6" t="s">
        <v>1584</v>
      </c>
      <c r="D2522" s="6">
        <v>535.71</v>
      </c>
      <c r="E2522" s="1">
        <v>0</v>
      </c>
      <c r="F2522" s="7" t="str">
        <f>IF(A2522=IFERROR(VLOOKUP(A2522,CATALOGO!$B$2:$B$600,1,FALSE),"Falta"),"", "Falta")</f>
        <v>Falta</v>
      </c>
    </row>
    <row r="2523" spans="1:6" x14ac:dyDescent="0.25">
      <c r="A2523" s="11">
        <f t="shared" si="39"/>
        <v>7707980</v>
      </c>
      <c r="B2523" s="6">
        <v>7707980</v>
      </c>
      <c r="C2523" s="6" t="s">
        <v>903</v>
      </c>
      <c r="D2523" s="6">
        <v>149.86000000000001</v>
      </c>
      <c r="E2523" s="1">
        <v>0</v>
      </c>
      <c r="F2523" s="7" t="str">
        <f>IF(A2523=IFERROR(VLOOKUP(A2523,CATALOGO!$B$2:$B$600,1,FALSE),"Falta"),"", "Falta")</f>
        <v/>
      </c>
    </row>
    <row r="2524" spans="1:6" x14ac:dyDescent="0.25">
      <c r="A2524" s="11">
        <f t="shared" si="39"/>
        <v>7707987</v>
      </c>
      <c r="B2524" s="6">
        <v>7707987</v>
      </c>
      <c r="C2524" s="6" t="s">
        <v>918</v>
      </c>
      <c r="D2524" s="6">
        <v>145.32</v>
      </c>
      <c r="E2524" s="1">
        <v>5</v>
      </c>
      <c r="F2524" s="7" t="str">
        <f>IF(A2524=IFERROR(VLOOKUP(A2524,CATALOGO!$B$2:$B$600,1,FALSE),"Falta"),"", "Falta")</f>
        <v>Falta</v>
      </c>
    </row>
    <row r="2525" spans="1:6" x14ac:dyDescent="0.25">
      <c r="A2525" s="11" t="str">
        <f t="shared" si="39"/>
        <v/>
      </c>
      <c r="B2525" s="6" t="s">
        <v>1859</v>
      </c>
      <c r="C2525" s="6" t="s">
        <v>1859</v>
      </c>
      <c r="D2525" s="6">
        <v>0</v>
      </c>
      <c r="E2525" s="1">
        <v>0</v>
      </c>
      <c r="F2525" s="7" t="str">
        <f>IF(A2525=IFERROR(VLOOKUP(A2525,CATALOGO!$B$2:$B$600,1,FALSE),"Falta"),"", "Falta")</f>
        <v>Falta</v>
      </c>
    </row>
    <row r="2526" spans="1:6" x14ac:dyDescent="0.25">
      <c r="A2526" s="11">
        <f t="shared" si="39"/>
        <v>7707988</v>
      </c>
      <c r="B2526" s="6">
        <v>7707988</v>
      </c>
      <c r="C2526" s="6" t="s">
        <v>2270</v>
      </c>
      <c r="D2526" s="6">
        <v>0</v>
      </c>
      <c r="E2526" s="1">
        <v>0</v>
      </c>
      <c r="F2526" s="7" t="str">
        <f>IF(A2526=IFERROR(VLOOKUP(A2526,CATALOGO!$B$2:$B$600,1,FALSE),"Falta"),"", "Falta")</f>
        <v>Falta</v>
      </c>
    </row>
    <row r="2527" spans="1:6" x14ac:dyDescent="0.25">
      <c r="A2527" s="11">
        <f t="shared" si="39"/>
        <v>7707989</v>
      </c>
      <c r="B2527" s="6">
        <v>7707989</v>
      </c>
      <c r="C2527" s="6" t="s">
        <v>924</v>
      </c>
      <c r="D2527" s="6">
        <v>126.29</v>
      </c>
      <c r="E2527" s="1">
        <v>0</v>
      </c>
      <c r="F2527" s="7" t="str">
        <f>IF(A2527=IFERROR(VLOOKUP(A2527,CATALOGO!$B$2:$B$600,1,FALSE),"Falta"),"", "Falta")</f>
        <v>Falta</v>
      </c>
    </row>
    <row r="2528" spans="1:6" x14ac:dyDescent="0.25">
      <c r="A2528" s="11" t="str">
        <f t="shared" si="39"/>
        <v/>
      </c>
      <c r="B2528" s="6" t="s">
        <v>1859</v>
      </c>
      <c r="C2528" s="6" t="s">
        <v>1859</v>
      </c>
      <c r="D2528" s="6">
        <v>0</v>
      </c>
      <c r="E2528" s="1">
        <v>0</v>
      </c>
      <c r="F2528" s="7" t="str">
        <f>IF(A2528=IFERROR(VLOOKUP(A2528,CATALOGO!$B$2:$B$600,1,FALSE),"Falta"),"", "Falta")</f>
        <v>Falta</v>
      </c>
    </row>
    <row r="2529" spans="1:6" x14ac:dyDescent="0.25">
      <c r="A2529" s="11">
        <f t="shared" si="39"/>
        <v>7709000</v>
      </c>
      <c r="B2529" s="6">
        <v>7709000</v>
      </c>
      <c r="C2529" s="6" t="s">
        <v>2271</v>
      </c>
      <c r="D2529" s="6">
        <v>0</v>
      </c>
      <c r="E2529" s="1">
        <v>0</v>
      </c>
      <c r="F2529" s="7" t="str">
        <f>IF(A2529=IFERROR(VLOOKUP(A2529,CATALOGO!$B$2:$B$600,1,FALSE),"Falta"),"", "Falta")</f>
        <v>Falta</v>
      </c>
    </row>
    <row r="2530" spans="1:6" x14ac:dyDescent="0.25">
      <c r="A2530" s="11" t="str">
        <f t="shared" si="39"/>
        <v/>
      </c>
      <c r="B2530" s="6" t="s">
        <v>1859</v>
      </c>
      <c r="C2530" s="6" t="s">
        <v>1859</v>
      </c>
      <c r="D2530" s="6">
        <v>0</v>
      </c>
      <c r="E2530" s="1">
        <v>0</v>
      </c>
      <c r="F2530" s="7" t="str">
        <f>IF(A2530=IFERROR(VLOOKUP(A2530,CATALOGO!$B$2:$B$600,1,FALSE),"Falta"),"", "Falta")</f>
        <v>Falta</v>
      </c>
    </row>
    <row r="2531" spans="1:6" x14ac:dyDescent="0.25">
      <c r="A2531" s="11">
        <f t="shared" si="39"/>
        <v>7709001</v>
      </c>
      <c r="B2531" s="6">
        <v>7709001</v>
      </c>
      <c r="C2531" s="6" t="s">
        <v>2272</v>
      </c>
      <c r="D2531" s="6">
        <v>0</v>
      </c>
      <c r="E2531" s="1">
        <v>0</v>
      </c>
      <c r="F2531" s="7" t="str">
        <f>IF(A2531=IFERROR(VLOOKUP(A2531,CATALOGO!$B$2:$B$600,1,FALSE),"Falta"),"", "Falta")</f>
        <v>Falta</v>
      </c>
    </row>
    <row r="2532" spans="1:6" x14ac:dyDescent="0.25">
      <c r="A2532" s="11" t="str">
        <f t="shared" si="39"/>
        <v/>
      </c>
      <c r="B2532" s="6" t="s">
        <v>1859</v>
      </c>
      <c r="C2532" s="6" t="s">
        <v>1859</v>
      </c>
      <c r="D2532" s="6">
        <v>0</v>
      </c>
      <c r="E2532" s="1">
        <v>0</v>
      </c>
      <c r="F2532" s="7" t="str">
        <f>IF(A2532=IFERROR(VLOOKUP(A2532,CATALOGO!$B$2:$B$600,1,FALSE),"Falta"),"", "Falta")</f>
        <v>Falta</v>
      </c>
    </row>
    <row r="2533" spans="1:6" x14ac:dyDescent="0.25">
      <c r="A2533" s="11">
        <f t="shared" si="39"/>
        <v>7709002</v>
      </c>
      <c r="B2533" s="6">
        <v>7709002</v>
      </c>
      <c r="C2533" s="6" t="s">
        <v>2273</v>
      </c>
      <c r="D2533" s="6">
        <v>0</v>
      </c>
      <c r="E2533" s="1">
        <v>0</v>
      </c>
      <c r="F2533" s="7" t="str">
        <f>IF(A2533=IFERROR(VLOOKUP(A2533,CATALOGO!$B$2:$B$600,1,FALSE),"Falta"),"", "Falta")</f>
        <v>Falta</v>
      </c>
    </row>
    <row r="2534" spans="1:6" x14ac:dyDescent="0.25">
      <c r="A2534" s="11" t="str">
        <f t="shared" si="39"/>
        <v/>
      </c>
      <c r="B2534" s="6" t="s">
        <v>1859</v>
      </c>
      <c r="C2534" s="6" t="s">
        <v>1859</v>
      </c>
      <c r="D2534" s="6">
        <v>0</v>
      </c>
      <c r="E2534" s="1">
        <v>0</v>
      </c>
      <c r="F2534" s="7" t="str">
        <f>IF(A2534=IFERROR(VLOOKUP(A2534,CATALOGO!$B$2:$B$600,1,FALSE),"Falta"),"", "Falta")</f>
        <v>Falta</v>
      </c>
    </row>
    <row r="2535" spans="1:6" x14ac:dyDescent="0.25">
      <c r="A2535" s="11">
        <f t="shared" si="39"/>
        <v>7709003</v>
      </c>
      <c r="B2535" s="6">
        <v>7709003</v>
      </c>
      <c r="C2535" s="6" t="s">
        <v>2274</v>
      </c>
      <c r="D2535" s="6">
        <v>0</v>
      </c>
      <c r="E2535" s="1">
        <v>0</v>
      </c>
      <c r="F2535" s="7" t="str">
        <f>IF(A2535=IFERROR(VLOOKUP(A2535,CATALOGO!$B$2:$B$600,1,FALSE),"Falta"),"", "Falta")</f>
        <v>Falta</v>
      </c>
    </row>
    <row r="2536" spans="1:6" x14ac:dyDescent="0.25">
      <c r="A2536" s="11" t="str">
        <f t="shared" si="39"/>
        <v/>
      </c>
      <c r="B2536" s="6" t="s">
        <v>1859</v>
      </c>
      <c r="C2536" s="6" t="s">
        <v>1859</v>
      </c>
      <c r="D2536" s="6">
        <v>0</v>
      </c>
      <c r="E2536" s="1">
        <v>0</v>
      </c>
      <c r="F2536" s="7" t="str">
        <f>IF(A2536=IFERROR(VLOOKUP(A2536,CATALOGO!$B$2:$B$600,1,FALSE),"Falta"),"", "Falta")</f>
        <v>Falta</v>
      </c>
    </row>
    <row r="2537" spans="1:6" x14ac:dyDescent="0.25">
      <c r="A2537" s="11">
        <f t="shared" si="39"/>
        <v>7709004</v>
      </c>
      <c r="B2537" s="6">
        <v>7709004</v>
      </c>
      <c r="C2537" s="6" t="s">
        <v>2275</v>
      </c>
      <c r="D2537" s="6">
        <v>0</v>
      </c>
      <c r="E2537" s="1">
        <v>0</v>
      </c>
      <c r="F2537" s="7" t="str">
        <f>IF(A2537=IFERROR(VLOOKUP(A2537,CATALOGO!$B$2:$B$600,1,FALSE),"Falta"),"", "Falta")</f>
        <v>Falta</v>
      </c>
    </row>
    <row r="2538" spans="1:6" x14ac:dyDescent="0.25">
      <c r="A2538" s="11" t="str">
        <f t="shared" si="39"/>
        <v/>
      </c>
      <c r="B2538" s="6" t="s">
        <v>1859</v>
      </c>
      <c r="C2538" s="6" t="s">
        <v>1859</v>
      </c>
      <c r="D2538" s="6">
        <v>0</v>
      </c>
      <c r="E2538" s="1">
        <v>0</v>
      </c>
      <c r="F2538" s="7" t="str">
        <f>IF(A2538=IFERROR(VLOOKUP(A2538,CATALOGO!$B$2:$B$600,1,FALSE),"Falta"),"", "Falta")</f>
        <v>Falta</v>
      </c>
    </row>
    <row r="2539" spans="1:6" x14ac:dyDescent="0.25">
      <c r="A2539" s="11">
        <f t="shared" si="39"/>
        <v>7709005</v>
      </c>
      <c r="B2539" s="6">
        <v>7709005</v>
      </c>
      <c r="C2539" s="6" t="s">
        <v>2276</v>
      </c>
      <c r="D2539" s="6">
        <v>0</v>
      </c>
      <c r="E2539" s="1">
        <v>0</v>
      </c>
      <c r="F2539" s="7" t="str">
        <f>IF(A2539=IFERROR(VLOOKUP(A2539,CATALOGO!$B$2:$B$600,1,FALSE),"Falta"),"", "Falta")</f>
        <v>Falta</v>
      </c>
    </row>
    <row r="2540" spans="1:6" x14ac:dyDescent="0.25">
      <c r="A2540" s="11" t="str">
        <f t="shared" si="39"/>
        <v/>
      </c>
      <c r="B2540" s="6" t="s">
        <v>1859</v>
      </c>
      <c r="C2540" s="6" t="s">
        <v>1859</v>
      </c>
      <c r="D2540" s="6">
        <v>0</v>
      </c>
      <c r="E2540" s="1">
        <v>0</v>
      </c>
      <c r="F2540" s="7" t="str">
        <f>IF(A2540=IFERROR(VLOOKUP(A2540,CATALOGO!$B$2:$B$600,1,FALSE),"Falta"),"", "Falta")</f>
        <v>Falta</v>
      </c>
    </row>
    <row r="2541" spans="1:6" x14ac:dyDescent="0.25">
      <c r="A2541" s="11">
        <f t="shared" si="39"/>
        <v>7709006</v>
      </c>
      <c r="B2541" s="6">
        <v>7709006</v>
      </c>
      <c r="C2541" s="6" t="s">
        <v>2277</v>
      </c>
      <c r="D2541" s="6">
        <v>0</v>
      </c>
      <c r="E2541" s="1">
        <v>0</v>
      </c>
      <c r="F2541" s="7" t="str">
        <f>IF(A2541=IFERROR(VLOOKUP(A2541,CATALOGO!$B$2:$B$600,1,FALSE),"Falta"),"", "Falta")</f>
        <v>Falta</v>
      </c>
    </row>
    <row r="2542" spans="1:6" x14ac:dyDescent="0.25">
      <c r="A2542" s="11">
        <f t="shared" si="39"/>
        <v>7709007</v>
      </c>
      <c r="B2542" s="6">
        <v>7709007</v>
      </c>
      <c r="C2542" s="6" t="s">
        <v>2278</v>
      </c>
      <c r="D2542" s="6">
        <v>229.9</v>
      </c>
      <c r="E2542" s="1">
        <v>0</v>
      </c>
      <c r="F2542" s="7" t="str">
        <f>IF(A2542=IFERROR(VLOOKUP(A2542,CATALOGO!$B$2:$B$600,1,FALSE),"Falta"),"", "Falta")</f>
        <v>Falta</v>
      </c>
    </row>
    <row r="2543" spans="1:6" x14ac:dyDescent="0.25">
      <c r="A2543" s="11" t="str">
        <f t="shared" si="39"/>
        <v/>
      </c>
      <c r="B2543" s="6" t="s">
        <v>1859</v>
      </c>
      <c r="C2543" s="6" t="s">
        <v>1859</v>
      </c>
      <c r="D2543" s="6">
        <v>0</v>
      </c>
      <c r="E2543" s="1">
        <v>0</v>
      </c>
      <c r="F2543" s="7" t="str">
        <f>IF(A2543=IFERROR(VLOOKUP(A2543,CATALOGO!$B$2:$B$600,1,FALSE),"Falta"),"", "Falta")</f>
        <v>Falta</v>
      </c>
    </row>
    <row r="2544" spans="1:6" x14ac:dyDescent="0.25">
      <c r="A2544" s="11">
        <f t="shared" si="39"/>
        <v>7709008</v>
      </c>
      <c r="B2544" s="6">
        <v>7709008</v>
      </c>
      <c r="C2544" s="6" t="s">
        <v>2279</v>
      </c>
      <c r="D2544" s="6">
        <v>0</v>
      </c>
      <c r="E2544" s="1">
        <v>0</v>
      </c>
      <c r="F2544" s="7" t="str">
        <f>IF(A2544=IFERROR(VLOOKUP(A2544,CATALOGO!$B$2:$B$600,1,FALSE),"Falta"),"", "Falta")</f>
        <v>Falta</v>
      </c>
    </row>
    <row r="2545" spans="1:6" x14ac:dyDescent="0.25">
      <c r="A2545" s="11" t="str">
        <f t="shared" si="39"/>
        <v/>
      </c>
      <c r="B2545" s="6" t="s">
        <v>1859</v>
      </c>
      <c r="C2545" s="6" t="s">
        <v>1859</v>
      </c>
      <c r="D2545" s="6">
        <v>0</v>
      </c>
      <c r="E2545" s="1">
        <v>0</v>
      </c>
      <c r="F2545" s="7" t="str">
        <f>IF(A2545=IFERROR(VLOOKUP(A2545,CATALOGO!$B$2:$B$600,1,FALSE),"Falta"),"", "Falta")</f>
        <v>Falta</v>
      </c>
    </row>
    <row r="2546" spans="1:6" x14ac:dyDescent="0.25">
      <c r="A2546" s="11">
        <f t="shared" si="39"/>
        <v>7709010</v>
      </c>
      <c r="B2546" s="6">
        <v>7709010</v>
      </c>
      <c r="C2546" s="6" t="s">
        <v>2280</v>
      </c>
      <c r="D2546" s="6">
        <v>0</v>
      </c>
      <c r="E2546" s="1">
        <v>0</v>
      </c>
      <c r="F2546" s="7" t="str">
        <f>IF(A2546=IFERROR(VLOOKUP(A2546,CATALOGO!$B$2:$B$600,1,FALSE),"Falta"),"", "Falta")</f>
        <v>Falta</v>
      </c>
    </row>
    <row r="2547" spans="1:6" x14ac:dyDescent="0.25">
      <c r="A2547" s="11">
        <f t="shared" si="39"/>
        <v>7709014</v>
      </c>
      <c r="B2547" s="6">
        <v>7709014</v>
      </c>
      <c r="C2547" s="6" t="s">
        <v>541</v>
      </c>
      <c r="D2547" s="6">
        <v>191.33</v>
      </c>
      <c r="E2547" s="1">
        <v>19</v>
      </c>
      <c r="F2547" s="7" t="str">
        <f>IF(A2547=IFERROR(VLOOKUP(A2547,CATALOGO!$B$2:$B$600,1,FALSE),"Falta"),"", "Falta")</f>
        <v/>
      </c>
    </row>
    <row r="2548" spans="1:6" x14ac:dyDescent="0.25">
      <c r="A2548" s="11">
        <f t="shared" si="39"/>
        <v>7709015</v>
      </c>
      <c r="B2548" s="6">
        <v>7709015</v>
      </c>
      <c r="C2548" s="6" t="s">
        <v>548</v>
      </c>
      <c r="D2548" s="6">
        <v>145.41999999999999</v>
      </c>
      <c r="E2548" s="1">
        <v>16</v>
      </c>
      <c r="F2548" s="7" t="str">
        <f>IF(A2548=IFERROR(VLOOKUP(A2548,CATALOGO!$B$2:$B$600,1,FALSE),"Falta"),"", "Falta")</f>
        <v/>
      </c>
    </row>
    <row r="2549" spans="1:6" x14ac:dyDescent="0.25">
      <c r="A2549" s="11">
        <f t="shared" si="39"/>
        <v>7709016</v>
      </c>
      <c r="B2549" s="6">
        <v>7709016</v>
      </c>
      <c r="C2549" s="6" t="s">
        <v>511</v>
      </c>
      <c r="D2549" s="6">
        <v>229.58</v>
      </c>
      <c r="E2549" s="1">
        <v>14</v>
      </c>
      <c r="F2549" s="7" t="str">
        <f>IF(A2549=IFERROR(VLOOKUP(A2549,CATALOGO!$B$2:$B$600,1,FALSE),"Falta"),"", "Falta")</f>
        <v/>
      </c>
    </row>
    <row r="2550" spans="1:6" x14ac:dyDescent="0.25">
      <c r="A2550" s="11">
        <f t="shared" si="39"/>
        <v>7709017</v>
      </c>
      <c r="B2550" s="6">
        <v>7709017</v>
      </c>
      <c r="C2550" s="6" t="s">
        <v>518</v>
      </c>
      <c r="D2550" s="6">
        <v>325.56</v>
      </c>
      <c r="E2550" s="1">
        <v>1</v>
      </c>
      <c r="F2550" s="7" t="str">
        <f>IF(A2550=IFERROR(VLOOKUP(A2550,CATALOGO!$B$2:$B$600,1,FALSE),"Falta"),"", "Falta")</f>
        <v/>
      </c>
    </row>
    <row r="2551" spans="1:6" x14ac:dyDescent="0.25">
      <c r="A2551" s="11" t="str">
        <f t="shared" si="39"/>
        <v/>
      </c>
      <c r="B2551" s="6" t="s">
        <v>1859</v>
      </c>
      <c r="C2551" s="6" t="s">
        <v>1859</v>
      </c>
      <c r="D2551" s="6">
        <v>0</v>
      </c>
      <c r="E2551" s="1">
        <v>0</v>
      </c>
      <c r="F2551" s="7" t="str">
        <f>IF(A2551=IFERROR(VLOOKUP(A2551,CATALOGO!$B$2:$B$600,1,FALSE),"Falta"),"", "Falta")</f>
        <v>Falta</v>
      </c>
    </row>
    <row r="2552" spans="1:6" x14ac:dyDescent="0.25">
      <c r="A2552" s="11">
        <f t="shared" si="39"/>
        <v>7709018</v>
      </c>
      <c r="B2552" s="6">
        <v>7709018</v>
      </c>
      <c r="C2552" s="6" t="s">
        <v>2281</v>
      </c>
      <c r="D2552" s="6">
        <v>0</v>
      </c>
      <c r="E2552" s="1">
        <v>0</v>
      </c>
      <c r="F2552" s="7" t="str">
        <f>IF(A2552=IFERROR(VLOOKUP(A2552,CATALOGO!$B$2:$B$600,1,FALSE),"Falta"),"", "Falta")</f>
        <v>Falta</v>
      </c>
    </row>
    <row r="2553" spans="1:6" x14ac:dyDescent="0.25">
      <c r="A2553" s="11" t="str">
        <f t="shared" si="39"/>
        <v/>
      </c>
      <c r="B2553" s="6" t="s">
        <v>1859</v>
      </c>
      <c r="C2553" s="6" t="s">
        <v>1859</v>
      </c>
      <c r="D2553" s="6">
        <v>0</v>
      </c>
      <c r="E2553" s="1">
        <v>0</v>
      </c>
      <c r="F2553" s="7" t="str">
        <f>IF(A2553=IFERROR(VLOOKUP(A2553,CATALOGO!$B$2:$B$600,1,FALSE),"Falta"),"", "Falta")</f>
        <v>Falta</v>
      </c>
    </row>
    <row r="2554" spans="1:6" x14ac:dyDescent="0.25">
      <c r="A2554" s="11">
        <f t="shared" si="39"/>
        <v>7709019</v>
      </c>
      <c r="B2554" s="6">
        <v>7709019</v>
      </c>
      <c r="C2554" s="6" t="s">
        <v>2282</v>
      </c>
      <c r="D2554" s="6">
        <v>0</v>
      </c>
      <c r="E2554" s="1">
        <v>0</v>
      </c>
      <c r="F2554" s="7" t="str">
        <f>IF(A2554=IFERROR(VLOOKUP(A2554,CATALOGO!$B$2:$B$600,1,FALSE),"Falta"),"", "Falta")</f>
        <v>Falta</v>
      </c>
    </row>
    <row r="2555" spans="1:6" x14ac:dyDescent="0.25">
      <c r="A2555" s="11" t="str">
        <f t="shared" si="39"/>
        <v/>
      </c>
      <c r="B2555" s="6" t="s">
        <v>1859</v>
      </c>
      <c r="C2555" s="6" t="s">
        <v>1859</v>
      </c>
      <c r="D2555" s="6">
        <v>0</v>
      </c>
      <c r="E2555" s="1">
        <v>0</v>
      </c>
      <c r="F2555" s="7" t="str">
        <f>IF(A2555=IFERROR(VLOOKUP(A2555,CATALOGO!$B$2:$B$600,1,FALSE),"Falta"),"", "Falta")</f>
        <v>Falta</v>
      </c>
    </row>
    <row r="2556" spans="1:6" x14ac:dyDescent="0.25">
      <c r="A2556" s="11">
        <f t="shared" si="39"/>
        <v>7709020</v>
      </c>
      <c r="B2556" s="6">
        <v>7709020</v>
      </c>
      <c r="C2556" s="6" t="s">
        <v>2283</v>
      </c>
      <c r="D2556" s="6">
        <v>0</v>
      </c>
      <c r="E2556" s="1">
        <v>0</v>
      </c>
      <c r="F2556" s="7" t="str">
        <f>IF(A2556=IFERROR(VLOOKUP(A2556,CATALOGO!$B$2:$B$600,1,FALSE),"Falta"),"", "Falta")</f>
        <v>Falta</v>
      </c>
    </row>
    <row r="2557" spans="1:6" x14ac:dyDescent="0.25">
      <c r="A2557" s="11">
        <f t="shared" si="39"/>
        <v>7709021</v>
      </c>
      <c r="B2557" s="6">
        <v>7709021</v>
      </c>
      <c r="C2557" s="6" t="s">
        <v>508</v>
      </c>
      <c r="D2557" s="6">
        <v>191.33</v>
      </c>
      <c r="E2557" s="1">
        <v>2</v>
      </c>
      <c r="F2557" s="7" t="str">
        <f>IF(A2557=IFERROR(VLOOKUP(A2557,CATALOGO!$B$2:$B$600,1,FALSE),"Falta"),"", "Falta")</f>
        <v/>
      </c>
    </row>
    <row r="2558" spans="1:6" x14ac:dyDescent="0.25">
      <c r="A2558" s="11" t="str">
        <f t="shared" si="39"/>
        <v/>
      </c>
      <c r="B2558" s="6" t="s">
        <v>1859</v>
      </c>
      <c r="C2558" s="6" t="s">
        <v>1859</v>
      </c>
      <c r="D2558" s="6">
        <v>0</v>
      </c>
      <c r="E2558" s="1">
        <v>0</v>
      </c>
      <c r="F2558" s="7" t="str">
        <f>IF(A2558=IFERROR(VLOOKUP(A2558,CATALOGO!$B$2:$B$600,1,FALSE),"Falta"),"", "Falta")</f>
        <v>Falta</v>
      </c>
    </row>
    <row r="2559" spans="1:6" x14ac:dyDescent="0.25">
      <c r="A2559" s="11">
        <f t="shared" si="39"/>
        <v>7709022</v>
      </c>
      <c r="B2559" s="6">
        <v>7709022</v>
      </c>
      <c r="C2559" s="6" t="s">
        <v>2284</v>
      </c>
      <c r="D2559" s="6">
        <v>0</v>
      </c>
      <c r="E2559" s="1">
        <v>0</v>
      </c>
      <c r="F2559" s="7" t="str">
        <f>IF(A2559=IFERROR(VLOOKUP(A2559,CATALOGO!$B$2:$B$600,1,FALSE),"Falta"),"", "Falta")</f>
        <v>Falta</v>
      </c>
    </row>
    <row r="2560" spans="1:6" x14ac:dyDescent="0.25">
      <c r="A2560" s="11" t="str">
        <f t="shared" si="39"/>
        <v/>
      </c>
      <c r="B2560" s="6" t="s">
        <v>1859</v>
      </c>
      <c r="C2560" s="6" t="s">
        <v>1859</v>
      </c>
      <c r="D2560" s="6">
        <v>0</v>
      </c>
      <c r="E2560" s="1">
        <v>0</v>
      </c>
      <c r="F2560" s="7" t="str">
        <f>IF(A2560=IFERROR(VLOOKUP(A2560,CATALOGO!$B$2:$B$600,1,FALSE),"Falta"),"", "Falta")</f>
        <v>Falta</v>
      </c>
    </row>
    <row r="2561" spans="1:6" x14ac:dyDescent="0.25">
      <c r="A2561" s="11">
        <f t="shared" si="39"/>
        <v>7709023</v>
      </c>
      <c r="B2561" s="6">
        <v>7709023</v>
      </c>
      <c r="C2561" s="6" t="s">
        <v>2285</v>
      </c>
      <c r="D2561" s="6">
        <v>0</v>
      </c>
      <c r="E2561" s="1">
        <v>0</v>
      </c>
      <c r="F2561" s="7" t="str">
        <f>IF(A2561=IFERROR(VLOOKUP(A2561,CATALOGO!$B$2:$B$600,1,FALSE),"Falta"),"", "Falta")</f>
        <v>Falta</v>
      </c>
    </row>
    <row r="2562" spans="1:6" x14ac:dyDescent="0.25">
      <c r="A2562" s="11" t="str">
        <f t="shared" si="39"/>
        <v/>
      </c>
      <c r="B2562" s="6" t="s">
        <v>1859</v>
      </c>
      <c r="C2562" s="6" t="s">
        <v>1859</v>
      </c>
      <c r="D2562" s="6">
        <v>0</v>
      </c>
      <c r="E2562" s="1">
        <v>0</v>
      </c>
      <c r="F2562" s="7" t="str">
        <f>IF(A2562=IFERROR(VLOOKUP(A2562,CATALOGO!$B$2:$B$600,1,FALSE),"Falta"),"", "Falta")</f>
        <v>Falta</v>
      </c>
    </row>
    <row r="2563" spans="1:6" x14ac:dyDescent="0.25">
      <c r="A2563" s="11">
        <f t="shared" si="39"/>
        <v>7709024</v>
      </c>
      <c r="B2563" s="6">
        <v>7709024</v>
      </c>
      <c r="C2563" s="6" t="s">
        <v>2286</v>
      </c>
      <c r="D2563" s="6">
        <v>0</v>
      </c>
      <c r="E2563" s="1">
        <v>0</v>
      </c>
      <c r="F2563" s="7" t="str">
        <f>IF(A2563=IFERROR(VLOOKUP(A2563,CATALOGO!$B$2:$B$600,1,FALSE),"Falta"),"", "Falta")</f>
        <v>Falta</v>
      </c>
    </row>
    <row r="2564" spans="1:6" x14ac:dyDescent="0.25">
      <c r="A2564" s="11" t="str">
        <f t="shared" si="39"/>
        <v/>
      </c>
      <c r="B2564" s="6" t="s">
        <v>1859</v>
      </c>
      <c r="C2564" s="6" t="s">
        <v>1859</v>
      </c>
      <c r="D2564" s="6">
        <v>0</v>
      </c>
      <c r="E2564" s="1">
        <v>0</v>
      </c>
      <c r="F2564" s="7" t="str">
        <f>IF(A2564=IFERROR(VLOOKUP(A2564,CATALOGO!$B$2:$B$600,1,FALSE),"Falta"),"", "Falta")</f>
        <v>Falta</v>
      </c>
    </row>
    <row r="2565" spans="1:6" x14ac:dyDescent="0.25">
      <c r="A2565" s="11">
        <f t="shared" si="39"/>
        <v>7709025</v>
      </c>
      <c r="B2565" s="6">
        <v>7709025</v>
      </c>
      <c r="C2565" s="6" t="s">
        <v>2287</v>
      </c>
      <c r="D2565" s="6">
        <v>0</v>
      </c>
      <c r="E2565" s="1">
        <v>0</v>
      </c>
      <c r="F2565" s="7" t="str">
        <f>IF(A2565=IFERROR(VLOOKUP(A2565,CATALOGO!$B$2:$B$600,1,FALSE),"Falta"),"", "Falta")</f>
        <v>Falta</v>
      </c>
    </row>
    <row r="2566" spans="1:6" x14ac:dyDescent="0.25">
      <c r="A2566" s="11" t="str">
        <f t="shared" ref="A2566:A2629" si="40">IFERROR(B2566*1,"")</f>
        <v/>
      </c>
      <c r="B2566" s="6" t="s">
        <v>1859</v>
      </c>
      <c r="C2566" s="6" t="s">
        <v>1859</v>
      </c>
      <c r="D2566" s="6">
        <v>0</v>
      </c>
      <c r="E2566" s="1">
        <v>0</v>
      </c>
      <c r="F2566" s="7" t="str">
        <f>IF(A2566=IFERROR(VLOOKUP(A2566,CATALOGO!$B$2:$B$600,1,FALSE),"Falta"),"", "Falta")</f>
        <v>Falta</v>
      </c>
    </row>
    <row r="2567" spans="1:6" x14ac:dyDescent="0.25">
      <c r="A2567" s="11">
        <f t="shared" si="40"/>
        <v>7709038</v>
      </c>
      <c r="B2567" s="6">
        <v>7709038</v>
      </c>
      <c r="C2567" s="6" t="s">
        <v>2288</v>
      </c>
      <c r="D2567" s="6">
        <v>0</v>
      </c>
      <c r="E2567" s="1">
        <v>0</v>
      </c>
      <c r="F2567" s="7" t="str">
        <f>IF(A2567=IFERROR(VLOOKUP(A2567,CATALOGO!$B$2:$B$600,1,FALSE),"Falta"),"", "Falta")</f>
        <v>Falta</v>
      </c>
    </row>
    <row r="2568" spans="1:6" x14ac:dyDescent="0.25">
      <c r="A2568" s="11">
        <f t="shared" si="40"/>
        <v>7709041</v>
      </c>
      <c r="B2568" s="6">
        <v>7709041</v>
      </c>
      <c r="C2568" s="6" t="s">
        <v>524</v>
      </c>
      <c r="D2568" s="6">
        <v>413.28</v>
      </c>
      <c r="E2568" s="1">
        <v>10</v>
      </c>
      <c r="F2568" s="7" t="str">
        <f>IF(A2568=IFERROR(VLOOKUP(A2568,CATALOGO!$B$2:$B$600,1,FALSE),"Falta"),"", "Falta")</f>
        <v/>
      </c>
    </row>
    <row r="2569" spans="1:6" x14ac:dyDescent="0.25">
      <c r="A2569" s="11">
        <f t="shared" si="40"/>
        <v>7709042</v>
      </c>
      <c r="B2569" s="6">
        <v>7709042</v>
      </c>
      <c r="C2569" s="6" t="s">
        <v>565</v>
      </c>
      <c r="D2569" s="6">
        <v>298.13</v>
      </c>
      <c r="E2569" s="1">
        <v>67</v>
      </c>
      <c r="F2569" s="7" t="str">
        <f>IF(A2569=IFERROR(VLOOKUP(A2569,CATALOGO!$B$2:$B$600,1,FALSE),"Falta"),"", "Falta")</f>
        <v>Falta</v>
      </c>
    </row>
    <row r="2570" spans="1:6" x14ac:dyDescent="0.25">
      <c r="A2570" s="11">
        <f t="shared" si="40"/>
        <v>7709043</v>
      </c>
      <c r="B2570" s="6">
        <v>7709043</v>
      </c>
      <c r="C2570" s="6" t="s">
        <v>523</v>
      </c>
      <c r="D2570" s="6">
        <v>397.97</v>
      </c>
      <c r="E2570" s="1">
        <v>0</v>
      </c>
      <c r="F2570" s="7" t="str">
        <f>IF(A2570=IFERROR(VLOOKUP(A2570,CATALOGO!$B$2:$B$600,1,FALSE),"Falta"),"", "Falta")</f>
        <v>Falta</v>
      </c>
    </row>
    <row r="2571" spans="1:6" x14ac:dyDescent="0.25">
      <c r="A2571" s="11" t="str">
        <f t="shared" si="40"/>
        <v/>
      </c>
      <c r="B2571" s="6" t="s">
        <v>1859</v>
      </c>
      <c r="C2571" s="6" t="s">
        <v>1859</v>
      </c>
      <c r="D2571" s="6">
        <v>0</v>
      </c>
      <c r="E2571" s="1">
        <v>0</v>
      </c>
      <c r="F2571" s="7" t="str">
        <f>IF(A2571=IFERROR(VLOOKUP(A2571,CATALOGO!$B$2:$B$600,1,FALSE),"Falta"),"", "Falta")</f>
        <v>Falta</v>
      </c>
    </row>
    <row r="2572" spans="1:6" x14ac:dyDescent="0.25">
      <c r="A2572" s="11">
        <f t="shared" si="40"/>
        <v>7709049</v>
      </c>
      <c r="B2572" s="6">
        <v>7709049</v>
      </c>
      <c r="C2572" s="6" t="s">
        <v>2289</v>
      </c>
      <c r="D2572" s="6">
        <v>0</v>
      </c>
      <c r="E2572" s="1">
        <v>0</v>
      </c>
      <c r="F2572" s="7" t="str">
        <f>IF(A2572=IFERROR(VLOOKUP(A2572,CATALOGO!$B$2:$B$600,1,FALSE),"Falta"),"", "Falta")</f>
        <v>Falta</v>
      </c>
    </row>
    <row r="2573" spans="1:6" x14ac:dyDescent="0.25">
      <c r="A2573" s="11">
        <f t="shared" si="40"/>
        <v>7709061</v>
      </c>
      <c r="B2573" s="6">
        <v>7709061</v>
      </c>
      <c r="C2573" s="6" t="s">
        <v>564</v>
      </c>
      <c r="D2573" s="6">
        <v>168.38</v>
      </c>
      <c r="E2573" s="1">
        <v>0</v>
      </c>
      <c r="F2573" s="7" t="str">
        <f>IF(A2573=IFERROR(VLOOKUP(A2573,CATALOGO!$B$2:$B$600,1,FALSE),"Falta"),"", "Falta")</f>
        <v/>
      </c>
    </row>
    <row r="2574" spans="1:6" x14ac:dyDescent="0.25">
      <c r="A2574" s="11">
        <f t="shared" si="40"/>
        <v>7709062</v>
      </c>
      <c r="B2574" s="6">
        <v>7709062</v>
      </c>
      <c r="C2574" s="6" t="s">
        <v>566</v>
      </c>
      <c r="D2574" s="6">
        <v>329.1</v>
      </c>
      <c r="E2574" s="1">
        <v>15</v>
      </c>
      <c r="F2574" s="7" t="str">
        <f>IF(A2574=IFERROR(VLOOKUP(A2574,CATALOGO!$B$2:$B$600,1,FALSE),"Falta"),"", "Falta")</f>
        <v/>
      </c>
    </row>
    <row r="2575" spans="1:6" x14ac:dyDescent="0.25">
      <c r="A2575" s="11" t="str">
        <f t="shared" si="40"/>
        <v/>
      </c>
      <c r="B2575" s="6" t="s">
        <v>1859</v>
      </c>
      <c r="C2575" s="6" t="s">
        <v>1859</v>
      </c>
      <c r="D2575" s="6">
        <v>0</v>
      </c>
      <c r="E2575" s="1">
        <v>0</v>
      </c>
      <c r="F2575" s="7" t="str">
        <f>IF(A2575=IFERROR(VLOOKUP(A2575,CATALOGO!$B$2:$B$600,1,FALSE),"Falta"),"", "Falta")</f>
        <v>Falta</v>
      </c>
    </row>
    <row r="2576" spans="1:6" x14ac:dyDescent="0.25">
      <c r="A2576" s="11">
        <f t="shared" si="40"/>
        <v>7709063</v>
      </c>
      <c r="B2576" s="6">
        <v>7709063</v>
      </c>
      <c r="C2576" s="6" t="s">
        <v>2290</v>
      </c>
      <c r="D2576" s="6">
        <v>0</v>
      </c>
      <c r="E2576" s="1">
        <v>0</v>
      </c>
      <c r="F2576" s="7" t="str">
        <f>IF(A2576=IFERROR(VLOOKUP(A2576,CATALOGO!$B$2:$B$600,1,FALSE),"Falta"),"", "Falta")</f>
        <v>Falta</v>
      </c>
    </row>
    <row r="2577" spans="1:6" x14ac:dyDescent="0.25">
      <c r="A2577" s="11">
        <f t="shared" si="40"/>
        <v>7709064</v>
      </c>
      <c r="B2577" s="6">
        <v>7709064</v>
      </c>
      <c r="C2577" s="6" t="s">
        <v>1134</v>
      </c>
      <c r="D2577" s="6">
        <v>151.54</v>
      </c>
      <c r="E2577" s="1">
        <v>8</v>
      </c>
      <c r="F2577" s="7" t="str">
        <f>IF(A2577=IFERROR(VLOOKUP(A2577,CATALOGO!$B$2:$B$600,1,FALSE),"Falta"),"", "Falta")</f>
        <v/>
      </c>
    </row>
    <row r="2578" spans="1:6" x14ac:dyDescent="0.25">
      <c r="A2578" s="11">
        <f t="shared" si="40"/>
        <v>7709065</v>
      </c>
      <c r="B2578" s="6">
        <v>7709065</v>
      </c>
      <c r="C2578" s="6" t="s">
        <v>1132</v>
      </c>
      <c r="D2578" s="6">
        <v>151.54</v>
      </c>
      <c r="E2578" s="1">
        <v>8</v>
      </c>
      <c r="F2578" s="7" t="str">
        <f>IF(A2578=IFERROR(VLOOKUP(A2578,CATALOGO!$B$2:$B$600,1,FALSE),"Falta"),"", "Falta")</f>
        <v/>
      </c>
    </row>
    <row r="2579" spans="1:6" x14ac:dyDescent="0.25">
      <c r="A2579" s="11">
        <f t="shared" si="40"/>
        <v>7709066</v>
      </c>
      <c r="B2579" s="6">
        <v>7709066</v>
      </c>
      <c r="C2579" s="6" t="s">
        <v>1136</v>
      </c>
      <c r="D2579" s="6">
        <v>168.38</v>
      </c>
      <c r="E2579" s="1">
        <v>7</v>
      </c>
      <c r="F2579" s="7" t="str">
        <f>IF(A2579=IFERROR(VLOOKUP(A2579,CATALOGO!$B$2:$B$600,1,FALSE),"Falta"),"", "Falta")</f>
        <v/>
      </c>
    </row>
    <row r="2580" spans="1:6" x14ac:dyDescent="0.25">
      <c r="A2580" s="11">
        <f t="shared" si="40"/>
        <v>7709067</v>
      </c>
      <c r="B2580" s="6">
        <v>7709067</v>
      </c>
      <c r="C2580" s="6" t="s">
        <v>1137</v>
      </c>
      <c r="D2580" s="6">
        <v>168.38</v>
      </c>
      <c r="E2580" s="1">
        <v>10</v>
      </c>
      <c r="F2580" s="7" t="str">
        <f>IF(A2580=IFERROR(VLOOKUP(A2580,CATALOGO!$B$2:$B$600,1,FALSE),"Falta"),"", "Falta")</f>
        <v/>
      </c>
    </row>
    <row r="2581" spans="1:6" x14ac:dyDescent="0.25">
      <c r="A2581" s="11">
        <f t="shared" si="40"/>
        <v>7709068</v>
      </c>
      <c r="B2581" s="6">
        <v>7709068</v>
      </c>
      <c r="C2581" s="6" t="s">
        <v>1133</v>
      </c>
      <c r="D2581" s="6">
        <v>151.54</v>
      </c>
      <c r="E2581" s="1">
        <v>5</v>
      </c>
      <c r="F2581" s="7" t="str">
        <f>IF(A2581=IFERROR(VLOOKUP(A2581,CATALOGO!$B$2:$B$600,1,FALSE),"Falta"),"", "Falta")</f>
        <v/>
      </c>
    </row>
    <row r="2582" spans="1:6" x14ac:dyDescent="0.25">
      <c r="A2582" s="11">
        <f t="shared" si="40"/>
        <v>7709069</v>
      </c>
      <c r="B2582" s="6">
        <v>7709069</v>
      </c>
      <c r="C2582" s="6" t="s">
        <v>1135</v>
      </c>
      <c r="D2582" s="6">
        <v>162.77000000000001</v>
      </c>
      <c r="E2582" s="1">
        <v>4</v>
      </c>
      <c r="F2582" s="7" t="str">
        <f>IF(A2582=IFERROR(VLOOKUP(A2582,CATALOGO!$B$2:$B$600,1,FALSE),"Falta"),"", "Falta")</f>
        <v/>
      </c>
    </row>
    <row r="2583" spans="1:6" x14ac:dyDescent="0.25">
      <c r="A2583" s="11">
        <f t="shared" si="40"/>
        <v>7709070</v>
      </c>
      <c r="B2583" s="6">
        <v>7709070</v>
      </c>
      <c r="C2583" s="6" t="s">
        <v>1108</v>
      </c>
      <c r="D2583" s="6">
        <v>255.71</v>
      </c>
      <c r="E2583" s="1">
        <v>0</v>
      </c>
      <c r="F2583" s="7" t="str">
        <f>IF(A2583=IFERROR(VLOOKUP(A2583,CATALOGO!$B$2:$B$600,1,FALSE),"Falta"),"", "Falta")</f>
        <v/>
      </c>
    </row>
    <row r="2584" spans="1:6" x14ac:dyDescent="0.25">
      <c r="A2584" s="11">
        <f t="shared" si="40"/>
        <v>7709092</v>
      </c>
      <c r="B2584" s="6">
        <v>7709092</v>
      </c>
      <c r="C2584" s="6" t="s">
        <v>557</v>
      </c>
      <c r="D2584" s="6">
        <v>150.25</v>
      </c>
      <c r="E2584" s="1">
        <v>0</v>
      </c>
      <c r="F2584" s="7" t="str">
        <f>IF(A2584=IFERROR(VLOOKUP(A2584,CATALOGO!$B$2:$B$600,1,FALSE),"Falta"),"", "Falta")</f>
        <v>Falta</v>
      </c>
    </row>
    <row r="2585" spans="1:6" x14ac:dyDescent="0.25">
      <c r="A2585" s="11">
        <f t="shared" si="40"/>
        <v>7709094</v>
      </c>
      <c r="B2585" s="6">
        <v>7709094</v>
      </c>
      <c r="C2585" s="6" t="s">
        <v>558</v>
      </c>
      <c r="D2585" s="6">
        <v>325.56</v>
      </c>
      <c r="E2585" s="1">
        <v>0</v>
      </c>
      <c r="F2585" s="7" t="str">
        <f>IF(A2585=IFERROR(VLOOKUP(A2585,CATALOGO!$B$2:$B$600,1,FALSE),"Falta"),"", "Falta")</f>
        <v>Falta</v>
      </c>
    </row>
    <row r="2586" spans="1:6" x14ac:dyDescent="0.25">
      <c r="A2586" s="11" t="str">
        <f t="shared" si="40"/>
        <v/>
      </c>
      <c r="B2586" s="6" t="s">
        <v>1859</v>
      </c>
      <c r="C2586" s="6" t="s">
        <v>1859</v>
      </c>
      <c r="D2586" s="6">
        <v>0</v>
      </c>
      <c r="E2586" s="1">
        <v>0</v>
      </c>
      <c r="F2586" s="7" t="str">
        <f>IF(A2586=IFERROR(VLOOKUP(A2586,CATALOGO!$B$2:$B$600,1,FALSE),"Falta"),"", "Falta")</f>
        <v>Falta</v>
      </c>
    </row>
    <row r="2587" spans="1:6" x14ac:dyDescent="0.25">
      <c r="A2587" s="11">
        <f t="shared" si="40"/>
        <v>7709100</v>
      </c>
      <c r="B2587" s="6">
        <v>7709100</v>
      </c>
      <c r="C2587" s="6" t="s">
        <v>1859</v>
      </c>
      <c r="D2587" s="6">
        <v>0</v>
      </c>
      <c r="E2587" s="1">
        <v>0</v>
      </c>
      <c r="F2587" s="7" t="str">
        <f>IF(A2587=IFERROR(VLOOKUP(A2587,CATALOGO!$B$2:$B$600,1,FALSE),"Falta"),"", "Falta")</f>
        <v>Falta</v>
      </c>
    </row>
    <row r="2588" spans="1:6" x14ac:dyDescent="0.25">
      <c r="A2588" s="11">
        <f t="shared" si="40"/>
        <v>7709101</v>
      </c>
      <c r="B2588" s="6">
        <v>7709101</v>
      </c>
      <c r="C2588" s="6" t="s">
        <v>506</v>
      </c>
      <c r="D2588" s="6">
        <v>198.97</v>
      </c>
      <c r="E2588" s="1">
        <v>0</v>
      </c>
      <c r="F2588" s="7" t="str">
        <f>IF(A2588=IFERROR(VLOOKUP(A2588,CATALOGO!$B$2:$B$600,1,FALSE),"Falta"),"", "Falta")</f>
        <v/>
      </c>
    </row>
    <row r="2589" spans="1:6" x14ac:dyDescent="0.25">
      <c r="A2589" s="11">
        <f t="shared" si="40"/>
        <v>7709102</v>
      </c>
      <c r="B2589" s="6">
        <v>7709102</v>
      </c>
      <c r="C2589" s="6" t="s">
        <v>513</v>
      </c>
      <c r="D2589" s="6">
        <v>150.27000000000001</v>
      </c>
      <c r="E2589" s="1">
        <v>0</v>
      </c>
      <c r="F2589" s="7" t="str">
        <f>IF(A2589=IFERROR(VLOOKUP(A2589,CATALOGO!$B$2:$B$600,1,FALSE),"Falta"),"", "Falta")</f>
        <v>Falta</v>
      </c>
    </row>
    <row r="2590" spans="1:6" x14ac:dyDescent="0.25">
      <c r="A2590" s="11">
        <f t="shared" si="40"/>
        <v>7709103</v>
      </c>
      <c r="B2590" s="6">
        <v>7709103</v>
      </c>
      <c r="C2590" s="6" t="s">
        <v>515</v>
      </c>
      <c r="D2590" s="6">
        <v>350.58</v>
      </c>
      <c r="E2590" s="1">
        <v>7</v>
      </c>
      <c r="F2590" s="7" t="str">
        <f>IF(A2590=IFERROR(VLOOKUP(A2590,CATALOGO!$B$2:$B$600,1,FALSE),"Falta"),"", "Falta")</f>
        <v/>
      </c>
    </row>
    <row r="2591" spans="1:6" x14ac:dyDescent="0.25">
      <c r="A2591" s="11" t="str">
        <f t="shared" si="40"/>
        <v/>
      </c>
      <c r="B2591" s="6" t="s">
        <v>1859</v>
      </c>
      <c r="C2591" s="6" t="s">
        <v>1859</v>
      </c>
      <c r="D2591" s="6">
        <v>0</v>
      </c>
      <c r="E2591" s="1">
        <v>0</v>
      </c>
      <c r="F2591" s="7" t="str">
        <f>IF(A2591=IFERROR(VLOOKUP(A2591,CATALOGO!$B$2:$B$600,1,FALSE),"Falta"),"", "Falta")</f>
        <v>Falta</v>
      </c>
    </row>
    <row r="2592" spans="1:6" x14ac:dyDescent="0.25">
      <c r="A2592" s="11">
        <f t="shared" si="40"/>
        <v>7709104</v>
      </c>
      <c r="B2592" s="6">
        <v>7709104</v>
      </c>
      <c r="C2592" s="6" t="s">
        <v>2291</v>
      </c>
      <c r="D2592" s="6">
        <v>0</v>
      </c>
      <c r="E2592" s="1">
        <v>0</v>
      </c>
      <c r="F2592" s="7" t="str">
        <f>IF(A2592=IFERROR(VLOOKUP(A2592,CATALOGO!$B$2:$B$600,1,FALSE),"Falta"),"", "Falta")</f>
        <v>Falta</v>
      </c>
    </row>
    <row r="2593" spans="1:6" x14ac:dyDescent="0.25">
      <c r="A2593" s="11" t="str">
        <f t="shared" si="40"/>
        <v/>
      </c>
      <c r="B2593" s="6" t="s">
        <v>1859</v>
      </c>
      <c r="C2593" s="6" t="s">
        <v>1859</v>
      </c>
      <c r="D2593" s="6">
        <v>0</v>
      </c>
      <c r="E2593" s="1">
        <v>0</v>
      </c>
      <c r="F2593" s="7" t="str">
        <f>IF(A2593=IFERROR(VLOOKUP(A2593,CATALOGO!$B$2:$B$600,1,FALSE),"Falta"),"", "Falta")</f>
        <v>Falta</v>
      </c>
    </row>
    <row r="2594" spans="1:6" x14ac:dyDescent="0.25">
      <c r="A2594" s="11">
        <f t="shared" si="40"/>
        <v>7709105</v>
      </c>
      <c r="B2594" s="6">
        <v>7709105</v>
      </c>
      <c r="C2594" s="6" t="s">
        <v>2292</v>
      </c>
      <c r="D2594" s="6">
        <v>0</v>
      </c>
      <c r="E2594" s="1">
        <v>0</v>
      </c>
      <c r="F2594" s="7" t="str">
        <f>IF(A2594=IFERROR(VLOOKUP(A2594,CATALOGO!$B$2:$B$600,1,FALSE),"Falta"),"", "Falta")</f>
        <v>Falta</v>
      </c>
    </row>
    <row r="2595" spans="1:6" x14ac:dyDescent="0.25">
      <c r="A2595" s="11">
        <f t="shared" si="40"/>
        <v>7709106</v>
      </c>
      <c r="B2595" s="6">
        <v>7709106</v>
      </c>
      <c r="C2595" s="6" t="s">
        <v>517</v>
      </c>
      <c r="D2595" s="6">
        <v>241.99</v>
      </c>
      <c r="E2595" s="1">
        <v>6</v>
      </c>
      <c r="F2595" s="7" t="str">
        <f>IF(A2595=IFERROR(VLOOKUP(A2595,CATALOGO!$B$2:$B$600,1,FALSE),"Falta"),"", "Falta")</f>
        <v>Falta</v>
      </c>
    </row>
    <row r="2596" spans="1:6" x14ac:dyDescent="0.25">
      <c r="A2596" s="11" t="str">
        <f t="shared" si="40"/>
        <v/>
      </c>
      <c r="B2596" s="6" t="s">
        <v>1859</v>
      </c>
      <c r="C2596" s="6" t="s">
        <v>1859</v>
      </c>
      <c r="D2596" s="6">
        <v>0</v>
      </c>
      <c r="E2596" s="1">
        <v>0</v>
      </c>
      <c r="F2596" s="7" t="str">
        <f>IF(A2596=IFERROR(VLOOKUP(A2596,CATALOGO!$B$2:$B$600,1,FALSE),"Falta"),"", "Falta")</f>
        <v>Falta</v>
      </c>
    </row>
    <row r="2597" spans="1:6" x14ac:dyDescent="0.25">
      <c r="A2597" s="11">
        <f t="shared" si="40"/>
        <v>7709115</v>
      </c>
      <c r="B2597" s="6">
        <v>7709115</v>
      </c>
      <c r="C2597" s="6" t="s">
        <v>595</v>
      </c>
      <c r="D2597" s="6">
        <v>2177.9899999999998</v>
      </c>
      <c r="E2597" s="1">
        <v>0</v>
      </c>
      <c r="F2597" s="7" t="str">
        <f>IF(A2597=IFERROR(VLOOKUP(A2597,CATALOGO!$B$2:$B$600,1,FALSE),"Falta"),"", "Falta")</f>
        <v>Falta</v>
      </c>
    </row>
    <row r="2598" spans="1:6" x14ac:dyDescent="0.25">
      <c r="A2598" s="11" t="str">
        <f t="shared" si="40"/>
        <v/>
      </c>
      <c r="B2598" s="6" t="s">
        <v>1859</v>
      </c>
      <c r="C2598" s="6" t="s">
        <v>1859</v>
      </c>
      <c r="D2598" s="6">
        <v>0</v>
      </c>
      <c r="E2598" s="1">
        <v>0</v>
      </c>
      <c r="F2598" s="7" t="str">
        <f>IF(A2598=IFERROR(VLOOKUP(A2598,CATALOGO!$B$2:$B$600,1,FALSE),"Falta"),"", "Falta")</f>
        <v>Falta</v>
      </c>
    </row>
    <row r="2599" spans="1:6" x14ac:dyDescent="0.25">
      <c r="A2599" s="11">
        <f t="shared" si="40"/>
        <v>7709120</v>
      </c>
      <c r="B2599" s="6">
        <v>7709120</v>
      </c>
      <c r="C2599" s="6" t="s">
        <v>2293</v>
      </c>
      <c r="D2599" s="6">
        <v>0</v>
      </c>
      <c r="E2599" s="1">
        <v>0</v>
      </c>
      <c r="F2599" s="7" t="str">
        <f>IF(A2599=IFERROR(VLOOKUP(A2599,CATALOGO!$B$2:$B$600,1,FALSE),"Falta"),"", "Falta")</f>
        <v>Falta</v>
      </c>
    </row>
    <row r="2600" spans="1:6" x14ac:dyDescent="0.25">
      <c r="A2600" s="11" t="str">
        <f t="shared" si="40"/>
        <v/>
      </c>
      <c r="B2600" s="6" t="s">
        <v>1859</v>
      </c>
      <c r="C2600" s="6" t="s">
        <v>1859</v>
      </c>
      <c r="D2600" s="6">
        <v>0</v>
      </c>
      <c r="E2600" s="1">
        <v>0</v>
      </c>
      <c r="F2600" s="7" t="str">
        <f>IF(A2600=IFERROR(VLOOKUP(A2600,CATALOGO!$B$2:$B$600,1,FALSE),"Falta"),"", "Falta")</f>
        <v>Falta</v>
      </c>
    </row>
    <row r="2601" spans="1:6" x14ac:dyDescent="0.25">
      <c r="A2601" s="11">
        <f t="shared" si="40"/>
        <v>7709122</v>
      </c>
      <c r="B2601" s="6">
        <v>7709122</v>
      </c>
      <c r="C2601" s="6" t="s">
        <v>1585</v>
      </c>
      <c r="D2601" s="6">
        <v>2178</v>
      </c>
      <c r="E2601" s="1">
        <v>5</v>
      </c>
      <c r="F2601" s="7" t="str">
        <f>IF(A2601=IFERROR(VLOOKUP(A2601,CATALOGO!$B$2:$B$600,1,FALSE),"Falta"),"", "Falta")</f>
        <v>Falta</v>
      </c>
    </row>
    <row r="2602" spans="1:6" x14ac:dyDescent="0.25">
      <c r="A2602" s="11" t="str">
        <f t="shared" si="40"/>
        <v/>
      </c>
      <c r="B2602" s="6" t="s">
        <v>1859</v>
      </c>
      <c r="C2602" s="6" t="s">
        <v>1859</v>
      </c>
      <c r="D2602" s="6">
        <v>0</v>
      </c>
      <c r="E2602" s="1">
        <v>0</v>
      </c>
      <c r="F2602" s="7" t="str">
        <f>IF(A2602=IFERROR(VLOOKUP(A2602,CATALOGO!$B$2:$B$600,1,FALSE),"Falta"),"", "Falta")</f>
        <v>Falta</v>
      </c>
    </row>
    <row r="2603" spans="1:6" x14ac:dyDescent="0.25">
      <c r="A2603" s="11">
        <f t="shared" si="40"/>
        <v>7709135</v>
      </c>
      <c r="B2603" s="6">
        <v>7709135</v>
      </c>
      <c r="C2603" s="6" t="s">
        <v>2294</v>
      </c>
      <c r="D2603" s="6">
        <v>0</v>
      </c>
      <c r="E2603" s="1">
        <v>0</v>
      </c>
      <c r="F2603" s="7" t="str">
        <f>IF(A2603=IFERROR(VLOOKUP(A2603,CATALOGO!$B$2:$B$600,1,FALSE),"Falta"),"", "Falta")</f>
        <v>Falta</v>
      </c>
    </row>
    <row r="2604" spans="1:6" x14ac:dyDescent="0.25">
      <c r="A2604" s="11">
        <f t="shared" si="40"/>
        <v>7709137</v>
      </c>
      <c r="B2604" s="6">
        <v>7709137</v>
      </c>
      <c r="C2604" s="6" t="s">
        <v>522</v>
      </c>
      <c r="D2604" s="6">
        <v>229.58</v>
      </c>
      <c r="E2604" s="1">
        <v>15</v>
      </c>
      <c r="F2604" s="7" t="str">
        <f>IF(A2604=IFERROR(VLOOKUP(A2604,CATALOGO!$B$2:$B$600,1,FALSE),"Falta"),"", "Falta")</f>
        <v>Falta</v>
      </c>
    </row>
    <row r="2605" spans="1:6" x14ac:dyDescent="0.25">
      <c r="A2605" s="11">
        <f t="shared" si="40"/>
        <v>7709138</v>
      </c>
      <c r="B2605" s="6">
        <v>7709138</v>
      </c>
      <c r="C2605" s="6" t="s">
        <v>1586</v>
      </c>
      <c r="D2605" s="6">
        <v>336.74</v>
      </c>
      <c r="E2605" s="1">
        <v>114</v>
      </c>
      <c r="F2605" s="7" t="str">
        <f>IF(A2605=IFERROR(VLOOKUP(A2605,CATALOGO!$B$2:$B$600,1,FALSE),"Falta"),"", "Falta")</f>
        <v/>
      </c>
    </row>
    <row r="2606" spans="1:6" x14ac:dyDescent="0.25">
      <c r="A2606" s="11">
        <f t="shared" si="40"/>
        <v>7709139</v>
      </c>
      <c r="B2606" s="6">
        <v>7709139</v>
      </c>
      <c r="C2606" s="6" t="s">
        <v>521</v>
      </c>
      <c r="D2606" s="6">
        <v>325.56</v>
      </c>
      <c r="E2606" s="1">
        <v>0</v>
      </c>
      <c r="F2606" s="7" t="str">
        <f>IF(A2606=IFERROR(VLOOKUP(A2606,CATALOGO!$B$2:$B$600,1,FALSE),"Falta"),"", "Falta")</f>
        <v/>
      </c>
    </row>
    <row r="2607" spans="1:6" x14ac:dyDescent="0.25">
      <c r="A2607" s="11">
        <f t="shared" si="40"/>
        <v>7709142</v>
      </c>
      <c r="B2607" s="6">
        <v>7709142</v>
      </c>
      <c r="C2607" s="6" t="s">
        <v>1587</v>
      </c>
      <c r="D2607" s="6">
        <v>325.56</v>
      </c>
      <c r="E2607" s="1">
        <v>0</v>
      </c>
      <c r="F2607" s="7" t="str">
        <f>IF(A2607=IFERROR(VLOOKUP(A2607,CATALOGO!$B$2:$B$600,1,FALSE),"Falta"),"", "Falta")</f>
        <v>Falta</v>
      </c>
    </row>
    <row r="2608" spans="1:6" x14ac:dyDescent="0.25">
      <c r="A2608" s="11">
        <f t="shared" si="40"/>
        <v>7709156</v>
      </c>
      <c r="B2608" s="6">
        <v>7709156</v>
      </c>
      <c r="C2608" s="6" t="s">
        <v>553</v>
      </c>
      <c r="D2608" s="6">
        <v>350.58</v>
      </c>
      <c r="E2608" s="1">
        <v>36</v>
      </c>
      <c r="F2608" s="7" t="str">
        <f>IF(A2608=IFERROR(VLOOKUP(A2608,CATALOGO!$B$2:$B$600,1,FALSE),"Falta"),"", "Falta")</f>
        <v/>
      </c>
    </row>
    <row r="2609" spans="1:6" x14ac:dyDescent="0.25">
      <c r="A2609" s="11" t="str">
        <f t="shared" si="40"/>
        <v/>
      </c>
      <c r="B2609" s="6" t="s">
        <v>1859</v>
      </c>
      <c r="C2609" s="6" t="s">
        <v>1859</v>
      </c>
      <c r="D2609" s="6">
        <v>0</v>
      </c>
      <c r="E2609" s="1">
        <v>0</v>
      </c>
      <c r="F2609" s="7" t="str">
        <f>IF(A2609=IFERROR(VLOOKUP(A2609,CATALOGO!$B$2:$B$600,1,FALSE),"Falta"),"", "Falta")</f>
        <v>Falta</v>
      </c>
    </row>
    <row r="2610" spans="1:6" x14ac:dyDescent="0.25">
      <c r="A2610" s="11">
        <f t="shared" si="40"/>
        <v>7709157</v>
      </c>
      <c r="B2610" s="6">
        <v>7709157</v>
      </c>
      <c r="C2610" s="6" t="s">
        <v>2295</v>
      </c>
      <c r="D2610" s="6">
        <v>0</v>
      </c>
      <c r="E2610" s="1">
        <v>0</v>
      </c>
      <c r="F2610" s="7" t="str">
        <f>IF(A2610=IFERROR(VLOOKUP(A2610,CATALOGO!$B$2:$B$600,1,FALSE),"Falta"),"", "Falta")</f>
        <v>Falta</v>
      </c>
    </row>
    <row r="2611" spans="1:6" x14ac:dyDescent="0.25">
      <c r="A2611" s="11">
        <f t="shared" si="40"/>
        <v>7709158</v>
      </c>
      <c r="B2611" s="6">
        <v>7709158</v>
      </c>
      <c r="C2611" s="6" t="s">
        <v>1588</v>
      </c>
      <c r="D2611" s="6">
        <v>435.73</v>
      </c>
      <c r="E2611" s="1">
        <v>44</v>
      </c>
      <c r="F2611" s="7" t="str">
        <f>IF(A2611=IFERROR(VLOOKUP(A2611,CATALOGO!$B$2:$B$600,1,FALSE),"Falta"),"", "Falta")</f>
        <v/>
      </c>
    </row>
    <row r="2612" spans="1:6" x14ac:dyDescent="0.25">
      <c r="A2612" s="11" t="str">
        <f t="shared" si="40"/>
        <v/>
      </c>
      <c r="B2612" s="6" t="s">
        <v>1859</v>
      </c>
      <c r="C2612" s="6" t="s">
        <v>1859</v>
      </c>
      <c r="D2612" s="6">
        <v>0</v>
      </c>
      <c r="E2612" s="1">
        <v>0</v>
      </c>
      <c r="F2612" s="7" t="str">
        <f>IF(A2612=IFERROR(VLOOKUP(A2612,CATALOGO!$B$2:$B$600,1,FALSE),"Falta"),"", "Falta")</f>
        <v>Falta</v>
      </c>
    </row>
    <row r="2613" spans="1:6" x14ac:dyDescent="0.25">
      <c r="A2613" s="11">
        <f t="shared" si="40"/>
        <v>7709159</v>
      </c>
      <c r="B2613" s="6">
        <v>7709159</v>
      </c>
      <c r="C2613" s="6" t="s">
        <v>2296</v>
      </c>
      <c r="D2613" s="6">
        <v>0</v>
      </c>
      <c r="E2613" s="1">
        <v>0</v>
      </c>
      <c r="F2613" s="7" t="str">
        <f>IF(A2613=IFERROR(VLOOKUP(A2613,CATALOGO!$B$2:$B$600,1,FALSE),"Falta"),"", "Falta")</f>
        <v>Falta</v>
      </c>
    </row>
    <row r="2614" spans="1:6" x14ac:dyDescent="0.25">
      <c r="A2614" s="11">
        <f t="shared" si="40"/>
        <v>7709160</v>
      </c>
      <c r="B2614" s="6">
        <v>7709160</v>
      </c>
      <c r="C2614" s="6" t="s">
        <v>571</v>
      </c>
      <c r="D2614" s="6">
        <v>319.44</v>
      </c>
      <c r="E2614" s="1">
        <v>528</v>
      </c>
      <c r="F2614" s="7" t="str">
        <f>IF(A2614=IFERROR(VLOOKUP(A2614,CATALOGO!$B$2:$B$600,1,FALSE),"Falta"),"", "Falta")</f>
        <v>Falta</v>
      </c>
    </row>
    <row r="2615" spans="1:6" x14ac:dyDescent="0.25">
      <c r="A2615" s="11" t="str">
        <f t="shared" si="40"/>
        <v/>
      </c>
      <c r="B2615" s="6" t="s">
        <v>1859</v>
      </c>
      <c r="C2615" s="6" t="s">
        <v>1859</v>
      </c>
      <c r="D2615" s="6">
        <v>0</v>
      </c>
      <c r="E2615" s="1">
        <v>0</v>
      </c>
      <c r="F2615" s="7" t="str">
        <f>IF(A2615=IFERROR(VLOOKUP(A2615,CATALOGO!$B$2:$B$600,1,FALSE),"Falta"),"", "Falta")</f>
        <v>Falta</v>
      </c>
    </row>
    <row r="2616" spans="1:6" x14ac:dyDescent="0.25">
      <c r="A2616" s="11">
        <f t="shared" si="40"/>
        <v>7709169</v>
      </c>
      <c r="B2616" s="6">
        <v>7709169</v>
      </c>
      <c r="C2616" s="6" t="s">
        <v>2297</v>
      </c>
      <c r="D2616" s="6">
        <v>0</v>
      </c>
      <c r="E2616" s="1">
        <v>0</v>
      </c>
      <c r="F2616" s="7" t="str">
        <f>IF(A2616=IFERROR(VLOOKUP(A2616,CATALOGO!$B$2:$B$600,1,FALSE),"Falta"),"", "Falta")</f>
        <v>Falta</v>
      </c>
    </row>
    <row r="2617" spans="1:6" x14ac:dyDescent="0.25">
      <c r="A2617" s="11">
        <f t="shared" si="40"/>
        <v>7709174</v>
      </c>
      <c r="B2617" s="6">
        <v>7709174</v>
      </c>
      <c r="C2617" s="6" t="s">
        <v>526</v>
      </c>
      <c r="D2617" s="6">
        <v>150.27000000000001</v>
      </c>
      <c r="E2617" s="1">
        <v>0</v>
      </c>
      <c r="F2617" s="7" t="str">
        <f>IF(A2617=IFERROR(VLOOKUP(A2617,CATALOGO!$B$2:$B$600,1,FALSE),"Falta"),"", "Falta")</f>
        <v>Falta</v>
      </c>
    </row>
    <row r="2618" spans="1:6" x14ac:dyDescent="0.25">
      <c r="A2618" s="11" t="str">
        <f t="shared" si="40"/>
        <v/>
      </c>
      <c r="B2618" s="6" t="s">
        <v>1859</v>
      </c>
      <c r="C2618" s="6" t="s">
        <v>1859</v>
      </c>
      <c r="D2618" s="6">
        <v>0</v>
      </c>
      <c r="E2618" s="1">
        <v>0</v>
      </c>
      <c r="F2618" s="7" t="str">
        <f>IF(A2618=IFERROR(VLOOKUP(A2618,CATALOGO!$B$2:$B$600,1,FALSE),"Falta"),"", "Falta")</f>
        <v>Falta</v>
      </c>
    </row>
    <row r="2619" spans="1:6" x14ac:dyDescent="0.25">
      <c r="A2619" s="11">
        <f t="shared" si="40"/>
        <v>7709198</v>
      </c>
      <c r="B2619" s="6">
        <v>7709198</v>
      </c>
      <c r="C2619" s="6" t="s">
        <v>2298</v>
      </c>
      <c r="D2619" s="6">
        <v>0</v>
      </c>
      <c r="E2619" s="1">
        <v>0</v>
      </c>
      <c r="F2619" s="7" t="str">
        <f>IF(A2619=IFERROR(VLOOKUP(A2619,CATALOGO!$B$2:$B$600,1,FALSE),"Falta"),"", "Falta")</f>
        <v>Falta</v>
      </c>
    </row>
    <row r="2620" spans="1:6" x14ac:dyDescent="0.25">
      <c r="A2620" s="11" t="str">
        <f t="shared" si="40"/>
        <v/>
      </c>
      <c r="B2620" s="6" t="s">
        <v>1859</v>
      </c>
      <c r="C2620" s="6" t="s">
        <v>1859</v>
      </c>
      <c r="D2620" s="6">
        <v>0</v>
      </c>
      <c r="E2620" s="1">
        <v>0</v>
      </c>
      <c r="F2620" s="7" t="str">
        <f>IF(A2620=IFERROR(VLOOKUP(A2620,CATALOGO!$B$2:$B$600,1,FALSE),"Falta"),"", "Falta")</f>
        <v>Falta</v>
      </c>
    </row>
    <row r="2621" spans="1:6" x14ac:dyDescent="0.25">
      <c r="A2621" s="11">
        <f t="shared" si="40"/>
        <v>7709200</v>
      </c>
      <c r="B2621" s="6">
        <v>7709200</v>
      </c>
      <c r="C2621" s="6" t="s">
        <v>2299</v>
      </c>
      <c r="D2621" s="6">
        <v>0</v>
      </c>
      <c r="E2621" s="1">
        <v>0</v>
      </c>
      <c r="F2621" s="7" t="str">
        <f>IF(A2621=IFERROR(VLOOKUP(A2621,CATALOGO!$B$2:$B$600,1,FALSE),"Falta"),"", "Falta")</f>
        <v>Falta</v>
      </c>
    </row>
    <row r="2622" spans="1:6" x14ac:dyDescent="0.25">
      <c r="A2622" s="11" t="str">
        <f t="shared" si="40"/>
        <v/>
      </c>
      <c r="B2622" s="6" t="s">
        <v>1859</v>
      </c>
      <c r="C2622" s="6" t="s">
        <v>1859</v>
      </c>
      <c r="D2622" s="6">
        <v>0</v>
      </c>
      <c r="E2622" s="1">
        <v>0</v>
      </c>
      <c r="F2622" s="7" t="str">
        <f>IF(A2622=IFERROR(VLOOKUP(A2622,CATALOGO!$B$2:$B$600,1,FALSE),"Falta"),"", "Falta")</f>
        <v>Falta</v>
      </c>
    </row>
    <row r="2623" spans="1:6" x14ac:dyDescent="0.25">
      <c r="A2623" s="11">
        <f t="shared" si="40"/>
        <v>7709203</v>
      </c>
      <c r="B2623" s="6">
        <v>7709203</v>
      </c>
      <c r="C2623" s="6" t="s">
        <v>2300</v>
      </c>
      <c r="D2623" s="6">
        <v>0</v>
      </c>
      <c r="E2623" s="1">
        <v>0</v>
      </c>
      <c r="F2623" s="7" t="str">
        <f>IF(A2623=IFERROR(VLOOKUP(A2623,CATALOGO!$B$2:$B$600,1,FALSE),"Falta"),"", "Falta")</f>
        <v>Falta</v>
      </c>
    </row>
    <row r="2624" spans="1:6" x14ac:dyDescent="0.25">
      <c r="A2624" s="11">
        <f t="shared" si="40"/>
        <v>7709204</v>
      </c>
      <c r="B2624" s="6">
        <v>7709204</v>
      </c>
      <c r="C2624" s="6" t="s">
        <v>500</v>
      </c>
      <c r="D2624" s="6">
        <v>275.48</v>
      </c>
      <c r="E2624" s="1">
        <v>2</v>
      </c>
      <c r="F2624" s="7" t="str">
        <f>IF(A2624=IFERROR(VLOOKUP(A2624,CATALOGO!$B$2:$B$600,1,FALSE),"Falta"),"", "Falta")</f>
        <v/>
      </c>
    </row>
    <row r="2625" spans="1:6" x14ac:dyDescent="0.25">
      <c r="A2625" s="11" t="str">
        <f t="shared" si="40"/>
        <v/>
      </c>
      <c r="B2625" s="6" t="s">
        <v>1859</v>
      </c>
      <c r="C2625" s="6" t="s">
        <v>1859</v>
      </c>
      <c r="D2625" s="6">
        <v>0</v>
      </c>
      <c r="E2625" s="1">
        <v>0</v>
      </c>
      <c r="F2625" s="7" t="str">
        <f>IF(A2625=IFERROR(VLOOKUP(A2625,CATALOGO!$B$2:$B$600,1,FALSE),"Falta"),"", "Falta")</f>
        <v>Falta</v>
      </c>
    </row>
    <row r="2626" spans="1:6" x14ac:dyDescent="0.25">
      <c r="A2626" s="11">
        <f t="shared" si="40"/>
        <v>7709208</v>
      </c>
      <c r="B2626" s="6">
        <v>7709208</v>
      </c>
      <c r="C2626" s="6" t="s">
        <v>2301</v>
      </c>
      <c r="D2626" s="6">
        <v>0</v>
      </c>
      <c r="E2626" s="1">
        <v>0</v>
      </c>
      <c r="F2626" s="7" t="str">
        <f>IF(A2626=IFERROR(VLOOKUP(A2626,CATALOGO!$B$2:$B$600,1,FALSE),"Falta"),"", "Falta")</f>
        <v>Falta</v>
      </c>
    </row>
    <row r="2627" spans="1:6" x14ac:dyDescent="0.25">
      <c r="A2627" s="11">
        <f t="shared" si="40"/>
        <v>7709212</v>
      </c>
      <c r="B2627" s="6">
        <v>7709212</v>
      </c>
      <c r="C2627" s="6" t="s">
        <v>512</v>
      </c>
      <c r="D2627" s="6">
        <v>134.26</v>
      </c>
      <c r="E2627" s="1">
        <v>0</v>
      </c>
      <c r="F2627" s="7" t="str">
        <f>IF(A2627=IFERROR(VLOOKUP(A2627,CATALOGO!$B$2:$B$600,1,FALSE),"Falta"),"", "Falta")</f>
        <v>Falta</v>
      </c>
    </row>
    <row r="2628" spans="1:6" x14ac:dyDescent="0.25">
      <c r="A2628" s="11">
        <f t="shared" si="40"/>
        <v>7709228</v>
      </c>
      <c r="B2628" s="6">
        <v>7709228</v>
      </c>
      <c r="C2628" s="6" t="s">
        <v>1589</v>
      </c>
      <c r="D2628" s="6">
        <v>275.19</v>
      </c>
      <c r="E2628" s="1">
        <v>24</v>
      </c>
      <c r="F2628" s="7" t="str">
        <f>IF(A2628=IFERROR(VLOOKUP(A2628,CATALOGO!$B$2:$B$600,1,FALSE),"Falta"),"", "Falta")</f>
        <v>Falta</v>
      </c>
    </row>
    <row r="2629" spans="1:6" x14ac:dyDescent="0.25">
      <c r="A2629" s="11">
        <f t="shared" si="40"/>
        <v>7709229</v>
      </c>
      <c r="B2629" s="6">
        <v>7709229</v>
      </c>
      <c r="C2629" s="6" t="s">
        <v>567</v>
      </c>
      <c r="D2629" s="6">
        <v>275.51</v>
      </c>
      <c r="E2629" s="1">
        <v>78</v>
      </c>
      <c r="F2629" s="7" t="str">
        <f>IF(A2629=IFERROR(VLOOKUP(A2629,CATALOGO!$B$2:$B$600,1,FALSE),"Falta"),"", "Falta")</f>
        <v>Falta</v>
      </c>
    </row>
    <row r="2630" spans="1:6" x14ac:dyDescent="0.25">
      <c r="A2630" s="11">
        <f t="shared" ref="A2630:A2693" si="41">IFERROR(B2630*1,"")</f>
        <v>7709230</v>
      </c>
      <c r="B2630" s="6">
        <v>7709230</v>
      </c>
      <c r="C2630" s="6" t="s">
        <v>2302</v>
      </c>
      <c r="D2630" s="6">
        <v>275.48</v>
      </c>
      <c r="E2630" s="1">
        <v>0</v>
      </c>
      <c r="F2630" s="7" t="str">
        <f>IF(A2630=IFERROR(VLOOKUP(A2630,CATALOGO!$B$2:$B$600,1,FALSE),"Falta"),"", "Falta")</f>
        <v>Falta</v>
      </c>
    </row>
    <row r="2631" spans="1:6" x14ac:dyDescent="0.25">
      <c r="A2631" s="11">
        <f t="shared" si="41"/>
        <v>7709233</v>
      </c>
      <c r="B2631" s="6">
        <v>7709233</v>
      </c>
      <c r="C2631" s="6" t="s">
        <v>510</v>
      </c>
      <c r="D2631" s="6">
        <v>169.72</v>
      </c>
      <c r="E2631" s="1">
        <v>24</v>
      </c>
      <c r="F2631" s="7" t="str">
        <f>IF(A2631=IFERROR(VLOOKUP(A2631,CATALOGO!$B$2:$B$600,1,FALSE),"Falta"),"", "Falta")</f>
        <v/>
      </c>
    </row>
    <row r="2632" spans="1:6" x14ac:dyDescent="0.25">
      <c r="A2632" s="11" t="str">
        <f t="shared" si="41"/>
        <v/>
      </c>
      <c r="B2632" s="6" t="s">
        <v>1859</v>
      </c>
      <c r="C2632" s="6" t="s">
        <v>1859</v>
      </c>
      <c r="D2632" s="6">
        <v>0</v>
      </c>
      <c r="E2632" s="1">
        <v>0</v>
      </c>
      <c r="F2632" s="7" t="str">
        <f>IF(A2632=IFERROR(VLOOKUP(A2632,CATALOGO!$B$2:$B$600,1,FALSE),"Falta"),"", "Falta")</f>
        <v>Falta</v>
      </c>
    </row>
    <row r="2633" spans="1:6" x14ac:dyDescent="0.25">
      <c r="A2633" s="11">
        <f t="shared" si="41"/>
        <v>7709234</v>
      </c>
      <c r="B2633" s="6">
        <v>7709234</v>
      </c>
      <c r="C2633" s="6" t="s">
        <v>2303</v>
      </c>
      <c r="D2633" s="6">
        <v>0</v>
      </c>
      <c r="E2633" s="1">
        <v>0</v>
      </c>
      <c r="F2633" s="7" t="str">
        <f>IF(A2633=IFERROR(VLOOKUP(A2633,CATALOGO!$B$2:$B$600,1,FALSE),"Falta"),"", "Falta")</f>
        <v>Falta</v>
      </c>
    </row>
    <row r="2634" spans="1:6" x14ac:dyDescent="0.25">
      <c r="A2634" s="11">
        <f t="shared" si="41"/>
        <v>7709235</v>
      </c>
      <c r="B2634" s="6">
        <v>7709235</v>
      </c>
      <c r="C2634" s="6" t="s">
        <v>579</v>
      </c>
      <c r="D2634" s="6">
        <v>382.65</v>
      </c>
      <c r="E2634" s="1">
        <v>0</v>
      </c>
      <c r="F2634" s="7" t="str">
        <f>IF(A2634=IFERROR(VLOOKUP(A2634,CATALOGO!$B$2:$B$600,1,FALSE),"Falta"),"", "Falta")</f>
        <v>Falta</v>
      </c>
    </row>
    <row r="2635" spans="1:6" x14ac:dyDescent="0.25">
      <c r="A2635" s="11" t="str">
        <f t="shared" si="41"/>
        <v/>
      </c>
      <c r="B2635" s="6" t="s">
        <v>1859</v>
      </c>
      <c r="C2635" s="6" t="s">
        <v>1859</v>
      </c>
      <c r="D2635" s="6">
        <v>0</v>
      </c>
      <c r="E2635" s="1">
        <v>0</v>
      </c>
      <c r="F2635" s="7" t="str">
        <f>IF(A2635=IFERROR(VLOOKUP(A2635,CATALOGO!$B$2:$B$600,1,FALSE),"Falta"),"", "Falta")</f>
        <v>Falta</v>
      </c>
    </row>
    <row r="2636" spans="1:6" x14ac:dyDescent="0.25">
      <c r="A2636" s="11">
        <f t="shared" si="41"/>
        <v>7709238</v>
      </c>
      <c r="B2636" s="6">
        <v>7709238</v>
      </c>
      <c r="C2636" s="6" t="s">
        <v>2304</v>
      </c>
      <c r="D2636" s="6">
        <v>0</v>
      </c>
      <c r="E2636" s="1">
        <v>0</v>
      </c>
      <c r="F2636" s="7" t="str">
        <f>IF(A2636=IFERROR(VLOOKUP(A2636,CATALOGO!$B$2:$B$600,1,FALSE),"Falta"),"", "Falta")</f>
        <v/>
      </c>
    </row>
    <row r="2637" spans="1:6" x14ac:dyDescent="0.25">
      <c r="A2637" s="11">
        <f t="shared" si="41"/>
        <v>7709245</v>
      </c>
      <c r="B2637" s="6">
        <v>7709245</v>
      </c>
      <c r="C2637" s="6" t="s">
        <v>527</v>
      </c>
      <c r="D2637" s="6">
        <v>381.14</v>
      </c>
      <c r="E2637" s="1">
        <v>44</v>
      </c>
      <c r="F2637" s="7" t="str">
        <f>IF(A2637=IFERROR(VLOOKUP(A2637,CATALOGO!$B$2:$B$600,1,FALSE),"Falta"),"", "Falta")</f>
        <v/>
      </c>
    </row>
    <row r="2638" spans="1:6" x14ac:dyDescent="0.25">
      <c r="A2638" s="11">
        <f t="shared" si="41"/>
        <v>7709246</v>
      </c>
      <c r="B2638" s="6">
        <v>7709246</v>
      </c>
      <c r="C2638" s="6" t="s">
        <v>1590</v>
      </c>
      <c r="D2638" s="6">
        <v>424.3</v>
      </c>
      <c r="E2638" s="1">
        <v>0</v>
      </c>
      <c r="F2638" s="7" t="str">
        <f>IF(A2638=IFERROR(VLOOKUP(A2638,CATALOGO!$B$2:$B$600,1,FALSE),"Falta"),"", "Falta")</f>
        <v>Falta</v>
      </c>
    </row>
    <row r="2639" spans="1:6" x14ac:dyDescent="0.25">
      <c r="A2639" s="11">
        <f t="shared" si="41"/>
        <v>7709251</v>
      </c>
      <c r="B2639" s="6">
        <v>7709251</v>
      </c>
      <c r="C2639" s="6" t="s">
        <v>556</v>
      </c>
      <c r="D2639" s="6">
        <v>150.25</v>
      </c>
      <c r="E2639" s="1">
        <v>0</v>
      </c>
      <c r="F2639" s="7" t="str">
        <f>IF(A2639=IFERROR(VLOOKUP(A2639,CATALOGO!$B$2:$B$600,1,FALSE),"Falta"),"", "Falta")</f>
        <v>Falta</v>
      </c>
    </row>
    <row r="2640" spans="1:6" x14ac:dyDescent="0.25">
      <c r="A2640" s="11" t="str">
        <f t="shared" si="41"/>
        <v/>
      </c>
      <c r="B2640" s="6" t="s">
        <v>1859</v>
      </c>
      <c r="C2640" s="6" t="s">
        <v>1859</v>
      </c>
      <c r="D2640" s="6">
        <v>0</v>
      </c>
      <c r="E2640" s="1">
        <v>0</v>
      </c>
      <c r="F2640" s="7"/>
    </row>
    <row r="2641" spans="1:6" x14ac:dyDescent="0.25">
      <c r="A2641" s="11">
        <f t="shared" si="41"/>
        <v>7709272</v>
      </c>
      <c r="B2641" s="6">
        <v>7709272</v>
      </c>
      <c r="C2641" s="6" t="s">
        <v>2305</v>
      </c>
      <c r="D2641" s="6">
        <v>0</v>
      </c>
      <c r="E2641" s="1">
        <v>0</v>
      </c>
      <c r="F2641" s="7"/>
    </row>
    <row r="2642" spans="1:6" x14ac:dyDescent="0.25">
      <c r="A2642" s="11" t="str">
        <f t="shared" si="41"/>
        <v/>
      </c>
      <c r="B2642" s="6" t="s">
        <v>1859</v>
      </c>
      <c r="C2642" s="6" t="s">
        <v>1859</v>
      </c>
      <c r="D2642" s="6">
        <v>0</v>
      </c>
      <c r="E2642" s="1">
        <v>0</v>
      </c>
      <c r="F2642" s="7"/>
    </row>
    <row r="2643" spans="1:6" x14ac:dyDescent="0.25">
      <c r="A2643" s="11">
        <f t="shared" si="41"/>
        <v>7709273</v>
      </c>
      <c r="B2643" s="6">
        <v>7709273</v>
      </c>
      <c r="C2643" s="6" t="s">
        <v>2306</v>
      </c>
      <c r="D2643" s="6">
        <v>0</v>
      </c>
      <c r="E2643" s="1">
        <v>0</v>
      </c>
      <c r="F2643" s="7"/>
    </row>
    <row r="2644" spans="1:6" x14ac:dyDescent="0.25">
      <c r="A2644" s="11" t="str">
        <f t="shared" si="41"/>
        <v/>
      </c>
      <c r="B2644" t="s">
        <v>1859</v>
      </c>
      <c r="C2644" t="s">
        <v>1859</v>
      </c>
      <c r="D2644">
        <v>0</v>
      </c>
      <c r="E2644">
        <v>0</v>
      </c>
      <c r="F2644" s="7"/>
    </row>
    <row r="2645" spans="1:6" x14ac:dyDescent="0.25">
      <c r="A2645" s="11">
        <f t="shared" si="41"/>
        <v>7709274</v>
      </c>
      <c r="B2645">
        <v>7709274</v>
      </c>
      <c r="C2645" t="s">
        <v>2307</v>
      </c>
      <c r="D2645">
        <v>0</v>
      </c>
      <c r="E2645">
        <v>0</v>
      </c>
      <c r="F2645" s="7"/>
    </row>
    <row r="2646" spans="1:6" x14ac:dyDescent="0.25">
      <c r="A2646" s="11" t="str">
        <f t="shared" si="41"/>
        <v/>
      </c>
      <c r="B2646" t="s">
        <v>1859</v>
      </c>
      <c r="C2646" t="s">
        <v>1859</v>
      </c>
      <c r="D2646">
        <v>0</v>
      </c>
      <c r="E2646">
        <v>0</v>
      </c>
      <c r="F2646" s="7"/>
    </row>
    <row r="2647" spans="1:6" x14ac:dyDescent="0.25">
      <c r="A2647" s="11">
        <f t="shared" si="41"/>
        <v>7709285</v>
      </c>
      <c r="B2647">
        <v>7709285</v>
      </c>
      <c r="C2647" t="s">
        <v>2308</v>
      </c>
      <c r="D2647">
        <v>0</v>
      </c>
      <c r="E2647">
        <v>0</v>
      </c>
      <c r="F2647" s="7"/>
    </row>
    <row r="2648" spans="1:6" x14ac:dyDescent="0.25">
      <c r="A2648" s="11">
        <f t="shared" si="41"/>
        <v>7709300</v>
      </c>
      <c r="B2648">
        <v>7709300</v>
      </c>
      <c r="C2648" t="s">
        <v>572</v>
      </c>
      <c r="D2648">
        <v>229.6</v>
      </c>
      <c r="E2648">
        <v>13</v>
      </c>
      <c r="F2648" s="7"/>
    </row>
    <row r="2649" spans="1:6" x14ac:dyDescent="0.25">
      <c r="A2649" s="11">
        <f t="shared" si="41"/>
        <v>7709301</v>
      </c>
      <c r="B2649">
        <v>7709301</v>
      </c>
      <c r="C2649" t="s">
        <v>2309</v>
      </c>
      <c r="D2649">
        <v>269.38</v>
      </c>
      <c r="E2649">
        <v>0</v>
      </c>
      <c r="F2649" s="7"/>
    </row>
    <row r="2650" spans="1:6" x14ac:dyDescent="0.25">
      <c r="A2650" s="11" t="str">
        <f t="shared" si="41"/>
        <v/>
      </c>
      <c r="B2650" t="s">
        <v>1859</v>
      </c>
      <c r="C2650" t="s">
        <v>1859</v>
      </c>
      <c r="D2650">
        <v>0</v>
      </c>
      <c r="E2650">
        <v>0</v>
      </c>
      <c r="F2650" s="7"/>
    </row>
    <row r="2651" spans="1:6" x14ac:dyDescent="0.25">
      <c r="A2651" s="11">
        <f t="shared" si="41"/>
        <v>7709302</v>
      </c>
      <c r="B2651">
        <v>7709302</v>
      </c>
      <c r="C2651" t="s">
        <v>2310</v>
      </c>
      <c r="D2651">
        <v>0</v>
      </c>
      <c r="E2651">
        <v>0</v>
      </c>
      <c r="F2651" s="7"/>
    </row>
    <row r="2652" spans="1:6" x14ac:dyDescent="0.25">
      <c r="A2652" s="11" t="str">
        <f t="shared" si="41"/>
        <v/>
      </c>
      <c r="B2652" t="s">
        <v>1859</v>
      </c>
      <c r="C2652" t="s">
        <v>1859</v>
      </c>
      <c r="D2652">
        <v>0</v>
      </c>
      <c r="E2652">
        <v>0</v>
      </c>
      <c r="F2652" s="7"/>
    </row>
    <row r="2653" spans="1:6" x14ac:dyDescent="0.25">
      <c r="A2653" s="11">
        <f t="shared" si="41"/>
        <v>7709303</v>
      </c>
      <c r="B2653">
        <v>7709303</v>
      </c>
      <c r="C2653" t="s">
        <v>2311</v>
      </c>
      <c r="D2653">
        <v>0</v>
      </c>
      <c r="E2653">
        <v>0</v>
      </c>
      <c r="F2653" s="7"/>
    </row>
    <row r="2654" spans="1:6" x14ac:dyDescent="0.25">
      <c r="A2654" s="11">
        <f t="shared" si="41"/>
        <v>7709304</v>
      </c>
      <c r="B2654">
        <v>7709304</v>
      </c>
      <c r="C2654" t="s">
        <v>568</v>
      </c>
      <c r="D2654">
        <v>325.56</v>
      </c>
      <c r="E2654">
        <v>1</v>
      </c>
      <c r="F2654" s="7"/>
    </row>
    <row r="2655" spans="1:6" x14ac:dyDescent="0.25">
      <c r="A2655" s="11">
        <f t="shared" si="41"/>
        <v>7709306</v>
      </c>
      <c r="B2655">
        <v>7709306</v>
      </c>
      <c r="C2655" t="s">
        <v>569</v>
      </c>
      <c r="D2655">
        <v>325.56</v>
      </c>
      <c r="E2655">
        <v>9</v>
      </c>
      <c r="F2655" s="7"/>
    </row>
    <row r="2656" spans="1:6" x14ac:dyDescent="0.25">
      <c r="A2656" s="11">
        <f t="shared" si="41"/>
        <v>7709307</v>
      </c>
      <c r="B2656">
        <v>7709307</v>
      </c>
      <c r="C2656" t="s">
        <v>2312</v>
      </c>
      <c r="D2656">
        <v>0</v>
      </c>
      <c r="E2656">
        <v>0</v>
      </c>
      <c r="F2656" s="7"/>
    </row>
    <row r="2657" spans="1:6" x14ac:dyDescent="0.25">
      <c r="A2657" s="11">
        <f t="shared" si="41"/>
        <v>7709308</v>
      </c>
      <c r="B2657">
        <v>7709308</v>
      </c>
      <c r="C2657" t="s">
        <v>591</v>
      </c>
      <c r="D2657">
        <v>145.41999999999999</v>
      </c>
      <c r="E2657">
        <v>0</v>
      </c>
      <c r="F2657" s="7"/>
    </row>
    <row r="2658" spans="1:6" x14ac:dyDescent="0.25">
      <c r="A2658" s="11">
        <f t="shared" si="41"/>
        <v>7709310</v>
      </c>
      <c r="B2658">
        <v>7709310</v>
      </c>
      <c r="C2658" t="s">
        <v>560</v>
      </c>
      <c r="D2658">
        <v>325.52</v>
      </c>
      <c r="E2658">
        <v>0</v>
      </c>
      <c r="F2658" s="7"/>
    </row>
    <row r="2659" spans="1:6" x14ac:dyDescent="0.25">
      <c r="A2659" s="11" t="str">
        <f t="shared" si="41"/>
        <v/>
      </c>
      <c r="B2659" t="s">
        <v>1859</v>
      </c>
      <c r="C2659" t="s">
        <v>1859</v>
      </c>
      <c r="D2659">
        <v>0</v>
      </c>
      <c r="E2659">
        <v>0</v>
      </c>
      <c r="F2659" s="7"/>
    </row>
    <row r="2660" spans="1:6" x14ac:dyDescent="0.25">
      <c r="A2660" s="11">
        <f t="shared" si="41"/>
        <v>7709312</v>
      </c>
      <c r="B2660">
        <v>7709312</v>
      </c>
      <c r="C2660" t="s">
        <v>2313</v>
      </c>
      <c r="D2660">
        <v>0</v>
      </c>
      <c r="E2660">
        <v>0</v>
      </c>
      <c r="F2660" s="7"/>
    </row>
    <row r="2661" spans="1:6" x14ac:dyDescent="0.25">
      <c r="A2661" s="11" t="str">
        <f t="shared" si="41"/>
        <v/>
      </c>
      <c r="B2661" t="s">
        <v>1859</v>
      </c>
      <c r="C2661" t="s">
        <v>1859</v>
      </c>
      <c r="D2661">
        <v>0</v>
      </c>
      <c r="E2661">
        <v>0</v>
      </c>
      <c r="F2661" s="7"/>
    </row>
    <row r="2662" spans="1:6" x14ac:dyDescent="0.25">
      <c r="A2662" s="11">
        <f t="shared" si="41"/>
        <v>7709330</v>
      </c>
      <c r="B2662">
        <v>7709330</v>
      </c>
      <c r="C2662" t="s">
        <v>2314</v>
      </c>
      <c r="D2662">
        <v>0</v>
      </c>
      <c r="E2662">
        <v>0</v>
      </c>
      <c r="F2662" s="7"/>
    </row>
    <row r="2663" spans="1:6" x14ac:dyDescent="0.25">
      <c r="A2663" s="11">
        <f t="shared" si="41"/>
        <v>7709333</v>
      </c>
      <c r="B2663">
        <v>7709333</v>
      </c>
      <c r="C2663" t="s">
        <v>537</v>
      </c>
      <c r="D2663">
        <v>333.91</v>
      </c>
      <c r="E2663">
        <v>30</v>
      </c>
      <c r="F2663" s="7"/>
    </row>
    <row r="2664" spans="1:6" x14ac:dyDescent="0.25">
      <c r="A2664" s="11">
        <f t="shared" si="41"/>
        <v>7709338</v>
      </c>
      <c r="B2664">
        <v>7709338</v>
      </c>
      <c r="C2664" t="s">
        <v>590</v>
      </c>
      <c r="D2664">
        <v>150.25</v>
      </c>
      <c r="E2664">
        <v>0</v>
      </c>
      <c r="F2664" s="7"/>
    </row>
    <row r="2665" spans="1:6" x14ac:dyDescent="0.25">
      <c r="A2665" s="11" t="str">
        <f t="shared" si="41"/>
        <v/>
      </c>
      <c r="B2665" t="s">
        <v>1859</v>
      </c>
      <c r="C2665" t="s">
        <v>1859</v>
      </c>
      <c r="D2665">
        <v>0</v>
      </c>
      <c r="E2665">
        <v>0</v>
      </c>
      <c r="F2665" s="7"/>
    </row>
    <row r="2666" spans="1:6" x14ac:dyDescent="0.25">
      <c r="A2666" s="11">
        <f t="shared" si="41"/>
        <v>7709339</v>
      </c>
      <c r="B2666">
        <v>7709339</v>
      </c>
      <c r="C2666" t="s">
        <v>2315</v>
      </c>
      <c r="D2666">
        <v>0</v>
      </c>
      <c r="E2666">
        <v>0</v>
      </c>
      <c r="F2666" s="7"/>
    </row>
    <row r="2667" spans="1:6" x14ac:dyDescent="0.25">
      <c r="A2667" s="11" t="str">
        <f t="shared" si="41"/>
        <v/>
      </c>
      <c r="B2667" t="s">
        <v>1859</v>
      </c>
      <c r="C2667" t="s">
        <v>1859</v>
      </c>
      <c r="D2667">
        <v>0</v>
      </c>
      <c r="E2667">
        <v>0</v>
      </c>
      <c r="F2667" s="7"/>
    </row>
    <row r="2668" spans="1:6" x14ac:dyDescent="0.25">
      <c r="A2668" s="11">
        <f t="shared" si="41"/>
        <v>7709340</v>
      </c>
      <c r="B2668">
        <v>7709340</v>
      </c>
      <c r="C2668" t="s">
        <v>2316</v>
      </c>
      <c r="D2668">
        <v>0</v>
      </c>
      <c r="E2668">
        <v>0</v>
      </c>
      <c r="F2668" s="7"/>
    </row>
    <row r="2669" spans="1:6" x14ac:dyDescent="0.25">
      <c r="A2669" s="11">
        <f t="shared" si="41"/>
        <v>7709341</v>
      </c>
      <c r="B2669">
        <v>7709341</v>
      </c>
      <c r="C2669" t="s">
        <v>1591</v>
      </c>
      <c r="D2669">
        <v>230</v>
      </c>
      <c r="E2669">
        <v>6</v>
      </c>
      <c r="F2669" s="7"/>
    </row>
    <row r="2670" spans="1:6" x14ac:dyDescent="0.25">
      <c r="A2670" s="11">
        <f t="shared" si="41"/>
        <v>7709350</v>
      </c>
      <c r="B2670">
        <v>7709350</v>
      </c>
      <c r="C2670" t="s">
        <v>555</v>
      </c>
      <c r="D2670">
        <v>335.6</v>
      </c>
      <c r="E2670">
        <v>1</v>
      </c>
      <c r="F2670" s="7"/>
    </row>
    <row r="2671" spans="1:6" x14ac:dyDescent="0.25">
      <c r="A2671" s="11" t="str">
        <f t="shared" si="41"/>
        <v/>
      </c>
      <c r="B2671" t="s">
        <v>1859</v>
      </c>
      <c r="C2671" t="s">
        <v>1859</v>
      </c>
      <c r="D2671">
        <v>0</v>
      </c>
      <c r="E2671">
        <v>0</v>
      </c>
      <c r="F2671" s="7"/>
    </row>
    <row r="2672" spans="1:6" x14ac:dyDescent="0.25">
      <c r="A2672" s="11">
        <f t="shared" si="41"/>
        <v>7709351</v>
      </c>
      <c r="B2672">
        <v>7709351</v>
      </c>
      <c r="C2672" t="s">
        <v>2317</v>
      </c>
      <c r="D2672">
        <v>0</v>
      </c>
      <c r="E2672">
        <v>0</v>
      </c>
      <c r="F2672" s="7"/>
    </row>
    <row r="2673" spans="1:6" x14ac:dyDescent="0.25">
      <c r="A2673" s="11" t="str">
        <f t="shared" si="41"/>
        <v/>
      </c>
      <c r="B2673" t="s">
        <v>1859</v>
      </c>
      <c r="C2673" t="s">
        <v>1859</v>
      </c>
      <c r="D2673">
        <v>0</v>
      </c>
      <c r="E2673">
        <v>0</v>
      </c>
      <c r="F2673" s="7"/>
    </row>
    <row r="2674" spans="1:6" x14ac:dyDescent="0.25">
      <c r="A2674" s="11">
        <f t="shared" si="41"/>
        <v>7709352</v>
      </c>
      <c r="B2674">
        <v>7709352</v>
      </c>
      <c r="C2674" t="s">
        <v>2318</v>
      </c>
      <c r="D2674">
        <v>0</v>
      </c>
      <c r="E2674">
        <v>0</v>
      </c>
      <c r="F2674" s="7"/>
    </row>
    <row r="2675" spans="1:6" x14ac:dyDescent="0.25">
      <c r="A2675" s="11">
        <f t="shared" si="41"/>
        <v>7709355</v>
      </c>
      <c r="B2675">
        <v>7709355</v>
      </c>
      <c r="C2675" t="s">
        <v>2319</v>
      </c>
      <c r="D2675">
        <v>0</v>
      </c>
      <c r="E2675">
        <v>0</v>
      </c>
      <c r="F2675" s="7"/>
    </row>
    <row r="2676" spans="1:6" x14ac:dyDescent="0.25">
      <c r="A2676" s="11">
        <f t="shared" si="41"/>
        <v>7709358</v>
      </c>
      <c r="B2676">
        <v>7709358</v>
      </c>
      <c r="C2676" t="s">
        <v>586</v>
      </c>
      <c r="D2676">
        <v>325.56</v>
      </c>
      <c r="E2676">
        <v>0</v>
      </c>
      <c r="F2676" s="7"/>
    </row>
    <row r="2677" spans="1:6" x14ac:dyDescent="0.25">
      <c r="A2677" s="11">
        <f t="shared" si="41"/>
        <v>7709360</v>
      </c>
      <c r="B2677">
        <v>7709360</v>
      </c>
      <c r="C2677" t="s">
        <v>532</v>
      </c>
      <c r="D2677">
        <v>375.62</v>
      </c>
      <c r="E2677">
        <v>0</v>
      </c>
      <c r="F2677" s="7"/>
    </row>
    <row r="2678" spans="1:6" x14ac:dyDescent="0.25">
      <c r="A2678" s="11" t="str">
        <f t="shared" si="41"/>
        <v/>
      </c>
      <c r="B2678" t="s">
        <v>1859</v>
      </c>
      <c r="C2678" t="s">
        <v>1859</v>
      </c>
      <c r="D2678">
        <v>0</v>
      </c>
      <c r="E2678">
        <v>0</v>
      </c>
      <c r="F2678" s="7"/>
    </row>
    <row r="2679" spans="1:6" x14ac:dyDescent="0.25">
      <c r="A2679" s="11">
        <f t="shared" si="41"/>
        <v>7709361</v>
      </c>
      <c r="B2679">
        <v>7709361</v>
      </c>
      <c r="C2679" t="s">
        <v>2320</v>
      </c>
      <c r="D2679">
        <v>0</v>
      </c>
      <c r="E2679">
        <v>0</v>
      </c>
      <c r="F2679" s="7"/>
    </row>
    <row r="2680" spans="1:6" x14ac:dyDescent="0.25">
      <c r="A2680" s="11">
        <f t="shared" si="41"/>
        <v>7709364</v>
      </c>
      <c r="B2680">
        <v>7709364</v>
      </c>
      <c r="C2680" t="s">
        <v>507</v>
      </c>
      <c r="D2680">
        <v>229.58</v>
      </c>
      <c r="E2680">
        <v>0</v>
      </c>
      <c r="F2680" s="7"/>
    </row>
    <row r="2681" spans="1:6" x14ac:dyDescent="0.25">
      <c r="A2681" s="11">
        <f t="shared" si="41"/>
        <v>7709365</v>
      </c>
      <c r="B2681">
        <v>7709365</v>
      </c>
      <c r="C2681" t="s">
        <v>505</v>
      </c>
      <c r="D2681">
        <v>223.72</v>
      </c>
      <c r="E2681">
        <v>22</v>
      </c>
      <c r="F2681" s="7"/>
    </row>
    <row r="2682" spans="1:6" x14ac:dyDescent="0.25">
      <c r="A2682" s="11">
        <f t="shared" si="41"/>
        <v>7709380</v>
      </c>
      <c r="B2682">
        <v>7709380</v>
      </c>
      <c r="C2682" t="s">
        <v>542</v>
      </c>
      <c r="D2682">
        <v>325.52</v>
      </c>
      <c r="E2682">
        <v>18</v>
      </c>
      <c r="F2682" s="7"/>
    </row>
    <row r="2683" spans="1:6" x14ac:dyDescent="0.25">
      <c r="A2683" s="11">
        <f t="shared" si="41"/>
        <v>7709381</v>
      </c>
      <c r="B2683">
        <v>7709381</v>
      </c>
      <c r="C2683" t="s">
        <v>2321</v>
      </c>
      <c r="D2683">
        <v>0</v>
      </c>
      <c r="E2683">
        <v>39</v>
      </c>
      <c r="F2683" s="7"/>
    </row>
    <row r="2684" spans="1:6" x14ac:dyDescent="0.25">
      <c r="A2684" s="11" t="str">
        <f t="shared" si="41"/>
        <v/>
      </c>
      <c r="B2684" t="s">
        <v>1859</v>
      </c>
      <c r="C2684" t="s">
        <v>1859</v>
      </c>
      <c r="D2684">
        <v>0</v>
      </c>
      <c r="E2684">
        <v>0</v>
      </c>
      <c r="F2684" s="7"/>
    </row>
    <row r="2685" spans="1:6" x14ac:dyDescent="0.25">
      <c r="A2685" s="11">
        <f t="shared" si="41"/>
        <v>7709384</v>
      </c>
      <c r="B2685">
        <v>7709384</v>
      </c>
      <c r="C2685" t="s">
        <v>2322</v>
      </c>
      <c r="D2685">
        <v>0</v>
      </c>
      <c r="E2685">
        <v>0</v>
      </c>
      <c r="F2685" s="7"/>
    </row>
    <row r="2686" spans="1:6" x14ac:dyDescent="0.25">
      <c r="A2686" s="11">
        <f t="shared" si="41"/>
        <v>7709393</v>
      </c>
      <c r="B2686">
        <v>7709393</v>
      </c>
      <c r="C2686" t="s">
        <v>529</v>
      </c>
      <c r="D2686">
        <v>210.86</v>
      </c>
      <c r="E2686">
        <v>0</v>
      </c>
      <c r="F2686" s="7"/>
    </row>
    <row r="2687" spans="1:6" x14ac:dyDescent="0.25">
      <c r="A2687" s="11" t="str">
        <f t="shared" si="41"/>
        <v/>
      </c>
      <c r="B2687" t="s">
        <v>1859</v>
      </c>
      <c r="C2687" t="s">
        <v>1859</v>
      </c>
      <c r="D2687">
        <v>0</v>
      </c>
      <c r="E2687">
        <v>0</v>
      </c>
      <c r="F2687" s="7"/>
    </row>
    <row r="2688" spans="1:6" x14ac:dyDescent="0.25">
      <c r="A2688" s="11">
        <f t="shared" si="41"/>
        <v>7709394</v>
      </c>
      <c r="B2688">
        <v>7709394</v>
      </c>
      <c r="C2688" t="s">
        <v>2323</v>
      </c>
      <c r="D2688">
        <v>0</v>
      </c>
      <c r="E2688">
        <v>0</v>
      </c>
      <c r="F2688" s="7"/>
    </row>
    <row r="2689" spans="1:6" x14ac:dyDescent="0.25">
      <c r="A2689" s="11" t="str">
        <f t="shared" si="41"/>
        <v/>
      </c>
      <c r="B2689" t="s">
        <v>1859</v>
      </c>
      <c r="C2689" t="s">
        <v>1859</v>
      </c>
      <c r="D2689">
        <v>0</v>
      </c>
      <c r="E2689">
        <v>0</v>
      </c>
      <c r="F2689" s="7"/>
    </row>
    <row r="2690" spans="1:6" x14ac:dyDescent="0.25">
      <c r="A2690" s="11">
        <f t="shared" si="41"/>
        <v>7709395</v>
      </c>
      <c r="B2690">
        <v>7709395</v>
      </c>
      <c r="C2690" t="s">
        <v>2324</v>
      </c>
      <c r="D2690">
        <v>0</v>
      </c>
      <c r="E2690">
        <v>0</v>
      </c>
      <c r="F2690" s="7"/>
    </row>
    <row r="2691" spans="1:6" x14ac:dyDescent="0.25">
      <c r="A2691" s="11">
        <f t="shared" si="41"/>
        <v>7709396</v>
      </c>
      <c r="B2691">
        <v>7709396</v>
      </c>
      <c r="C2691" t="s">
        <v>1592</v>
      </c>
      <c r="D2691">
        <v>471.43</v>
      </c>
      <c r="E2691">
        <v>18</v>
      </c>
      <c r="F2691" s="7"/>
    </row>
    <row r="2692" spans="1:6" x14ac:dyDescent="0.25">
      <c r="A2692" s="11">
        <f t="shared" si="41"/>
        <v>7709401</v>
      </c>
      <c r="B2692">
        <v>7709401</v>
      </c>
      <c r="C2692" t="s">
        <v>509</v>
      </c>
      <c r="D2692">
        <v>191.33</v>
      </c>
      <c r="E2692">
        <v>3</v>
      </c>
      <c r="F2692" s="7"/>
    </row>
    <row r="2693" spans="1:6" x14ac:dyDescent="0.25">
      <c r="A2693" s="11" t="str">
        <f t="shared" si="41"/>
        <v/>
      </c>
      <c r="B2693" t="s">
        <v>1859</v>
      </c>
      <c r="C2693" t="s">
        <v>1859</v>
      </c>
      <c r="D2693">
        <v>0</v>
      </c>
      <c r="E2693">
        <v>0</v>
      </c>
      <c r="F2693" s="7"/>
    </row>
    <row r="2694" spans="1:6" x14ac:dyDescent="0.25">
      <c r="A2694" s="11">
        <f t="shared" ref="A2694:A2757" si="42">IFERROR(B2694*1,"")</f>
        <v>7709406</v>
      </c>
      <c r="B2694">
        <v>7709406</v>
      </c>
      <c r="C2694" t="s">
        <v>2325</v>
      </c>
      <c r="D2694">
        <v>0</v>
      </c>
      <c r="E2694">
        <v>0</v>
      </c>
      <c r="F2694" s="7"/>
    </row>
    <row r="2695" spans="1:6" x14ac:dyDescent="0.25">
      <c r="A2695" s="11">
        <f t="shared" si="42"/>
        <v>7709410</v>
      </c>
      <c r="B2695">
        <v>7709410</v>
      </c>
      <c r="C2695" t="s">
        <v>573</v>
      </c>
      <c r="D2695">
        <v>447.47</v>
      </c>
      <c r="E2695">
        <v>76</v>
      </c>
      <c r="F2695" s="7"/>
    </row>
    <row r="2696" spans="1:6" x14ac:dyDescent="0.25">
      <c r="A2696" s="11">
        <f t="shared" si="42"/>
        <v>7709411</v>
      </c>
      <c r="B2696">
        <v>7709411</v>
      </c>
      <c r="C2696" t="s">
        <v>575</v>
      </c>
      <c r="D2696">
        <v>357.74</v>
      </c>
      <c r="E2696">
        <v>0</v>
      </c>
      <c r="F2696" s="7"/>
    </row>
    <row r="2697" spans="1:6" x14ac:dyDescent="0.25">
      <c r="A2697" s="11" t="str">
        <f t="shared" si="42"/>
        <v/>
      </c>
      <c r="B2697" t="s">
        <v>1859</v>
      </c>
      <c r="C2697" t="s">
        <v>1859</v>
      </c>
      <c r="D2697">
        <v>0</v>
      </c>
      <c r="E2697">
        <v>0</v>
      </c>
      <c r="F2697" s="7"/>
    </row>
    <row r="2698" spans="1:6" x14ac:dyDescent="0.25">
      <c r="A2698" s="11">
        <f t="shared" si="42"/>
        <v>7709412</v>
      </c>
      <c r="B2698">
        <v>7709412</v>
      </c>
      <c r="C2698" t="s">
        <v>2326</v>
      </c>
      <c r="D2698">
        <v>0</v>
      </c>
      <c r="E2698">
        <v>0</v>
      </c>
      <c r="F2698" s="7"/>
    </row>
    <row r="2699" spans="1:6" x14ac:dyDescent="0.25">
      <c r="A2699" s="11" t="str">
        <f t="shared" si="42"/>
        <v/>
      </c>
      <c r="B2699" t="s">
        <v>1859</v>
      </c>
      <c r="C2699" t="s">
        <v>1859</v>
      </c>
      <c r="D2699">
        <v>0</v>
      </c>
      <c r="E2699">
        <v>0</v>
      </c>
      <c r="F2699" s="7"/>
    </row>
    <row r="2700" spans="1:6" x14ac:dyDescent="0.25">
      <c r="A2700" s="11">
        <f t="shared" si="42"/>
        <v>7709413</v>
      </c>
      <c r="B2700">
        <v>7709413</v>
      </c>
      <c r="C2700" t="s">
        <v>2327</v>
      </c>
      <c r="D2700">
        <v>0</v>
      </c>
      <c r="E2700">
        <v>0</v>
      </c>
      <c r="F2700" s="7"/>
    </row>
    <row r="2701" spans="1:6" x14ac:dyDescent="0.25">
      <c r="A2701" s="11" t="str">
        <f t="shared" si="42"/>
        <v/>
      </c>
      <c r="B2701" t="s">
        <v>1859</v>
      </c>
      <c r="C2701" t="s">
        <v>1859</v>
      </c>
      <c r="D2701">
        <v>0</v>
      </c>
      <c r="E2701">
        <v>0</v>
      </c>
      <c r="F2701" s="7"/>
    </row>
    <row r="2702" spans="1:6" x14ac:dyDescent="0.25">
      <c r="A2702" s="11">
        <f t="shared" si="42"/>
        <v>7709417</v>
      </c>
      <c r="B2702">
        <v>7709417</v>
      </c>
      <c r="C2702" t="s">
        <v>2328</v>
      </c>
      <c r="D2702">
        <v>0</v>
      </c>
      <c r="E2702">
        <v>0</v>
      </c>
      <c r="F2702" s="7"/>
    </row>
    <row r="2703" spans="1:6" x14ac:dyDescent="0.25">
      <c r="A2703" s="11">
        <f t="shared" si="42"/>
        <v>7709419</v>
      </c>
      <c r="B2703">
        <v>7709419</v>
      </c>
      <c r="C2703" t="s">
        <v>533</v>
      </c>
      <c r="D2703">
        <v>382.65</v>
      </c>
      <c r="E2703">
        <v>0</v>
      </c>
      <c r="F2703" s="7"/>
    </row>
    <row r="2704" spans="1:6" x14ac:dyDescent="0.25">
      <c r="A2704" s="11">
        <f t="shared" si="42"/>
        <v>7709420</v>
      </c>
      <c r="B2704">
        <v>7709420</v>
      </c>
      <c r="C2704" t="s">
        <v>549</v>
      </c>
      <c r="D2704">
        <v>275.48</v>
      </c>
      <c r="E2704">
        <v>25</v>
      </c>
      <c r="F2704" s="7"/>
    </row>
    <row r="2705" spans="1:6" x14ac:dyDescent="0.25">
      <c r="A2705" s="11">
        <f t="shared" si="42"/>
        <v>7709421</v>
      </c>
      <c r="B2705">
        <v>7709421</v>
      </c>
      <c r="C2705" t="s">
        <v>534</v>
      </c>
      <c r="D2705">
        <v>332.74</v>
      </c>
      <c r="E2705">
        <v>0</v>
      </c>
      <c r="F2705" s="7"/>
    </row>
    <row r="2706" spans="1:6" x14ac:dyDescent="0.25">
      <c r="A2706" s="11">
        <f t="shared" si="42"/>
        <v>7709425</v>
      </c>
      <c r="B2706">
        <v>7709425</v>
      </c>
      <c r="C2706" t="s">
        <v>582</v>
      </c>
      <c r="D2706">
        <v>120.99</v>
      </c>
      <c r="E2706">
        <v>9</v>
      </c>
      <c r="F2706" s="7"/>
    </row>
    <row r="2707" spans="1:6" x14ac:dyDescent="0.25">
      <c r="A2707" s="11">
        <f t="shared" si="42"/>
        <v>7709426</v>
      </c>
      <c r="B2707">
        <v>7709426</v>
      </c>
      <c r="C2707" t="s">
        <v>588</v>
      </c>
      <c r="D2707">
        <v>325.52</v>
      </c>
      <c r="E2707">
        <v>0</v>
      </c>
      <c r="F2707" s="7"/>
    </row>
    <row r="2708" spans="1:6" x14ac:dyDescent="0.25">
      <c r="A2708" s="11">
        <f t="shared" si="42"/>
        <v>7709439</v>
      </c>
      <c r="B2708">
        <v>7709439</v>
      </c>
      <c r="C2708" t="s">
        <v>502</v>
      </c>
      <c r="D2708">
        <v>120.99</v>
      </c>
      <c r="E2708">
        <v>111</v>
      </c>
      <c r="F2708" s="7"/>
    </row>
    <row r="2709" spans="1:6" x14ac:dyDescent="0.25">
      <c r="A2709" s="11">
        <f t="shared" si="42"/>
        <v>7709440</v>
      </c>
      <c r="B2709">
        <v>7709440</v>
      </c>
      <c r="C2709" t="s">
        <v>1593</v>
      </c>
      <c r="D2709">
        <v>402.73</v>
      </c>
      <c r="E2709">
        <v>17</v>
      </c>
      <c r="F2709" s="7"/>
    </row>
    <row r="2710" spans="1:6" x14ac:dyDescent="0.25">
      <c r="A2710" s="11" t="str">
        <f t="shared" si="42"/>
        <v/>
      </c>
      <c r="B2710" t="s">
        <v>1859</v>
      </c>
      <c r="C2710" t="s">
        <v>1859</v>
      </c>
      <c r="D2710">
        <v>0</v>
      </c>
      <c r="E2710">
        <v>0</v>
      </c>
      <c r="F2710" s="7"/>
    </row>
    <row r="2711" spans="1:6" x14ac:dyDescent="0.25">
      <c r="A2711" s="11">
        <f t="shared" si="42"/>
        <v>7709441</v>
      </c>
      <c r="B2711">
        <v>7709441</v>
      </c>
      <c r="C2711" t="s">
        <v>2329</v>
      </c>
      <c r="D2711">
        <v>0</v>
      </c>
      <c r="E2711">
        <v>0</v>
      </c>
      <c r="F2711" s="7"/>
    </row>
    <row r="2712" spans="1:6" x14ac:dyDescent="0.25">
      <c r="A2712" s="11">
        <f t="shared" si="42"/>
        <v>7709442</v>
      </c>
      <c r="B2712">
        <v>7709442</v>
      </c>
      <c r="C2712" t="s">
        <v>1594</v>
      </c>
      <c r="D2712">
        <v>335.63</v>
      </c>
      <c r="E2712">
        <v>9</v>
      </c>
      <c r="F2712" s="7"/>
    </row>
    <row r="2713" spans="1:6" x14ac:dyDescent="0.25">
      <c r="A2713" s="11">
        <f t="shared" si="42"/>
        <v>7709443</v>
      </c>
      <c r="B2713">
        <v>7709443</v>
      </c>
      <c r="C2713" t="s">
        <v>2330</v>
      </c>
      <c r="D2713">
        <v>0</v>
      </c>
      <c r="E2713">
        <v>13</v>
      </c>
      <c r="F2713" s="7"/>
    </row>
    <row r="2714" spans="1:6" x14ac:dyDescent="0.25">
      <c r="A2714" s="11" t="str">
        <f t="shared" si="42"/>
        <v/>
      </c>
      <c r="B2714" t="s">
        <v>1859</v>
      </c>
      <c r="C2714" t="s">
        <v>1859</v>
      </c>
      <c r="D2714">
        <v>0</v>
      </c>
      <c r="E2714">
        <v>0</v>
      </c>
      <c r="F2714" s="7"/>
    </row>
    <row r="2715" spans="1:6" x14ac:dyDescent="0.25">
      <c r="A2715" s="11">
        <f t="shared" si="42"/>
        <v>7709450</v>
      </c>
      <c r="B2715">
        <v>7709450</v>
      </c>
      <c r="C2715" t="s">
        <v>2331</v>
      </c>
      <c r="D2715">
        <v>0</v>
      </c>
      <c r="E2715">
        <v>0</v>
      </c>
      <c r="F2715" s="7"/>
    </row>
    <row r="2716" spans="1:6" x14ac:dyDescent="0.25">
      <c r="A2716" s="11">
        <f t="shared" si="42"/>
        <v>7709451</v>
      </c>
      <c r="B2716">
        <v>7709451</v>
      </c>
      <c r="C2716" t="s">
        <v>597</v>
      </c>
      <c r="D2716">
        <v>290.64</v>
      </c>
      <c r="E2716">
        <v>6</v>
      </c>
      <c r="F2716" s="7"/>
    </row>
    <row r="2717" spans="1:6" x14ac:dyDescent="0.25">
      <c r="A2717" s="11">
        <f t="shared" si="42"/>
        <v>7709452</v>
      </c>
      <c r="B2717">
        <v>7709452</v>
      </c>
      <c r="C2717" t="s">
        <v>562</v>
      </c>
      <c r="D2717">
        <v>242</v>
      </c>
      <c r="E2717">
        <v>0</v>
      </c>
      <c r="F2717" s="7"/>
    </row>
    <row r="2718" spans="1:6" x14ac:dyDescent="0.25">
      <c r="A2718" s="11">
        <f t="shared" si="42"/>
        <v>7709453</v>
      </c>
      <c r="B2718">
        <v>7709453</v>
      </c>
      <c r="C2718" t="s">
        <v>577</v>
      </c>
      <c r="D2718">
        <v>425.1</v>
      </c>
      <c r="E2718">
        <v>0</v>
      </c>
      <c r="F2718" s="7"/>
    </row>
    <row r="2719" spans="1:6" x14ac:dyDescent="0.25">
      <c r="A2719" s="11" t="str">
        <f t="shared" si="42"/>
        <v/>
      </c>
      <c r="B2719" t="s">
        <v>1859</v>
      </c>
      <c r="C2719" t="s">
        <v>1859</v>
      </c>
      <c r="D2719">
        <v>0</v>
      </c>
      <c r="E2719">
        <v>0</v>
      </c>
      <c r="F2719" s="7"/>
    </row>
    <row r="2720" spans="1:6" x14ac:dyDescent="0.25">
      <c r="A2720" s="11">
        <f t="shared" si="42"/>
        <v>7709454</v>
      </c>
      <c r="B2720">
        <v>7709454</v>
      </c>
      <c r="C2720" t="s">
        <v>2332</v>
      </c>
      <c r="D2720">
        <v>0</v>
      </c>
      <c r="E2720">
        <v>0</v>
      </c>
      <c r="F2720" s="7"/>
    </row>
    <row r="2721" spans="1:6" x14ac:dyDescent="0.25">
      <c r="A2721" s="11">
        <f t="shared" si="42"/>
        <v>7709455</v>
      </c>
      <c r="B2721">
        <v>7709455</v>
      </c>
      <c r="C2721" t="s">
        <v>578</v>
      </c>
      <c r="D2721">
        <v>425.1</v>
      </c>
      <c r="E2721">
        <v>0</v>
      </c>
      <c r="F2721" s="7"/>
    </row>
    <row r="2722" spans="1:6" x14ac:dyDescent="0.25">
      <c r="A2722" s="11">
        <f t="shared" si="42"/>
        <v>7709456</v>
      </c>
      <c r="B2722">
        <v>7709456</v>
      </c>
      <c r="C2722" t="s">
        <v>1595</v>
      </c>
      <c r="D2722">
        <v>381.14</v>
      </c>
      <c r="E2722">
        <v>28</v>
      </c>
      <c r="F2722" s="7"/>
    </row>
    <row r="2723" spans="1:6" x14ac:dyDescent="0.25">
      <c r="A2723" s="11">
        <f t="shared" si="42"/>
        <v>7709457</v>
      </c>
      <c r="B2723">
        <v>7709457</v>
      </c>
      <c r="C2723" t="s">
        <v>574</v>
      </c>
      <c r="D2723">
        <v>425.1</v>
      </c>
      <c r="E2723">
        <v>0</v>
      </c>
      <c r="F2723" s="7"/>
    </row>
    <row r="2724" spans="1:6" x14ac:dyDescent="0.25">
      <c r="A2724" s="11">
        <f t="shared" si="42"/>
        <v>7709458</v>
      </c>
      <c r="B2724">
        <v>7709458</v>
      </c>
      <c r="C2724" t="s">
        <v>1596</v>
      </c>
      <c r="D2724">
        <v>367.35</v>
      </c>
      <c r="E2724">
        <v>14</v>
      </c>
      <c r="F2724" s="7"/>
    </row>
    <row r="2725" spans="1:6" x14ac:dyDescent="0.25">
      <c r="A2725" s="11">
        <f t="shared" si="42"/>
        <v>7709459</v>
      </c>
      <c r="B2725">
        <v>7709459</v>
      </c>
      <c r="C2725" t="s">
        <v>501</v>
      </c>
      <c r="D2725">
        <v>325.56</v>
      </c>
      <c r="E2725">
        <v>0</v>
      </c>
      <c r="F2725" s="7"/>
    </row>
    <row r="2726" spans="1:6" x14ac:dyDescent="0.25">
      <c r="A2726" s="11">
        <f t="shared" si="42"/>
        <v>7709460</v>
      </c>
      <c r="B2726">
        <v>7709460</v>
      </c>
      <c r="C2726" t="s">
        <v>584</v>
      </c>
      <c r="D2726">
        <v>75.11</v>
      </c>
      <c r="E2726">
        <v>24</v>
      </c>
      <c r="F2726" s="7"/>
    </row>
    <row r="2727" spans="1:6" x14ac:dyDescent="0.25">
      <c r="A2727" s="11">
        <f t="shared" si="42"/>
        <v>7709461</v>
      </c>
      <c r="B2727">
        <v>7709461</v>
      </c>
      <c r="C2727" t="s">
        <v>587</v>
      </c>
      <c r="D2727">
        <v>160.52000000000001</v>
      </c>
      <c r="E2727">
        <v>24</v>
      </c>
      <c r="F2727" s="7"/>
    </row>
    <row r="2728" spans="1:6" x14ac:dyDescent="0.25">
      <c r="A2728" s="11">
        <f t="shared" si="42"/>
        <v>7709462</v>
      </c>
      <c r="B2728">
        <v>7709462</v>
      </c>
      <c r="C2728" t="s">
        <v>585</v>
      </c>
      <c r="D2728">
        <v>100.67</v>
      </c>
      <c r="E2728">
        <v>0</v>
      </c>
      <c r="F2728" s="7"/>
    </row>
    <row r="2729" spans="1:6" x14ac:dyDescent="0.25">
      <c r="A2729" s="11">
        <f t="shared" si="42"/>
        <v>7709465</v>
      </c>
      <c r="B2729">
        <v>7709465</v>
      </c>
      <c r="C2729" t="s">
        <v>1597</v>
      </c>
      <c r="D2729">
        <v>229.58</v>
      </c>
      <c r="E2729">
        <v>0</v>
      </c>
      <c r="F2729" s="7"/>
    </row>
    <row r="2730" spans="1:6" x14ac:dyDescent="0.25">
      <c r="A2730" s="11">
        <f t="shared" si="42"/>
        <v>7709473</v>
      </c>
      <c r="B2730">
        <v>7709473</v>
      </c>
      <c r="C2730" t="s">
        <v>1598</v>
      </c>
      <c r="D2730">
        <v>325.56</v>
      </c>
      <c r="E2730">
        <v>0</v>
      </c>
      <c r="F2730" s="7"/>
    </row>
    <row r="2731" spans="1:6" x14ac:dyDescent="0.25">
      <c r="A2731" s="11" t="str">
        <f t="shared" si="42"/>
        <v/>
      </c>
      <c r="B2731" t="s">
        <v>1859</v>
      </c>
      <c r="C2731" t="s">
        <v>1859</v>
      </c>
      <c r="D2731">
        <v>0</v>
      </c>
      <c r="E2731">
        <v>0</v>
      </c>
      <c r="F2731" s="7"/>
    </row>
    <row r="2732" spans="1:6" x14ac:dyDescent="0.25">
      <c r="A2732" s="11">
        <f t="shared" si="42"/>
        <v>7709490</v>
      </c>
      <c r="B2732">
        <v>7709490</v>
      </c>
      <c r="C2732" t="s">
        <v>2333</v>
      </c>
      <c r="D2732">
        <v>0</v>
      </c>
      <c r="E2732">
        <v>0</v>
      </c>
      <c r="F2732" s="7"/>
    </row>
    <row r="2733" spans="1:6" x14ac:dyDescent="0.25">
      <c r="A2733" s="11" t="str">
        <f t="shared" si="42"/>
        <v/>
      </c>
      <c r="B2733" t="s">
        <v>1859</v>
      </c>
      <c r="C2733" t="s">
        <v>1859</v>
      </c>
      <c r="D2733">
        <v>0</v>
      </c>
      <c r="E2733">
        <v>0</v>
      </c>
      <c r="F2733" s="7"/>
    </row>
    <row r="2734" spans="1:6" x14ac:dyDescent="0.25">
      <c r="A2734" s="11">
        <f t="shared" si="42"/>
        <v>7709495</v>
      </c>
      <c r="B2734">
        <v>7709495</v>
      </c>
      <c r="C2734" t="s">
        <v>2334</v>
      </c>
      <c r="D2734">
        <v>0</v>
      </c>
      <c r="E2734">
        <v>0</v>
      </c>
      <c r="F2734" s="7"/>
    </row>
    <row r="2735" spans="1:6" x14ac:dyDescent="0.25">
      <c r="A2735" s="11" t="str">
        <f t="shared" si="42"/>
        <v/>
      </c>
      <c r="B2735" t="s">
        <v>1859</v>
      </c>
      <c r="C2735" t="s">
        <v>1859</v>
      </c>
      <c r="D2735">
        <v>0</v>
      </c>
      <c r="E2735">
        <v>0</v>
      </c>
      <c r="F2735" s="7"/>
    </row>
    <row r="2736" spans="1:6" x14ac:dyDescent="0.25">
      <c r="A2736" s="11">
        <f t="shared" si="42"/>
        <v>7709499</v>
      </c>
      <c r="B2736">
        <v>7709499</v>
      </c>
      <c r="C2736" t="s">
        <v>2335</v>
      </c>
      <c r="D2736">
        <v>0</v>
      </c>
      <c r="E2736">
        <v>0</v>
      </c>
      <c r="F2736" s="7"/>
    </row>
    <row r="2737" spans="1:6" x14ac:dyDescent="0.25">
      <c r="A2737" s="11">
        <f t="shared" si="42"/>
        <v>7709500</v>
      </c>
      <c r="B2737">
        <v>7709500</v>
      </c>
      <c r="C2737" t="s">
        <v>1599</v>
      </c>
      <c r="D2737">
        <v>159.99</v>
      </c>
      <c r="E2737">
        <v>0</v>
      </c>
      <c r="F2737" s="7"/>
    </row>
    <row r="2738" spans="1:6" x14ac:dyDescent="0.25">
      <c r="A2738" s="11" t="str">
        <f t="shared" si="42"/>
        <v/>
      </c>
      <c r="B2738" t="s">
        <v>1859</v>
      </c>
      <c r="C2738" t="s">
        <v>1859</v>
      </c>
      <c r="D2738">
        <v>0</v>
      </c>
      <c r="E2738">
        <v>0</v>
      </c>
      <c r="F2738" s="7"/>
    </row>
    <row r="2739" spans="1:6" x14ac:dyDescent="0.25">
      <c r="A2739" s="11">
        <f t="shared" si="42"/>
        <v>7709501</v>
      </c>
      <c r="B2739">
        <v>7709501</v>
      </c>
      <c r="C2739" t="s">
        <v>2336</v>
      </c>
      <c r="D2739">
        <v>0</v>
      </c>
      <c r="E2739">
        <v>0</v>
      </c>
      <c r="F2739" s="7"/>
    </row>
    <row r="2740" spans="1:6" x14ac:dyDescent="0.25">
      <c r="A2740" s="11">
        <f t="shared" si="42"/>
        <v>7709502</v>
      </c>
      <c r="B2740">
        <v>7709502</v>
      </c>
      <c r="C2740" t="s">
        <v>589</v>
      </c>
      <c r="D2740">
        <v>325.56</v>
      </c>
      <c r="E2740">
        <v>58</v>
      </c>
      <c r="F2740" s="7"/>
    </row>
    <row r="2741" spans="1:6" x14ac:dyDescent="0.25">
      <c r="A2741" s="11">
        <f t="shared" si="42"/>
        <v>7709503</v>
      </c>
      <c r="B2741">
        <v>7709503</v>
      </c>
      <c r="C2741" t="s">
        <v>2337</v>
      </c>
      <c r="D2741">
        <v>103.47</v>
      </c>
      <c r="E2741">
        <v>0</v>
      </c>
      <c r="F2741" s="7"/>
    </row>
    <row r="2742" spans="1:6" x14ac:dyDescent="0.25">
      <c r="A2742" s="11">
        <f t="shared" si="42"/>
        <v>7709504</v>
      </c>
      <c r="B2742">
        <v>7709504</v>
      </c>
      <c r="C2742" t="s">
        <v>1600</v>
      </c>
      <c r="D2742">
        <v>290.81</v>
      </c>
      <c r="E2742">
        <v>24</v>
      </c>
      <c r="F2742" s="7"/>
    </row>
    <row r="2743" spans="1:6" x14ac:dyDescent="0.25">
      <c r="A2743" s="11">
        <f t="shared" si="42"/>
        <v>7709505</v>
      </c>
      <c r="B2743">
        <v>7709505</v>
      </c>
      <c r="C2743" t="s">
        <v>554</v>
      </c>
      <c r="D2743">
        <v>275.48</v>
      </c>
      <c r="E2743">
        <v>0</v>
      </c>
      <c r="F2743" s="7"/>
    </row>
    <row r="2744" spans="1:6" x14ac:dyDescent="0.25">
      <c r="A2744" s="11">
        <f t="shared" si="42"/>
        <v>7709506</v>
      </c>
      <c r="B2744">
        <v>7709506</v>
      </c>
      <c r="C2744" t="s">
        <v>2338</v>
      </c>
      <c r="D2744">
        <v>113.82</v>
      </c>
      <c r="E2744">
        <v>0</v>
      </c>
      <c r="F2744" s="7"/>
    </row>
    <row r="2745" spans="1:6" x14ac:dyDescent="0.25">
      <c r="A2745" s="11">
        <f t="shared" si="42"/>
        <v>7709517</v>
      </c>
      <c r="B2745">
        <v>7709517</v>
      </c>
      <c r="C2745" t="s">
        <v>594</v>
      </c>
      <c r="D2745">
        <v>2299.9899999999998</v>
      </c>
      <c r="E2745">
        <v>5</v>
      </c>
      <c r="F2745" s="7"/>
    </row>
    <row r="2746" spans="1:6" x14ac:dyDescent="0.25">
      <c r="A2746" s="11">
        <f t="shared" si="42"/>
        <v>7709540</v>
      </c>
      <c r="B2746">
        <v>7709540</v>
      </c>
      <c r="C2746" t="s">
        <v>1601</v>
      </c>
      <c r="D2746">
        <v>199.65</v>
      </c>
      <c r="E2746">
        <v>0</v>
      </c>
      <c r="F2746" s="7"/>
    </row>
    <row r="2747" spans="1:6" x14ac:dyDescent="0.25">
      <c r="A2747" s="11">
        <f t="shared" si="42"/>
        <v>7709547</v>
      </c>
      <c r="B2747">
        <v>7709547</v>
      </c>
      <c r="C2747" t="s">
        <v>1602</v>
      </c>
      <c r="D2747">
        <v>262.33</v>
      </c>
      <c r="E2747">
        <v>26</v>
      </c>
      <c r="F2747" s="7"/>
    </row>
    <row r="2748" spans="1:6" x14ac:dyDescent="0.25">
      <c r="A2748" s="11">
        <f t="shared" si="42"/>
        <v>7709549</v>
      </c>
      <c r="B2748">
        <v>7709549</v>
      </c>
      <c r="C2748" t="s">
        <v>1603</v>
      </c>
      <c r="D2748">
        <v>333.91</v>
      </c>
      <c r="E2748">
        <v>29</v>
      </c>
      <c r="F2748" s="7"/>
    </row>
    <row r="2749" spans="1:6" x14ac:dyDescent="0.25">
      <c r="A2749" s="11" t="str">
        <f t="shared" si="42"/>
        <v/>
      </c>
      <c r="B2749" t="s">
        <v>1859</v>
      </c>
      <c r="C2749" t="s">
        <v>1859</v>
      </c>
      <c r="D2749">
        <v>0</v>
      </c>
      <c r="E2749">
        <v>0</v>
      </c>
      <c r="F2749" s="7"/>
    </row>
    <row r="2750" spans="1:6" x14ac:dyDescent="0.25">
      <c r="A2750" s="11">
        <f t="shared" si="42"/>
        <v>7709555</v>
      </c>
      <c r="B2750">
        <v>7709555</v>
      </c>
      <c r="C2750" t="s">
        <v>2339</v>
      </c>
      <c r="D2750">
        <v>0</v>
      </c>
      <c r="E2750">
        <v>0</v>
      </c>
      <c r="F2750" s="7"/>
    </row>
    <row r="2751" spans="1:6" x14ac:dyDescent="0.25">
      <c r="A2751" s="11" t="str">
        <f t="shared" si="42"/>
        <v/>
      </c>
      <c r="B2751" t="s">
        <v>1859</v>
      </c>
      <c r="C2751" t="s">
        <v>1859</v>
      </c>
      <c r="D2751">
        <v>0</v>
      </c>
      <c r="E2751">
        <v>0</v>
      </c>
      <c r="F2751" s="7"/>
    </row>
    <row r="2752" spans="1:6" x14ac:dyDescent="0.25">
      <c r="A2752" s="11">
        <f t="shared" si="42"/>
        <v>7709556</v>
      </c>
      <c r="B2752">
        <v>7709556</v>
      </c>
      <c r="C2752" t="s">
        <v>2340</v>
      </c>
      <c r="D2752">
        <v>0</v>
      </c>
      <c r="E2752">
        <v>0</v>
      </c>
      <c r="F2752" s="7"/>
    </row>
    <row r="2753" spans="1:6" x14ac:dyDescent="0.25">
      <c r="A2753" s="11">
        <f t="shared" si="42"/>
        <v>7709572</v>
      </c>
      <c r="B2753">
        <v>7709572</v>
      </c>
      <c r="C2753" t="s">
        <v>514</v>
      </c>
      <c r="D2753">
        <v>275.48</v>
      </c>
      <c r="E2753">
        <v>10</v>
      </c>
      <c r="F2753" s="7"/>
    </row>
    <row r="2754" spans="1:6" x14ac:dyDescent="0.25">
      <c r="A2754" s="11">
        <f t="shared" si="42"/>
        <v>7709600</v>
      </c>
      <c r="B2754">
        <v>7709600</v>
      </c>
      <c r="C2754" t="s">
        <v>530</v>
      </c>
      <c r="D2754">
        <v>319.61</v>
      </c>
      <c r="E2754">
        <v>10</v>
      </c>
      <c r="F2754" s="7"/>
    </row>
    <row r="2755" spans="1:6" x14ac:dyDescent="0.25">
      <c r="A2755" s="11" t="str">
        <f t="shared" si="42"/>
        <v/>
      </c>
      <c r="B2755" t="s">
        <v>1859</v>
      </c>
      <c r="C2755" t="s">
        <v>1859</v>
      </c>
      <c r="D2755">
        <v>0</v>
      </c>
      <c r="E2755">
        <v>0</v>
      </c>
      <c r="F2755" s="7"/>
    </row>
    <row r="2756" spans="1:6" x14ac:dyDescent="0.25">
      <c r="A2756" s="11">
        <f t="shared" si="42"/>
        <v>7709601</v>
      </c>
      <c r="B2756">
        <v>7709601</v>
      </c>
      <c r="C2756" t="s">
        <v>2341</v>
      </c>
      <c r="D2756">
        <v>0</v>
      </c>
      <c r="E2756">
        <v>0</v>
      </c>
      <c r="F2756" s="7"/>
    </row>
    <row r="2757" spans="1:6" x14ac:dyDescent="0.25">
      <c r="A2757" s="11" t="str">
        <f t="shared" si="42"/>
        <v/>
      </c>
      <c r="B2757" t="s">
        <v>1859</v>
      </c>
      <c r="C2757" t="s">
        <v>1859</v>
      </c>
      <c r="D2757">
        <v>0</v>
      </c>
      <c r="E2757">
        <v>0</v>
      </c>
      <c r="F2757" s="7"/>
    </row>
    <row r="2758" spans="1:6" x14ac:dyDescent="0.25">
      <c r="A2758" s="11">
        <f t="shared" ref="A2758:A2821" si="43">IFERROR(B2758*1,"")</f>
        <v>7709602</v>
      </c>
      <c r="B2758">
        <v>7709602</v>
      </c>
      <c r="C2758" t="s">
        <v>2342</v>
      </c>
      <c r="D2758">
        <v>0</v>
      </c>
      <c r="E2758">
        <v>0</v>
      </c>
      <c r="F2758" s="7"/>
    </row>
    <row r="2759" spans="1:6" x14ac:dyDescent="0.25">
      <c r="A2759" s="11" t="str">
        <f t="shared" si="43"/>
        <v/>
      </c>
      <c r="B2759" t="s">
        <v>1859</v>
      </c>
      <c r="C2759" t="s">
        <v>1859</v>
      </c>
      <c r="D2759">
        <v>0</v>
      </c>
      <c r="E2759">
        <v>0</v>
      </c>
      <c r="F2759" s="7"/>
    </row>
    <row r="2760" spans="1:6" x14ac:dyDescent="0.25">
      <c r="A2760" s="11">
        <f t="shared" si="43"/>
        <v>7709603</v>
      </c>
      <c r="B2760">
        <v>7709603</v>
      </c>
      <c r="C2760" t="s">
        <v>2343</v>
      </c>
      <c r="D2760">
        <v>0</v>
      </c>
      <c r="E2760">
        <v>0</v>
      </c>
      <c r="F2760" s="7"/>
    </row>
    <row r="2761" spans="1:6" x14ac:dyDescent="0.25">
      <c r="A2761" s="11" t="str">
        <f t="shared" si="43"/>
        <v/>
      </c>
      <c r="B2761" t="s">
        <v>1859</v>
      </c>
      <c r="C2761" t="s">
        <v>1859</v>
      </c>
      <c r="D2761">
        <v>0</v>
      </c>
      <c r="E2761">
        <v>0</v>
      </c>
      <c r="F2761" s="7"/>
    </row>
    <row r="2762" spans="1:6" x14ac:dyDescent="0.25">
      <c r="A2762" s="11">
        <f t="shared" si="43"/>
        <v>7709606</v>
      </c>
      <c r="B2762">
        <v>7709606</v>
      </c>
      <c r="C2762" t="s">
        <v>2344</v>
      </c>
      <c r="D2762">
        <v>0</v>
      </c>
      <c r="E2762">
        <v>0</v>
      </c>
      <c r="F2762" s="7"/>
    </row>
    <row r="2763" spans="1:6" x14ac:dyDescent="0.25">
      <c r="A2763" s="11">
        <f t="shared" si="43"/>
        <v>7709608</v>
      </c>
      <c r="B2763">
        <v>7709608</v>
      </c>
      <c r="C2763" t="s">
        <v>1604</v>
      </c>
      <c r="D2763">
        <v>615</v>
      </c>
      <c r="E2763">
        <v>0</v>
      </c>
      <c r="F2763" s="7"/>
    </row>
    <row r="2764" spans="1:6" x14ac:dyDescent="0.25">
      <c r="A2764" s="11">
        <f t="shared" si="43"/>
        <v>7709625</v>
      </c>
      <c r="B2764">
        <v>7709625</v>
      </c>
      <c r="C2764" t="s">
        <v>520</v>
      </c>
      <c r="D2764">
        <v>389.84</v>
      </c>
      <c r="E2764">
        <v>76</v>
      </c>
      <c r="F2764" s="7"/>
    </row>
    <row r="2765" spans="1:6" x14ac:dyDescent="0.25">
      <c r="A2765" s="11">
        <f t="shared" si="43"/>
        <v>7709650</v>
      </c>
      <c r="B2765">
        <v>7709650</v>
      </c>
      <c r="C2765" t="s">
        <v>538</v>
      </c>
      <c r="D2765">
        <v>306.12</v>
      </c>
      <c r="E2765">
        <v>15</v>
      </c>
      <c r="F2765" s="7"/>
    </row>
    <row r="2766" spans="1:6" x14ac:dyDescent="0.25">
      <c r="A2766" s="11">
        <f t="shared" si="43"/>
        <v>7709653</v>
      </c>
      <c r="B2766">
        <v>7709653</v>
      </c>
      <c r="C2766" t="s">
        <v>1605</v>
      </c>
      <c r="D2766">
        <v>145.19</v>
      </c>
      <c r="E2766">
        <v>0</v>
      </c>
      <c r="F2766" s="7"/>
    </row>
    <row r="2767" spans="1:6" x14ac:dyDescent="0.25">
      <c r="A2767" s="11">
        <f t="shared" si="43"/>
        <v>7709654</v>
      </c>
      <c r="B2767">
        <v>7709654</v>
      </c>
      <c r="C2767" t="s">
        <v>503</v>
      </c>
      <c r="D2767">
        <v>286.2</v>
      </c>
      <c r="E2767">
        <v>7</v>
      </c>
      <c r="F2767" s="7"/>
    </row>
    <row r="2768" spans="1:6" x14ac:dyDescent="0.25">
      <c r="A2768" s="11" t="str">
        <f t="shared" si="43"/>
        <v/>
      </c>
      <c r="B2768" t="s">
        <v>1859</v>
      </c>
      <c r="C2768" t="s">
        <v>1859</v>
      </c>
      <c r="D2768">
        <v>0</v>
      </c>
      <c r="E2768">
        <v>0</v>
      </c>
      <c r="F2768" s="7"/>
    </row>
    <row r="2769" spans="1:6" x14ac:dyDescent="0.25">
      <c r="A2769" s="11">
        <f t="shared" si="43"/>
        <v>7709655</v>
      </c>
      <c r="B2769">
        <v>7709655</v>
      </c>
      <c r="C2769" t="s">
        <v>2345</v>
      </c>
      <c r="D2769">
        <v>0</v>
      </c>
      <c r="E2769">
        <v>0</v>
      </c>
      <c r="F2769" s="7"/>
    </row>
    <row r="2770" spans="1:6" x14ac:dyDescent="0.25">
      <c r="A2770" s="11" t="str">
        <f t="shared" si="43"/>
        <v/>
      </c>
      <c r="B2770" t="s">
        <v>1859</v>
      </c>
      <c r="C2770" t="s">
        <v>1859</v>
      </c>
      <c r="D2770">
        <v>0</v>
      </c>
      <c r="E2770">
        <v>0</v>
      </c>
      <c r="F2770" s="7"/>
    </row>
    <row r="2771" spans="1:6" x14ac:dyDescent="0.25">
      <c r="A2771" s="11">
        <f t="shared" si="43"/>
        <v>7709656</v>
      </c>
      <c r="B2771">
        <v>7709656</v>
      </c>
      <c r="C2771" t="s">
        <v>2346</v>
      </c>
      <c r="D2771">
        <v>0</v>
      </c>
      <c r="E2771">
        <v>0</v>
      </c>
      <c r="F2771" s="7"/>
    </row>
    <row r="2772" spans="1:6" x14ac:dyDescent="0.25">
      <c r="A2772" s="11">
        <f t="shared" si="43"/>
        <v>7709660</v>
      </c>
      <c r="B2772">
        <v>7709660</v>
      </c>
      <c r="C2772" t="s">
        <v>2347</v>
      </c>
      <c r="D2772">
        <v>370</v>
      </c>
      <c r="E2772">
        <v>0</v>
      </c>
      <c r="F2772" s="7"/>
    </row>
    <row r="2773" spans="1:6" x14ac:dyDescent="0.25">
      <c r="A2773" s="11">
        <f t="shared" si="43"/>
        <v>7709661</v>
      </c>
      <c r="B2773">
        <v>7709661</v>
      </c>
      <c r="C2773" t="s">
        <v>1606</v>
      </c>
      <c r="D2773">
        <v>320.55</v>
      </c>
      <c r="E2773">
        <v>0</v>
      </c>
      <c r="F2773" s="7"/>
    </row>
    <row r="2774" spans="1:6" x14ac:dyDescent="0.25">
      <c r="A2774" s="11">
        <f t="shared" si="43"/>
        <v>7709662</v>
      </c>
      <c r="B2774">
        <v>7709662</v>
      </c>
      <c r="C2774" t="s">
        <v>1607</v>
      </c>
      <c r="D2774">
        <v>413.26</v>
      </c>
      <c r="E2774">
        <v>0</v>
      </c>
      <c r="F2774" s="7"/>
    </row>
    <row r="2775" spans="1:6" x14ac:dyDescent="0.25">
      <c r="A2775" s="11">
        <f t="shared" si="43"/>
        <v>7709663</v>
      </c>
      <c r="B2775">
        <v>7709663</v>
      </c>
      <c r="C2775" t="s">
        <v>547</v>
      </c>
      <c r="D2775">
        <v>320.55</v>
      </c>
      <c r="E2775">
        <v>2</v>
      </c>
      <c r="F2775" s="7"/>
    </row>
    <row r="2776" spans="1:6" x14ac:dyDescent="0.25">
      <c r="A2776" s="11">
        <f t="shared" si="43"/>
        <v>7709664</v>
      </c>
      <c r="B2776">
        <v>7709664</v>
      </c>
      <c r="C2776" t="s">
        <v>1608</v>
      </c>
      <c r="D2776">
        <v>319.44</v>
      </c>
      <c r="E2776">
        <v>0</v>
      </c>
      <c r="F2776" s="7"/>
    </row>
    <row r="2777" spans="1:6" x14ac:dyDescent="0.25">
      <c r="A2777" s="11">
        <f t="shared" si="43"/>
        <v>7709665</v>
      </c>
      <c r="B2777">
        <v>7709665</v>
      </c>
      <c r="C2777" t="s">
        <v>1609</v>
      </c>
      <c r="D2777">
        <v>321.42</v>
      </c>
      <c r="E2777">
        <v>90</v>
      </c>
      <c r="F2777" s="7"/>
    </row>
    <row r="2778" spans="1:6" x14ac:dyDescent="0.25">
      <c r="A2778" s="11">
        <f t="shared" si="43"/>
        <v>7709666</v>
      </c>
      <c r="B2778">
        <v>7709666</v>
      </c>
      <c r="C2778" t="s">
        <v>2348</v>
      </c>
      <c r="D2778">
        <v>370</v>
      </c>
      <c r="E2778">
        <v>0</v>
      </c>
      <c r="F2778" s="7"/>
    </row>
    <row r="2779" spans="1:6" x14ac:dyDescent="0.25">
      <c r="A2779" s="11" t="str">
        <f t="shared" si="43"/>
        <v/>
      </c>
      <c r="B2779" t="s">
        <v>1859</v>
      </c>
      <c r="C2779" t="s">
        <v>1859</v>
      </c>
      <c r="D2779">
        <v>0</v>
      </c>
      <c r="E2779">
        <v>0</v>
      </c>
      <c r="F2779" s="7"/>
    </row>
    <row r="2780" spans="1:6" x14ac:dyDescent="0.25">
      <c r="A2780" s="11">
        <f t="shared" si="43"/>
        <v>7709667</v>
      </c>
      <c r="B2780">
        <v>7709667</v>
      </c>
      <c r="C2780" t="s">
        <v>2349</v>
      </c>
      <c r="D2780">
        <v>300</v>
      </c>
      <c r="E2780">
        <v>1</v>
      </c>
      <c r="F2780" s="7"/>
    </row>
    <row r="2781" spans="1:6" x14ac:dyDescent="0.25">
      <c r="A2781" s="11">
        <f t="shared" si="43"/>
        <v>7709668</v>
      </c>
      <c r="B2781">
        <v>7709668</v>
      </c>
      <c r="C2781" t="s">
        <v>598</v>
      </c>
      <c r="D2781">
        <v>201.23</v>
      </c>
      <c r="E2781">
        <v>0</v>
      </c>
      <c r="F2781" s="7"/>
    </row>
    <row r="2782" spans="1:6" x14ac:dyDescent="0.25">
      <c r="A2782" s="11">
        <f t="shared" si="43"/>
        <v>7709669</v>
      </c>
      <c r="B2782">
        <v>7709669</v>
      </c>
      <c r="C2782" t="s">
        <v>546</v>
      </c>
      <c r="D2782">
        <v>321.44</v>
      </c>
      <c r="E2782">
        <v>7</v>
      </c>
      <c r="F2782" s="7"/>
    </row>
    <row r="2783" spans="1:6" x14ac:dyDescent="0.25">
      <c r="A2783" s="11" t="str">
        <f t="shared" si="43"/>
        <v/>
      </c>
      <c r="B2783" t="s">
        <v>1859</v>
      </c>
      <c r="C2783" t="s">
        <v>1859</v>
      </c>
      <c r="D2783">
        <v>0</v>
      </c>
      <c r="E2783">
        <v>0</v>
      </c>
      <c r="F2783" s="7"/>
    </row>
    <row r="2784" spans="1:6" x14ac:dyDescent="0.25">
      <c r="A2784" s="11">
        <f t="shared" si="43"/>
        <v>7709670</v>
      </c>
      <c r="B2784">
        <v>7709670</v>
      </c>
      <c r="C2784" t="s">
        <v>2350</v>
      </c>
      <c r="D2784">
        <v>0</v>
      </c>
      <c r="E2784">
        <v>0</v>
      </c>
      <c r="F2784" s="7"/>
    </row>
    <row r="2785" spans="1:6" x14ac:dyDescent="0.25">
      <c r="A2785" s="11">
        <f t="shared" si="43"/>
        <v>7709671</v>
      </c>
      <c r="B2785">
        <v>7709671</v>
      </c>
      <c r="C2785" t="s">
        <v>545</v>
      </c>
      <c r="D2785">
        <v>352.03</v>
      </c>
      <c r="E2785">
        <v>0</v>
      </c>
      <c r="F2785" s="7"/>
    </row>
    <row r="2786" spans="1:6" x14ac:dyDescent="0.25">
      <c r="A2786" s="11">
        <f t="shared" si="43"/>
        <v>7709680</v>
      </c>
      <c r="B2786">
        <v>7709680</v>
      </c>
      <c r="C2786" t="s">
        <v>539</v>
      </c>
      <c r="D2786">
        <v>300.52999999999997</v>
      </c>
      <c r="E2786">
        <v>0</v>
      </c>
      <c r="F2786" s="7"/>
    </row>
    <row r="2787" spans="1:6" x14ac:dyDescent="0.25">
      <c r="A2787" s="11">
        <f t="shared" si="43"/>
        <v>7709700</v>
      </c>
      <c r="B2787">
        <v>7709700</v>
      </c>
      <c r="C2787" t="s">
        <v>570</v>
      </c>
      <c r="D2787">
        <v>250.42</v>
      </c>
      <c r="E2787">
        <v>2</v>
      </c>
      <c r="F2787" s="7"/>
    </row>
    <row r="2788" spans="1:6" x14ac:dyDescent="0.25">
      <c r="A2788" s="11">
        <f t="shared" si="43"/>
        <v>7709709</v>
      </c>
      <c r="B2788">
        <v>7709709</v>
      </c>
      <c r="C2788" t="s">
        <v>2351</v>
      </c>
      <c r="D2788">
        <v>205.69</v>
      </c>
      <c r="E2788">
        <v>0</v>
      </c>
      <c r="F2788" s="7"/>
    </row>
    <row r="2789" spans="1:6" x14ac:dyDescent="0.25">
      <c r="A2789" s="11">
        <f t="shared" si="43"/>
        <v>7709712</v>
      </c>
      <c r="B2789">
        <v>7709712</v>
      </c>
      <c r="C2789" t="s">
        <v>531</v>
      </c>
      <c r="D2789">
        <v>260.22000000000003</v>
      </c>
      <c r="E2789">
        <v>0</v>
      </c>
      <c r="F2789" s="7"/>
    </row>
    <row r="2790" spans="1:6" x14ac:dyDescent="0.25">
      <c r="A2790" s="11">
        <f t="shared" si="43"/>
        <v>7709753</v>
      </c>
      <c r="B2790">
        <v>7709753</v>
      </c>
      <c r="C2790" t="s">
        <v>516</v>
      </c>
      <c r="D2790">
        <v>325.56</v>
      </c>
      <c r="E2790">
        <v>8</v>
      </c>
      <c r="F2790" s="7"/>
    </row>
    <row r="2791" spans="1:6" x14ac:dyDescent="0.25">
      <c r="A2791" s="11">
        <f t="shared" si="43"/>
        <v>7709754</v>
      </c>
      <c r="B2791">
        <v>7709754</v>
      </c>
      <c r="C2791" t="s">
        <v>525</v>
      </c>
      <c r="D2791">
        <v>382.65</v>
      </c>
      <c r="E2791">
        <v>74</v>
      </c>
      <c r="F2791" s="7"/>
    </row>
    <row r="2792" spans="1:6" x14ac:dyDescent="0.25">
      <c r="A2792" s="11">
        <f t="shared" si="43"/>
        <v>7709755</v>
      </c>
      <c r="B2792">
        <v>7709755</v>
      </c>
      <c r="C2792" t="s">
        <v>550</v>
      </c>
      <c r="D2792">
        <v>290.81</v>
      </c>
      <c r="E2792">
        <v>8</v>
      </c>
      <c r="F2792" s="7"/>
    </row>
    <row r="2793" spans="1:6" x14ac:dyDescent="0.25">
      <c r="A2793" s="11">
        <f t="shared" si="43"/>
        <v>7709756</v>
      </c>
      <c r="B2793">
        <v>7709756</v>
      </c>
      <c r="C2793" t="s">
        <v>536</v>
      </c>
      <c r="D2793">
        <v>375.1</v>
      </c>
      <c r="E2793">
        <v>36</v>
      </c>
      <c r="F2793" s="7"/>
    </row>
    <row r="2794" spans="1:6" x14ac:dyDescent="0.25">
      <c r="A2794" s="11" t="str">
        <f t="shared" si="43"/>
        <v/>
      </c>
      <c r="B2794" t="s">
        <v>1859</v>
      </c>
      <c r="C2794" t="s">
        <v>1859</v>
      </c>
      <c r="D2794">
        <v>0</v>
      </c>
      <c r="E2794">
        <v>0</v>
      </c>
      <c r="F2794" s="7"/>
    </row>
    <row r="2795" spans="1:6" x14ac:dyDescent="0.25">
      <c r="A2795" s="11">
        <f t="shared" si="43"/>
        <v>7709784</v>
      </c>
      <c r="B2795">
        <v>7709784</v>
      </c>
      <c r="C2795" t="s">
        <v>2352</v>
      </c>
      <c r="D2795">
        <v>0</v>
      </c>
      <c r="E2795">
        <v>0</v>
      </c>
      <c r="F2795" s="7"/>
    </row>
    <row r="2796" spans="1:6" x14ac:dyDescent="0.25">
      <c r="A2796" s="11" t="str">
        <f t="shared" si="43"/>
        <v/>
      </c>
      <c r="B2796" t="s">
        <v>1859</v>
      </c>
      <c r="C2796" t="s">
        <v>1859</v>
      </c>
      <c r="D2796">
        <v>0</v>
      </c>
      <c r="E2796">
        <v>0</v>
      </c>
      <c r="F2796" s="7"/>
    </row>
    <row r="2797" spans="1:6" x14ac:dyDescent="0.25">
      <c r="A2797" s="11">
        <f t="shared" si="43"/>
        <v>7709785</v>
      </c>
      <c r="B2797">
        <v>7709785</v>
      </c>
      <c r="C2797" t="s">
        <v>2353</v>
      </c>
      <c r="D2797">
        <v>0</v>
      </c>
      <c r="E2797">
        <v>0</v>
      </c>
      <c r="F2797" s="7"/>
    </row>
    <row r="2798" spans="1:6" x14ac:dyDescent="0.25">
      <c r="A2798" s="11">
        <f t="shared" si="43"/>
        <v>7709786</v>
      </c>
      <c r="B2798">
        <v>7709786</v>
      </c>
      <c r="C2798" t="s">
        <v>540</v>
      </c>
      <c r="D2798">
        <v>325.56</v>
      </c>
      <c r="E2798">
        <v>0</v>
      </c>
      <c r="F2798" s="7"/>
    </row>
    <row r="2799" spans="1:6" x14ac:dyDescent="0.25">
      <c r="A2799" s="11">
        <f t="shared" si="43"/>
        <v>7709787</v>
      </c>
      <c r="B2799">
        <v>7709787</v>
      </c>
      <c r="C2799" t="s">
        <v>552</v>
      </c>
      <c r="D2799">
        <v>275.48</v>
      </c>
      <c r="E2799">
        <v>0</v>
      </c>
      <c r="F2799" s="7"/>
    </row>
    <row r="2800" spans="1:6" x14ac:dyDescent="0.25">
      <c r="A2800" s="11" t="str">
        <f t="shared" si="43"/>
        <v/>
      </c>
      <c r="B2800" t="s">
        <v>1859</v>
      </c>
      <c r="C2800" t="s">
        <v>1859</v>
      </c>
      <c r="D2800">
        <v>0</v>
      </c>
      <c r="E2800">
        <v>0</v>
      </c>
      <c r="F2800" s="7"/>
    </row>
    <row r="2801" spans="1:6" x14ac:dyDescent="0.25">
      <c r="A2801" s="11">
        <f t="shared" si="43"/>
        <v>7709788</v>
      </c>
      <c r="B2801">
        <v>7709788</v>
      </c>
      <c r="C2801" t="s">
        <v>551</v>
      </c>
      <c r="D2801">
        <v>0</v>
      </c>
      <c r="E2801">
        <v>0</v>
      </c>
      <c r="F2801" s="7"/>
    </row>
    <row r="2802" spans="1:6" x14ac:dyDescent="0.25">
      <c r="A2802" s="11">
        <f t="shared" si="43"/>
        <v>7709789</v>
      </c>
      <c r="B2802">
        <v>7709789</v>
      </c>
      <c r="C2802" t="s">
        <v>559</v>
      </c>
      <c r="D2802">
        <v>242</v>
      </c>
      <c r="E2802">
        <v>40</v>
      </c>
      <c r="F2802" s="7"/>
    </row>
    <row r="2803" spans="1:6" x14ac:dyDescent="0.25">
      <c r="A2803" s="11" t="str">
        <f t="shared" si="43"/>
        <v/>
      </c>
      <c r="B2803" t="s">
        <v>1859</v>
      </c>
      <c r="C2803" t="s">
        <v>1859</v>
      </c>
      <c r="D2803">
        <v>0</v>
      </c>
      <c r="E2803">
        <v>0</v>
      </c>
      <c r="F2803" s="7"/>
    </row>
    <row r="2804" spans="1:6" x14ac:dyDescent="0.25">
      <c r="A2804" s="11">
        <f t="shared" si="43"/>
        <v>7709790</v>
      </c>
      <c r="B2804">
        <v>7709790</v>
      </c>
      <c r="C2804" t="s">
        <v>2354</v>
      </c>
      <c r="D2804">
        <v>0</v>
      </c>
      <c r="E2804">
        <v>0</v>
      </c>
      <c r="F2804" s="7"/>
    </row>
    <row r="2805" spans="1:6" x14ac:dyDescent="0.25">
      <c r="A2805" s="11">
        <f t="shared" si="43"/>
        <v>7709800</v>
      </c>
      <c r="B2805">
        <v>7709800</v>
      </c>
      <c r="C2805" t="s">
        <v>580</v>
      </c>
      <c r="D2805">
        <v>275.48</v>
      </c>
      <c r="E2805">
        <v>86</v>
      </c>
      <c r="F2805" s="7"/>
    </row>
    <row r="2806" spans="1:6" x14ac:dyDescent="0.25">
      <c r="A2806" s="11">
        <f t="shared" si="43"/>
        <v>7709801</v>
      </c>
      <c r="B2806">
        <v>7709801</v>
      </c>
      <c r="C2806" t="s">
        <v>581</v>
      </c>
      <c r="D2806">
        <v>175.3</v>
      </c>
      <c r="E2806">
        <v>28</v>
      </c>
      <c r="F2806" s="7"/>
    </row>
    <row r="2807" spans="1:6" x14ac:dyDescent="0.25">
      <c r="A2807" s="11" t="str">
        <f t="shared" si="43"/>
        <v/>
      </c>
      <c r="B2807" t="s">
        <v>1859</v>
      </c>
      <c r="C2807" t="s">
        <v>1859</v>
      </c>
      <c r="D2807">
        <v>0</v>
      </c>
      <c r="E2807">
        <v>0</v>
      </c>
      <c r="F2807" s="7"/>
    </row>
    <row r="2808" spans="1:6" x14ac:dyDescent="0.25">
      <c r="A2808" s="11">
        <f t="shared" si="43"/>
        <v>7709802</v>
      </c>
      <c r="B2808">
        <v>7709802</v>
      </c>
      <c r="C2808" t="s">
        <v>2355</v>
      </c>
      <c r="D2808">
        <v>0</v>
      </c>
      <c r="E2808">
        <v>0</v>
      </c>
      <c r="F2808" s="7"/>
    </row>
    <row r="2809" spans="1:6" x14ac:dyDescent="0.25">
      <c r="A2809" s="11" t="str">
        <f t="shared" si="43"/>
        <v/>
      </c>
      <c r="B2809" t="s">
        <v>1859</v>
      </c>
      <c r="C2809" t="s">
        <v>1859</v>
      </c>
      <c r="D2809">
        <v>0</v>
      </c>
      <c r="E2809">
        <v>0</v>
      </c>
      <c r="F2809" s="7"/>
    </row>
    <row r="2810" spans="1:6" x14ac:dyDescent="0.25">
      <c r="A2810" s="11">
        <f t="shared" si="43"/>
        <v>7709803</v>
      </c>
      <c r="B2810">
        <v>7709803</v>
      </c>
      <c r="C2810" t="s">
        <v>2356</v>
      </c>
      <c r="D2810">
        <v>0</v>
      </c>
      <c r="E2810">
        <v>0</v>
      </c>
      <c r="F2810" s="7"/>
    </row>
    <row r="2811" spans="1:6" x14ac:dyDescent="0.25">
      <c r="A2811" s="11" t="str">
        <f t="shared" si="43"/>
        <v/>
      </c>
      <c r="B2811" t="s">
        <v>1859</v>
      </c>
      <c r="C2811" t="s">
        <v>1859</v>
      </c>
      <c r="D2811">
        <v>0</v>
      </c>
      <c r="E2811">
        <v>0</v>
      </c>
      <c r="F2811" s="7"/>
    </row>
    <row r="2812" spans="1:6" x14ac:dyDescent="0.25">
      <c r="A2812" s="11">
        <f t="shared" si="43"/>
        <v>7709804</v>
      </c>
      <c r="B2812">
        <v>7709804</v>
      </c>
      <c r="C2812" t="s">
        <v>2357</v>
      </c>
      <c r="D2812">
        <v>0</v>
      </c>
      <c r="E2812">
        <v>0</v>
      </c>
      <c r="F2812" s="7"/>
    </row>
    <row r="2813" spans="1:6" x14ac:dyDescent="0.25">
      <c r="A2813" s="11" t="str">
        <f t="shared" si="43"/>
        <v/>
      </c>
      <c r="B2813" t="s">
        <v>1859</v>
      </c>
      <c r="C2813" t="s">
        <v>1859</v>
      </c>
      <c r="D2813">
        <v>0</v>
      </c>
      <c r="E2813">
        <v>0</v>
      </c>
      <c r="F2813" s="7"/>
    </row>
    <row r="2814" spans="1:6" x14ac:dyDescent="0.25">
      <c r="A2814" s="11">
        <f t="shared" si="43"/>
        <v>7709805</v>
      </c>
      <c r="B2814">
        <v>7709805</v>
      </c>
      <c r="C2814" t="s">
        <v>2358</v>
      </c>
      <c r="D2814">
        <v>0</v>
      </c>
      <c r="E2814">
        <v>0</v>
      </c>
      <c r="F2814" s="7"/>
    </row>
    <row r="2815" spans="1:6" x14ac:dyDescent="0.25">
      <c r="A2815" s="11" t="str">
        <f t="shared" si="43"/>
        <v/>
      </c>
      <c r="B2815" t="s">
        <v>1859</v>
      </c>
      <c r="C2815" t="s">
        <v>1859</v>
      </c>
      <c r="D2815">
        <v>0</v>
      </c>
      <c r="E2815">
        <v>0</v>
      </c>
      <c r="F2815" s="7"/>
    </row>
    <row r="2816" spans="1:6" x14ac:dyDescent="0.25">
      <c r="A2816" s="11">
        <f t="shared" si="43"/>
        <v>7709806</v>
      </c>
      <c r="B2816">
        <v>7709806</v>
      </c>
      <c r="C2816" t="s">
        <v>2359</v>
      </c>
      <c r="D2816">
        <v>0</v>
      </c>
      <c r="E2816">
        <v>0</v>
      </c>
      <c r="F2816" s="7"/>
    </row>
    <row r="2817" spans="1:6" x14ac:dyDescent="0.25">
      <c r="A2817" s="11" t="str">
        <f t="shared" si="43"/>
        <v/>
      </c>
      <c r="B2817" t="s">
        <v>1859</v>
      </c>
      <c r="C2817" t="s">
        <v>1859</v>
      </c>
      <c r="D2817">
        <v>0</v>
      </c>
      <c r="E2817">
        <v>0</v>
      </c>
      <c r="F2817" s="7"/>
    </row>
    <row r="2818" spans="1:6" x14ac:dyDescent="0.25">
      <c r="A2818" s="11">
        <f t="shared" si="43"/>
        <v>7709807</v>
      </c>
      <c r="B2818">
        <v>7709807</v>
      </c>
      <c r="C2818" t="s">
        <v>2360</v>
      </c>
      <c r="D2818">
        <v>0</v>
      </c>
      <c r="E2818">
        <v>0</v>
      </c>
      <c r="F2818" s="7"/>
    </row>
    <row r="2819" spans="1:6" x14ac:dyDescent="0.25">
      <c r="A2819" s="11" t="str">
        <f t="shared" si="43"/>
        <v/>
      </c>
      <c r="B2819" t="s">
        <v>1859</v>
      </c>
      <c r="C2819" t="s">
        <v>1859</v>
      </c>
      <c r="D2819">
        <v>0</v>
      </c>
      <c r="E2819">
        <v>0</v>
      </c>
      <c r="F2819" s="7"/>
    </row>
    <row r="2820" spans="1:6" x14ac:dyDescent="0.25">
      <c r="A2820" s="11">
        <f t="shared" si="43"/>
        <v>7709808</v>
      </c>
      <c r="B2820">
        <v>7709808</v>
      </c>
      <c r="C2820" t="s">
        <v>2361</v>
      </c>
      <c r="D2820">
        <v>0</v>
      </c>
      <c r="E2820">
        <v>0</v>
      </c>
      <c r="F2820" s="7"/>
    </row>
    <row r="2821" spans="1:6" x14ac:dyDescent="0.25">
      <c r="A2821" s="11" t="str">
        <f t="shared" si="43"/>
        <v/>
      </c>
      <c r="B2821" t="s">
        <v>1859</v>
      </c>
      <c r="C2821" t="s">
        <v>1859</v>
      </c>
      <c r="D2821">
        <v>0</v>
      </c>
      <c r="E2821">
        <v>0</v>
      </c>
      <c r="F2821" s="7"/>
    </row>
    <row r="2822" spans="1:6" x14ac:dyDescent="0.25">
      <c r="A2822" s="11">
        <f t="shared" ref="A2822:A2885" si="44">IFERROR(B2822*1,"")</f>
        <v>7709809</v>
      </c>
      <c r="B2822">
        <v>7709809</v>
      </c>
      <c r="C2822" t="s">
        <v>2362</v>
      </c>
      <c r="D2822">
        <v>0</v>
      </c>
      <c r="E2822">
        <v>0</v>
      </c>
      <c r="F2822" s="7"/>
    </row>
    <row r="2823" spans="1:6" x14ac:dyDescent="0.25">
      <c r="A2823" s="11" t="str">
        <f t="shared" si="44"/>
        <v/>
      </c>
      <c r="B2823" t="s">
        <v>1859</v>
      </c>
      <c r="C2823" t="s">
        <v>1859</v>
      </c>
      <c r="D2823">
        <v>0</v>
      </c>
      <c r="E2823">
        <v>0</v>
      </c>
      <c r="F2823" s="7"/>
    </row>
    <row r="2824" spans="1:6" x14ac:dyDescent="0.25">
      <c r="A2824" s="11">
        <f t="shared" si="44"/>
        <v>7709810</v>
      </c>
      <c r="B2824">
        <v>7709810</v>
      </c>
      <c r="C2824" t="s">
        <v>2363</v>
      </c>
      <c r="D2824">
        <v>0</v>
      </c>
      <c r="E2824">
        <v>0</v>
      </c>
      <c r="F2824" s="7"/>
    </row>
    <row r="2825" spans="1:6" x14ac:dyDescent="0.25">
      <c r="A2825" s="11" t="str">
        <f t="shared" si="44"/>
        <v/>
      </c>
      <c r="B2825" t="s">
        <v>1859</v>
      </c>
      <c r="C2825" t="s">
        <v>1859</v>
      </c>
      <c r="D2825">
        <v>0</v>
      </c>
      <c r="E2825">
        <v>0</v>
      </c>
      <c r="F2825" s="7"/>
    </row>
    <row r="2826" spans="1:6" x14ac:dyDescent="0.25">
      <c r="A2826" s="11">
        <f t="shared" si="44"/>
        <v>7709811</v>
      </c>
      <c r="B2826">
        <v>7709811</v>
      </c>
      <c r="C2826" t="s">
        <v>2364</v>
      </c>
      <c r="D2826">
        <v>0</v>
      </c>
      <c r="E2826">
        <v>0</v>
      </c>
      <c r="F2826" s="7"/>
    </row>
    <row r="2827" spans="1:6" x14ac:dyDescent="0.25">
      <c r="A2827" s="11" t="str">
        <f t="shared" si="44"/>
        <v/>
      </c>
      <c r="B2827" t="s">
        <v>1859</v>
      </c>
      <c r="C2827" t="s">
        <v>1859</v>
      </c>
      <c r="D2827">
        <v>0</v>
      </c>
      <c r="E2827">
        <v>0</v>
      </c>
      <c r="F2827" s="7"/>
    </row>
    <row r="2828" spans="1:6" x14ac:dyDescent="0.25">
      <c r="A2828" s="11">
        <f t="shared" si="44"/>
        <v>7709812</v>
      </c>
      <c r="B2828">
        <v>7709812</v>
      </c>
      <c r="C2828" t="s">
        <v>2365</v>
      </c>
      <c r="D2828">
        <v>0</v>
      </c>
      <c r="E2828">
        <v>0</v>
      </c>
      <c r="F2828" s="7"/>
    </row>
    <row r="2829" spans="1:6" x14ac:dyDescent="0.25">
      <c r="A2829" s="11" t="str">
        <f t="shared" si="44"/>
        <v/>
      </c>
      <c r="B2829" t="s">
        <v>1859</v>
      </c>
      <c r="C2829" t="s">
        <v>1859</v>
      </c>
      <c r="D2829">
        <v>0</v>
      </c>
      <c r="E2829">
        <v>0</v>
      </c>
      <c r="F2829" s="7"/>
    </row>
    <row r="2830" spans="1:6" x14ac:dyDescent="0.25">
      <c r="A2830" s="11">
        <f t="shared" si="44"/>
        <v>7709813</v>
      </c>
      <c r="B2830">
        <v>7709813</v>
      </c>
      <c r="C2830" t="s">
        <v>2366</v>
      </c>
      <c r="D2830">
        <v>0</v>
      </c>
      <c r="E2830">
        <v>0</v>
      </c>
      <c r="F2830" s="7"/>
    </row>
    <row r="2831" spans="1:6" x14ac:dyDescent="0.25">
      <c r="A2831" s="11" t="str">
        <f t="shared" si="44"/>
        <v/>
      </c>
      <c r="B2831" t="s">
        <v>1859</v>
      </c>
      <c r="C2831" t="s">
        <v>1859</v>
      </c>
      <c r="D2831">
        <v>0</v>
      </c>
      <c r="E2831">
        <v>0</v>
      </c>
      <c r="F2831" s="7"/>
    </row>
    <row r="2832" spans="1:6" x14ac:dyDescent="0.25">
      <c r="A2832" s="11">
        <f t="shared" si="44"/>
        <v>7709814</v>
      </c>
      <c r="B2832">
        <v>7709814</v>
      </c>
      <c r="C2832" t="s">
        <v>2367</v>
      </c>
      <c r="D2832">
        <v>0</v>
      </c>
      <c r="E2832">
        <v>0</v>
      </c>
      <c r="F2832" s="7"/>
    </row>
    <row r="2833" spans="1:6" x14ac:dyDescent="0.25">
      <c r="A2833" s="11" t="str">
        <f t="shared" si="44"/>
        <v/>
      </c>
      <c r="B2833" t="s">
        <v>1859</v>
      </c>
      <c r="C2833" t="s">
        <v>1859</v>
      </c>
      <c r="D2833">
        <v>0</v>
      </c>
      <c r="E2833">
        <v>0</v>
      </c>
      <c r="F2833" s="7"/>
    </row>
    <row r="2834" spans="1:6" x14ac:dyDescent="0.25">
      <c r="A2834" s="11">
        <f t="shared" si="44"/>
        <v>7709815</v>
      </c>
      <c r="B2834">
        <v>7709815</v>
      </c>
      <c r="C2834" t="s">
        <v>2368</v>
      </c>
      <c r="D2834">
        <v>0</v>
      </c>
      <c r="E2834">
        <v>0</v>
      </c>
      <c r="F2834" s="7"/>
    </row>
    <row r="2835" spans="1:6" x14ac:dyDescent="0.25">
      <c r="A2835" s="11" t="str">
        <f t="shared" si="44"/>
        <v/>
      </c>
      <c r="B2835" t="s">
        <v>1859</v>
      </c>
      <c r="C2835" t="s">
        <v>1859</v>
      </c>
      <c r="D2835">
        <v>0</v>
      </c>
      <c r="E2835">
        <v>0</v>
      </c>
      <c r="F2835" s="7"/>
    </row>
    <row r="2836" spans="1:6" x14ac:dyDescent="0.25">
      <c r="A2836" s="11">
        <f t="shared" si="44"/>
        <v>7709816</v>
      </c>
      <c r="B2836">
        <v>7709816</v>
      </c>
      <c r="C2836" t="s">
        <v>2369</v>
      </c>
      <c r="D2836">
        <v>0</v>
      </c>
      <c r="E2836">
        <v>0</v>
      </c>
      <c r="F2836" s="7"/>
    </row>
    <row r="2837" spans="1:6" x14ac:dyDescent="0.25">
      <c r="A2837" s="11" t="str">
        <f t="shared" si="44"/>
        <v/>
      </c>
      <c r="B2837" t="s">
        <v>1859</v>
      </c>
      <c r="C2837" t="s">
        <v>1859</v>
      </c>
      <c r="D2837">
        <v>0</v>
      </c>
      <c r="E2837">
        <v>0</v>
      </c>
      <c r="F2837" s="7"/>
    </row>
    <row r="2838" spans="1:6" x14ac:dyDescent="0.25">
      <c r="A2838" s="11">
        <f t="shared" si="44"/>
        <v>7709817</v>
      </c>
      <c r="B2838">
        <v>7709817</v>
      </c>
      <c r="C2838" t="s">
        <v>2370</v>
      </c>
      <c r="D2838">
        <v>0</v>
      </c>
      <c r="E2838">
        <v>0</v>
      </c>
      <c r="F2838" s="7"/>
    </row>
    <row r="2839" spans="1:6" x14ac:dyDescent="0.25">
      <c r="A2839" s="11" t="str">
        <f t="shared" si="44"/>
        <v/>
      </c>
      <c r="B2839" t="s">
        <v>1859</v>
      </c>
      <c r="C2839" t="s">
        <v>1859</v>
      </c>
      <c r="D2839">
        <v>0</v>
      </c>
      <c r="E2839">
        <v>0</v>
      </c>
      <c r="F2839" s="7"/>
    </row>
    <row r="2840" spans="1:6" x14ac:dyDescent="0.25">
      <c r="A2840" s="11">
        <f t="shared" si="44"/>
        <v>7709818</v>
      </c>
      <c r="B2840">
        <v>7709818</v>
      </c>
      <c r="C2840" t="s">
        <v>2371</v>
      </c>
      <c r="D2840">
        <v>0</v>
      </c>
      <c r="E2840">
        <v>0</v>
      </c>
      <c r="F2840" s="7"/>
    </row>
    <row r="2841" spans="1:6" x14ac:dyDescent="0.25">
      <c r="A2841" s="11" t="str">
        <f t="shared" si="44"/>
        <v/>
      </c>
      <c r="B2841" t="s">
        <v>1859</v>
      </c>
      <c r="C2841" t="s">
        <v>1859</v>
      </c>
      <c r="D2841">
        <v>0</v>
      </c>
      <c r="E2841">
        <v>0</v>
      </c>
      <c r="F2841" s="7"/>
    </row>
    <row r="2842" spans="1:6" x14ac:dyDescent="0.25">
      <c r="A2842" s="11">
        <f t="shared" si="44"/>
        <v>7709819</v>
      </c>
      <c r="B2842">
        <v>7709819</v>
      </c>
      <c r="C2842" t="s">
        <v>2372</v>
      </c>
      <c r="D2842">
        <v>0</v>
      </c>
      <c r="E2842">
        <v>0</v>
      </c>
      <c r="F2842" s="7"/>
    </row>
    <row r="2843" spans="1:6" x14ac:dyDescent="0.25">
      <c r="A2843" s="11" t="str">
        <f t="shared" si="44"/>
        <v/>
      </c>
      <c r="B2843" t="s">
        <v>1859</v>
      </c>
      <c r="C2843" t="s">
        <v>1859</v>
      </c>
      <c r="D2843">
        <v>0</v>
      </c>
      <c r="E2843">
        <v>0</v>
      </c>
      <c r="F2843" s="7"/>
    </row>
    <row r="2844" spans="1:6" x14ac:dyDescent="0.25">
      <c r="A2844" s="11">
        <f t="shared" si="44"/>
        <v>7709820</v>
      </c>
      <c r="B2844">
        <v>7709820</v>
      </c>
      <c r="C2844" t="s">
        <v>2373</v>
      </c>
      <c r="D2844">
        <v>0</v>
      </c>
      <c r="E2844">
        <v>0</v>
      </c>
      <c r="F2844" s="7"/>
    </row>
    <row r="2845" spans="1:6" x14ac:dyDescent="0.25">
      <c r="A2845" s="11" t="str">
        <f t="shared" si="44"/>
        <v/>
      </c>
      <c r="B2845" t="s">
        <v>1859</v>
      </c>
      <c r="C2845" t="s">
        <v>1859</v>
      </c>
      <c r="D2845">
        <v>0</v>
      </c>
      <c r="E2845">
        <v>0</v>
      </c>
      <c r="F2845" s="7"/>
    </row>
    <row r="2846" spans="1:6" x14ac:dyDescent="0.25">
      <c r="A2846" s="11">
        <f t="shared" si="44"/>
        <v>7709821</v>
      </c>
      <c r="B2846">
        <v>7709821</v>
      </c>
      <c r="C2846" t="s">
        <v>2374</v>
      </c>
      <c r="D2846">
        <v>0</v>
      </c>
      <c r="E2846">
        <v>0</v>
      </c>
      <c r="F2846" s="7"/>
    </row>
    <row r="2847" spans="1:6" x14ac:dyDescent="0.25">
      <c r="A2847" s="11">
        <f t="shared" si="44"/>
        <v>7709831</v>
      </c>
      <c r="B2847">
        <v>7709831</v>
      </c>
      <c r="C2847" t="s">
        <v>2375</v>
      </c>
      <c r="D2847">
        <v>0</v>
      </c>
      <c r="E2847">
        <v>0</v>
      </c>
      <c r="F2847" s="7"/>
    </row>
    <row r="2848" spans="1:6" x14ac:dyDescent="0.25">
      <c r="A2848" s="11" t="str">
        <f t="shared" si="44"/>
        <v/>
      </c>
      <c r="B2848" t="s">
        <v>1859</v>
      </c>
      <c r="C2848" t="s">
        <v>1859</v>
      </c>
      <c r="D2848">
        <v>0</v>
      </c>
      <c r="E2848">
        <v>0</v>
      </c>
      <c r="F2848" s="7"/>
    </row>
    <row r="2849" spans="1:6" x14ac:dyDescent="0.25">
      <c r="A2849" s="11">
        <f t="shared" si="44"/>
        <v>7709833</v>
      </c>
      <c r="B2849">
        <v>7709833</v>
      </c>
      <c r="C2849" t="s">
        <v>2376</v>
      </c>
      <c r="D2849">
        <v>0</v>
      </c>
      <c r="E2849">
        <v>0</v>
      </c>
      <c r="F2849" s="7"/>
    </row>
    <row r="2850" spans="1:6" x14ac:dyDescent="0.25">
      <c r="A2850" s="11" t="str">
        <f t="shared" si="44"/>
        <v/>
      </c>
      <c r="B2850" t="s">
        <v>1859</v>
      </c>
      <c r="C2850" t="s">
        <v>1859</v>
      </c>
      <c r="D2850">
        <v>0</v>
      </c>
      <c r="E2850">
        <v>0</v>
      </c>
      <c r="F2850" s="7"/>
    </row>
    <row r="2851" spans="1:6" x14ac:dyDescent="0.25">
      <c r="A2851" s="11">
        <f t="shared" si="44"/>
        <v>7709834</v>
      </c>
      <c r="B2851">
        <v>7709834</v>
      </c>
      <c r="C2851" t="s">
        <v>2377</v>
      </c>
      <c r="D2851">
        <v>0</v>
      </c>
      <c r="E2851">
        <v>0</v>
      </c>
      <c r="F2851" s="7"/>
    </row>
    <row r="2852" spans="1:6" x14ac:dyDescent="0.25">
      <c r="A2852" s="11" t="str">
        <f t="shared" si="44"/>
        <v/>
      </c>
      <c r="B2852" t="s">
        <v>1859</v>
      </c>
      <c r="C2852" t="s">
        <v>1859</v>
      </c>
      <c r="D2852">
        <v>0</v>
      </c>
      <c r="E2852">
        <v>0</v>
      </c>
      <c r="F2852" s="7"/>
    </row>
    <row r="2853" spans="1:6" x14ac:dyDescent="0.25">
      <c r="A2853" s="11">
        <f t="shared" si="44"/>
        <v>7709835</v>
      </c>
      <c r="B2853">
        <v>7709835</v>
      </c>
      <c r="C2853" t="s">
        <v>2378</v>
      </c>
      <c r="D2853">
        <v>0</v>
      </c>
      <c r="E2853">
        <v>0</v>
      </c>
      <c r="F2853" s="7"/>
    </row>
    <row r="2854" spans="1:6" x14ac:dyDescent="0.25">
      <c r="A2854" s="11" t="str">
        <f t="shared" si="44"/>
        <v/>
      </c>
      <c r="B2854" t="s">
        <v>1859</v>
      </c>
      <c r="C2854" t="s">
        <v>1859</v>
      </c>
      <c r="D2854">
        <v>0</v>
      </c>
      <c r="E2854">
        <v>0</v>
      </c>
      <c r="F2854" s="7"/>
    </row>
    <row r="2855" spans="1:6" x14ac:dyDescent="0.25">
      <c r="A2855" s="11">
        <f t="shared" si="44"/>
        <v>7709836</v>
      </c>
      <c r="B2855">
        <v>7709836</v>
      </c>
      <c r="C2855" t="s">
        <v>2379</v>
      </c>
      <c r="D2855">
        <v>0</v>
      </c>
      <c r="E2855">
        <v>0</v>
      </c>
      <c r="F2855" s="7"/>
    </row>
    <row r="2856" spans="1:6" x14ac:dyDescent="0.25">
      <c r="A2856" s="11" t="str">
        <f t="shared" si="44"/>
        <v/>
      </c>
      <c r="B2856" t="s">
        <v>1859</v>
      </c>
      <c r="C2856" t="s">
        <v>1859</v>
      </c>
      <c r="D2856">
        <v>0</v>
      </c>
      <c r="E2856">
        <v>0</v>
      </c>
      <c r="F2856" s="7"/>
    </row>
    <row r="2857" spans="1:6" x14ac:dyDescent="0.25">
      <c r="A2857" s="11">
        <f t="shared" si="44"/>
        <v>7709850</v>
      </c>
      <c r="B2857">
        <v>7709850</v>
      </c>
      <c r="C2857" t="s">
        <v>2380</v>
      </c>
      <c r="D2857">
        <v>0</v>
      </c>
      <c r="E2857">
        <v>0</v>
      </c>
      <c r="F2857" s="7"/>
    </row>
    <row r="2858" spans="1:6" x14ac:dyDescent="0.25">
      <c r="A2858" s="11" t="str">
        <f t="shared" si="44"/>
        <v/>
      </c>
      <c r="B2858" t="s">
        <v>1859</v>
      </c>
      <c r="C2858" t="s">
        <v>1859</v>
      </c>
      <c r="D2858">
        <v>0</v>
      </c>
      <c r="E2858">
        <v>0</v>
      </c>
      <c r="F2858" s="7"/>
    </row>
    <row r="2859" spans="1:6" x14ac:dyDescent="0.25">
      <c r="A2859" s="11">
        <f t="shared" si="44"/>
        <v>7709851</v>
      </c>
      <c r="B2859">
        <v>7709851</v>
      </c>
      <c r="C2859" t="s">
        <v>2381</v>
      </c>
      <c r="D2859">
        <v>0</v>
      </c>
      <c r="E2859">
        <v>0</v>
      </c>
      <c r="F2859" s="7"/>
    </row>
    <row r="2860" spans="1:6" x14ac:dyDescent="0.25">
      <c r="A2860" s="11">
        <f t="shared" si="44"/>
        <v>7709852</v>
      </c>
      <c r="B2860">
        <v>7709852</v>
      </c>
      <c r="C2860" t="s">
        <v>1610</v>
      </c>
      <c r="D2860">
        <v>377.15</v>
      </c>
      <c r="E2860">
        <v>0</v>
      </c>
      <c r="F2860" s="7"/>
    </row>
    <row r="2861" spans="1:6" x14ac:dyDescent="0.25">
      <c r="A2861" s="11">
        <f t="shared" si="44"/>
        <v>7709853</v>
      </c>
      <c r="B2861">
        <v>7709853</v>
      </c>
      <c r="C2861" t="s">
        <v>13</v>
      </c>
      <c r="D2861">
        <v>273.99</v>
      </c>
      <c r="E2861">
        <v>10</v>
      </c>
      <c r="F2861" s="7"/>
    </row>
    <row r="2862" spans="1:6" x14ac:dyDescent="0.25">
      <c r="A2862" s="11">
        <f t="shared" si="44"/>
        <v>7709854</v>
      </c>
      <c r="B2862">
        <v>7709854</v>
      </c>
      <c r="C2862" t="s">
        <v>1611</v>
      </c>
      <c r="D2862">
        <v>325.56</v>
      </c>
      <c r="E2862">
        <v>11</v>
      </c>
      <c r="F2862" s="7"/>
    </row>
    <row r="2863" spans="1:6" x14ac:dyDescent="0.25">
      <c r="A2863" s="11">
        <f t="shared" si="44"/>
        <v>7709855</v>
      </c>
      <c r="B2863">
        <v>7709855</v>
      </c>
      <c r="C2863" t="s">
        <v>504</v>
      </c>
      <c r="D2863">
        <v>325.52</v>
      </c>
      <c r="E2863">
        <v>13</v>
      </c>
      <c r="F2863" s="7"/>
    </row>
    <row r="2864" spans="1:6" x14ac:dyDescent="0.25">
      <c r="A2864" s="11">
        <f t="shared" si="44"/>
        <v>7709856</v>
      </c>
      <c r="B2864">
        <v>7709856</v>
      </c>
      <c r="C2864" t="s">
        <v>2382</v>
      </c>
      <c r="D2864">
        <v>397.96</v>
      </c>
      <c r="E2864">
        <v>0</v>
      </c>
      <c r="F2864" s="7"/>
    </row>
    <row r="2865" spans="1:6" x14ac:dyDescent="0.25">
      <c r="A2865" s="11">
        <f t="shared" si="44"/>
        <v>7709857</v>
      </c>
      <c r="B2865">
        <v>7709857</v>
      </c>
      <c r="C2865" t="s">
        <v>519</v>
      </c>
      <c r="D2865">
        <v>336.74</v>
      </c>
      <c r="E2865">
        <v>7</v>
      </c>
      <c r="F2865" s="7"/>
    </row>
    <row r="2866" spans="1:6" x14ac:dyDescent="0.25">
      <c r="A2866" s="11">
        <f t="shared" si="44"/>
        <v>7709858</v>
      </c>
      <c r="B2866">
        <v>7709858</v>
      </c>
      <c r="C2866" t="s">
        <v>1612</v>
      </c>
      <c r="D2866">
        <v>250.44</v>
      </c>
      <c r="E2866">
        <v>0</v>
      </c>
      <c r="F2866" s="7"/>
    </row>
    <row r="2867" spans="1:6" x14ac:dyDescent="0.25">
      <c r="A2867" s="11">
        <f t="shared" si="44"/>
        <v>7709859</v>
      </c>
      <c r="B2867">
        <v>7709859</v>
      </c>
      <c r="C2867" t="s">
        <v>2383</v>
      </c>
      <c r="D2867">
        <v>0</v>
      </c>
      <c r="E2867">
        <v>215</v>
      </c>
      <c r="F2867" s="7"/>
    </row>
    <row r="2868" spans="1:6" x14ac:dyDescent="0.25">
      <c r="A2868" s="11" t="str">
        <f t="shared" si="44"/>
        <v/>
      </c>
      <c r="B2868" t="s">
        <v>1859</v>
      </c>
      <c r="C2868" t="s">
        <v>1859</v>
      </c>
      <c r="D2868">
        <v>0</v>
      </c>
      <c r="E2868">
        <v>0</v>
      </c>
      <c r="F2868" s="7"/>
    </row>
    <row r="2869" spans="1:6" x14ac:dyDescent="0.25">
      <c r="A2869" s="11">
        <f t="shared" si="44"/>
        <v>7709860</v>
      </c>
      <c r="B2869">
        <v>7709860</v>
      </c>
      <c r="C2869" t="s">
        <v>2384</v>
      </c>
      <c r="D2869">
        <v>0</v>
      </c>
      <c r="E2869">
        <v>0</v>
      </c>
      <c r="F2869" s="7"/>
    </row>
    <row r="2870" spans="1:6" x14ac:dyDescent="0.25">
      <c r="A2870" s="11">
        <f t="shared" si="44"/>
        <v>7709861</v>
      </c>
      <c r="B2870">
        <v>7709861</v>
      </c>
      <c r="C2870" t="s">
        <v>544</v>
      </c>
      <c r="D2870">
        <v>304.60000000000002</v>
      </c>
      <c r="E2870">
        <v>4</v>
      </c>
      <c r="F2870" s="7"/>
    </row>
    <row r="2871" spans="1:6" x14ac:dyDescent="0.25">
      <c r="A2871" s="11">
        <f t="shared" si="44"/>
        <v>7709865</v>
      </c>
      <c r="B2871">
        <v>7709865</v>
      </c>
      <c r="C2871" t="s">
        <v>543</v>
      </c>
      <c r="D2871">
        <v>304.60000000000002</v>
      </c>
      <c r="E2871">
        <v>7</v>
      </c>
      <c r="F2871" s="7"/>
    </row>
    <row r="2872" spans="1:6" x14ac:dyDescent="0.25">
      <c r="A2872" s="11">
        <f t="shared" si="44"/>
        <v>7709866</v>
      </c>
      <c r="B2872">
        <v>7709866</v>
      </c>
      <c r="C2872" t="s">
        <v>535</v>
      </c>
      <c r="D2872">
        <v>350.58</v>
      </c>
      <c r="E2872">
        <v>0</v>
      </c>
      <c r="F2872" s="7"/>
    </row>
    <row r="2873" spans="1:6" x14ac:dyDescent="0.25">
      <c r="A2873" s="11">
        <f t="shared" si="44"/>
        <v>7709867</v>
      </c>
      <c r="B2873">
        <v>7709867</v>
      </c>
      <c r="C2873" t="s">
        <v>528</v>
      </c>
      <c r="D2873">
        <v>250.44</v>
      </c>
      <c r="E2873">
        <v>13</v>
      </c>
      <c r="F2873" s="7"/>
    </row>
    <row r="2874" spans="1:6" x14ac:dyDescent="0.25">
      <c r="A2874" s="11" t="str">
        <f t="shared" si="44"/>
        <v/>
      </c>
      <c r="B2874" t="s">
        <v>1859</v>
      </c>
      <c r="C2874" t="s">
        <v>1859</v>
      </c>
      <c r="D2874">
        <v>0</v>
      </c>
      <c r="E2874">
        <v>0</v>
      </c>
      <c r="F2874" s="7"/>
    </row>
    <row r="2875" spans="1:6" x14ac:dyDescent="0.25">
      <c r="A2875" s="11">
        <f t="shared" si="44"/>
        <v>7709869</v>
      </c>
      <c r="B2875">
        <v>7709869</v>
      </c>
      <c r="C2875" t="s">
        <v>2385</v>
      </c>
      <c r="D2875">
        <v>0</v>
      </c>
      <c r="E2875">
        <v>0</v>
      </c>
      <c r="F2875" s="7"/>
    </row>
    <row r="2876" spans="1:6" x14ac:dyDescent="0.25">
      <c r="A2876" s="11" t="str">
        <f t="shared" si="44"/>
        <v/>
      </c>
      <c r="B2876" t="s">
        <v>1859</v>
      </c>
      <c r="C2876" t="s">
        <v>1859</v>
      </c>
      <c r="D2876">
        <v>0</v>
      </c>
      <c r="E2876">
        <v>0</v>
      </c>
      <c r="F2876" s="7"/>
    </row>
    <row r="2877" spans="1:6" x14ac:dyDescent="0.25">
      <c r="A2877" s="11">
        <f t="shared" si="44"/>
        <v>77098818</v>
      </c>
      <c r="B2877">
        <v>77098818</v>
      </c>
      <c r="C2877" t="s">
        <v>2365</v>
      </c>
      <c r="D2877">
        <v>0</v>
      </c>
      <c r="E2877">
        <v>0</v>
      </c>
      <c r="F2877" s="7"/>
    </row>
    <row r="2878" spans="1:6" x14ac:dyDescent="0.25">
      <c r="A2878" s="11" t="str">
        <f t="shared" si="44"/>
        <v/>
      </c>
      <c r="B2878" t="s">
        <v>1859</v>
      </c>
      <c r="C2878" t="s">
        <v>1859</v>
      </c>
      <c r="D2878">
        <v>0</v>
      </c>
      <c r="E2878">
        <v>0</v>
      </c>
      <c r="F2878" s="7"/>
    </row>
    <row r="2879" spans="1:6" x14ac:dyDescent="0.25">
      <c r="A2879" s="11">
        <f t="shared" si="44"/>
        <v>7709890</v>
      </c>
      <c r="B2879">
        <v>7709890</v>
      </c>
      <c r="C2879" t="s">
        <v>2386</v>
      </c>
      <c r="D2879">
        <v>0</v>
      </c>
      <c r="E2879">
        <v>0</v>
      </c>
      <c r="F2879" s="7"/>
    </row>
    <row r="2880" spans="1:6" x14ac:dyDescent="0.25">
      <c r="A2880" s="11" t="str">
        <f t="shared" si="44"/>
        <v/>
      </c>
      <c r="B2880" t="s">
        <v>1859</v>
      </c>
      <c r="C2880" t="s">
        <v>1859</v>
      </c>
      <c r="D2880">
        <v>0</v>
      </c>
      <c r="E2880">
        <v>0</v>
      </c>
      <c r="F2880" s="7"/>
    </row>
    <row r="2881" spans="1:6" x14ac:dyDescent="0.25">
      <c r="A2881" s="11">
        <f t="shared" si="44"/>
        <v>7709900</v>
      </c>
      <c r="B2881">
        <v>7709900</v>
      </c>
      <c r="C2881" t="s">
        <v>2387</v>
      </c>
      <c r="D2881">
        <v>0</v>
      </c>
      <c r="E2881">
        <v>0</v>
      </c>
      <c r="F2881" s="7"/>
    </row>
    <row r="2882" spans="1:6" x14ac:dyDescent="0.25">
      <c r="A2882" s="11" t="str">
        <f t="shared" si="44"/>
        <v/>
      </c>
      <c r="B2882" t="s">
        <v>1859</v>
      </c>
      <c r="C2882" t="s">
        <v>1859</v>
      </c>
      <c r="D2882">
        <v>0</v>
      </c>
      <c r="E2882">
        <v>0</v>
      </c>
      <c r="F2882" s="7"/>
    </row>
    <row r="2883" spans="1:6" x14ac:dyDescent="0.25">
      <c r="A2883" s="11">
        <f t="shared" si="44"/>
        <v>7709901</v>
      </c>
      <c r="B2883">
        <v>7709901</v>
      </c>
      <c r="C2883" t="s">
        <v>2388</v>
      </c>
      <c r="D2883">
        <v>0</v>
      </c>
      <c r="E2883">
        <v>0</v>
      </c>
      <c r="F2883" s="7"/>
    </row>
    <row r="2884" spans="1:6" x14ac:dyDescent="0.25">
      <c r="A2884" s="11">
        <f t="shared" si="44"/>
        <v>7709902</v>
      </c>
      <c r="B2884">
        <v>7709902</v>
      </c>
      <c r="C2884" t="s">
        <v>576</v>
      </c>
      <c r="D2884">
        <v>275.19</v>
      </c>
      <c r="E2884">
        <v>0</v>
      </c>
      <c r="F2884" s="7"/>
    </row>
    <row r="2885" spans="1:6" x14ac:dyDescent="0.25">
      <c r="A2885" s="11" t="str">
        <f t="shared" si="44"/>
        <v/>
      </c>
      <c r="B2885" t="s">
        <v>1859</v>
      </c>
      <c r="C2885" t="s">
        <v>1859</v>
      </c>
      <c r="D2885">
        <v>0</v>
      </c>
      <c r="E2885">
        <v>0</v>
      </c>
      <c r="F2885" s="7"/>
    </row>
    <row r="2886" spans="1:6" x14ac:dyDescent="0.25">
      <c r="A2886" s="11">
        <f t="shared" ref="A2886:A2949" si="45">IFERROR(B2886*1,"")</f>
        <v>7709909</v>
      </c>
      <c r="B2886">
        <v>7709909</v>
      </c>
      <c r="C2886" t="s">
        <v>2389</v>
      </c>
      <c r="D2886">
        <v>0</v>
      </c>
      <c r="E2886">
        <v>0</v>
      </c>
      <c r="F2886" s="7"/>
    </row>
    <row r="2887" spans="1:6" x14ac:dyDescent="0.25">
      <c r="A2887" s="11">
        <f t="shared" si="45"/>
        <v>7709943</v>
      </c>
      <c r="B2887">
        <v>7709943</v>
      </c>
      <c r="C2887" t="s">
        <v>1613</v>
      </c>
      <c r="D2887">
        <v>339.43</v>
      </c>
      <c r="E2887">
        <v>3</v>
      </c>
      <c r="F2887" s="7"/>
    </row>
    <row r="2888" spans="1:6" x14ac:dyDescent="0.25">
      <c r="A2888" s="11" t="str">
        <f t="shared" si="45"/>
        <v/>
      </c>
      <c r="B2888" t="s">
        <v>1859</v>
      </c>
      <c r="C2888" t="s">
        <v>1859</v>
      </c>
      <c r="D2888">
        <v>0</v>
      </c>
      <c r="E2888">
        <v>0</v>
      </c>
      <c r="F2888" s="7"/>
    </row>
    <row r="2889" spans="1:6" x14ac:dyDescent="0.25">
      <c r="A2889" s="11">
        <f t="shared" si="45"/>
        <v>7709955</v>
      </c>
      <c r="B2889">
        <v>7709955</v>
      </c>
      <c r="C2889" t="s">
        <v>2390</v>
      </c>
      <c r="D2889">
        <v>0</v>
      </c>
      <c r="E2889">
        <v>0</v>
      </c>
      <c r="F2889" s="7"/>
    </row>
    <row r="2890" spans="1:6" x14ac:dyDescent="0.25">
      <c r="A2890" s="11">
        <f t="shared" si="45"/>
        <v>7709956</v>
      </c>
      <c r="B2890">
        <v>7709956</v>
      </c>
      <c r="C2890" t="s">
        <v>563</v>
      </c>
      <c r="D2890">
        <v>32.56</v>
      </c>
      <c r="E2890">
        <v>0</v>
      </c>
      <c r="F2890" s="7"/>
    </row>
    <row r="2891" spans="1:6" x14ac:dyDescent="0.25">
      <c r="A2891" s="11" t="str">
        <f t="shared" si="45"/>
        <v/>
      </c>
      <c r="B2891" t="s">
        <v>1859</v>
      </c>
      <c r="C2891" t="s">
        <v>1859</v>
      </c>
      <c r="D2891">
        <v>0</v>
      </c>
      <c r="E2891">
        <v>0</v>
      </c>
      <c r="F2891" s="7"/>
    </row>
    <row r="2892" spans="1:6" x14ac:dyDescent="0.25">
      <c r="A2892" s="11">
        <f t="shared" si="45"/>
        <v>7709998</v>
      </c>
      <c r="B2892">
        <v>7709998</v>
      </c>
      <c r="C2892" t="s">
        <v>2391</v>
      </c>
      <c r="D2892">
        <v>0</v>
      </c>
      <c r="E2892">
        <v>0</v>
      </c>
      <c r="F2892" s="7"/>
    </row>
    <row r="2893" spans="1:6" x14ac:dyDescent="0.25">
      <c r="A2893" s="11">
        <f t="shared" si="45"/>
        <v>7709999</v>
      </c>
      <c r="B2893">
        <v>7709999</v>
      </c>
      <c r="C2893" t="s">
        <v>1614</v>
      </c>
      <c r="D2893">
        <v>188.58</v>
      </c>
      <c r="E2893">
        <v>0</v>
      </c>
      <c r="F2893" s="7"/>
    </row>
    <row r="2894" spans="1:6" x14ac:dyDescent="0.25">
      <c r="A2894" s="11">
        <f t="shared" si="45"/>
        <v>7710001</v>
      </c>
      <c r="B2894">
        <v>7710001</v>
      </c>
      <c r="C2894" t="s">
        <v>592</v>
      </c>
      <c r="D2894">
        <v>465.84</v>
      </c>
      <c r="E2894">
        <v>217</v>
      </c>
      <c r="F2894" s="7"/>
    </row>
    <row r="2895" spans="1:6" x14ac:dyDescent="0.25">
      <c r="A2895" s="11" t="str">
        <f t="shared" si="45"/>
        <v/>
      </c>
      <c r="B2895" t="s">
        <v>1859</v>
      </c>
      <c r="C2895" t="s">
        <v>1859</v>
      </c>
      <c r="D2895">
        <v>0</v>
      </c>
      <c r="E2895">
        <v>0</v>
      </c>
      <c r="F2895" s="7"/>
    </row>
    <row r="2896" spans="1:6" x14ac:dyDescent="0.25">
      <c r="A2896" s="11">
        <f t="shared" si="45"/>
        <v>7710010</v>
      </c>
      <c r="B2896">
        <v>7710010</v>
      </c>
      <c r="C2896" t="s">
        <v>2392</v>
      </c>
      <c r="D2896">
        <v>0</v>
      </c>
      <c r="E2896">
        <v>0</v>
      </c>
      <c r="F2896" s="7"/>
    </row>
    <row r="2897" spans="1:6" x14ac:dyDescent="0.25">
      <c r="A2897" s="11">
        <f t="shared" si="45"/>
        <v>7710020</v>
      </c>
      <c r="B2897">
        <v>7710020</v>
      </c>
      <c r="C2897" t="s">
        <v>593</v>
      </c>
      <c r="D2897">
        <v>381.14</v>
      </c>
      <c r="E2897">
        <v>101</v>
      </c>
      <c r="F2897" s="7"/>
    </row>
    <row r="2898" spans="1:6" x14ac:dyDescent="0.25">
      <c r="A2898" s="11" t="str">
        <f t="shared" si="45"/>
        <v/>
      </c>
      <c r="B2898" t="s">
        <v>1859</v>
      </c>
      <c r="C2898" t="s">
        <v>1859</v>
      </c>
      <c r="D2898">
        <v>0</v>
      </c>
      <c r="E2898">
        <v>0</v>
      </c>
      <c r="F2898" s="7"/>
    </row>
    <row r="2899" spans="1:6" x14ac:dyDescent="0.25">
      <c r="A2899" s="11">
        <f t="shared" si="45"/>
        <v>7710021</v>
      </c>
      <c r="B2899">
        <v>7710021</v>
      </c>
      <c r="C2899" t="s">
        <v>2393</v>
      </c>
      <c r="D2899">
        <v>0</v>
      </c>
      <c r="E2899">
        <v>0</v>
      </c>
      <c r="F2899" s="7"/>
    </row>
    <row r="2900" spans="1:6" x14ac:dyDescent="0.25">
      <c r="A2900" s="11">
        <f t="shared" si="45"/>
        <v>7710022</v>
      </c>
      <c r="B2900">
        <v>7710022</v>
      </c>
      <c r="C2900" t="s">
        <v>1615</v>
      </c>
      <c r="D2900">
        <v>50.49</v>
      </c>
      <c r="E2900">
        <v>40</v>
      </c>
      <c r="F2900" s="7"/>
    </row>
    <row r="2901" spans="1:6" x14ac:dyDescent="0.25">
      <c r="A2901" s="11">
        <f t="shared" si="45"/>
        <v>7710030</v>
      </c>
      <c r="B2901">
        <v>7710030</v>
      </c>
      <c r="C2901" t="s">
        <v>1616</v>
      </c>
      <c r="D2901">
        <v>289.3</v>
      </c>
      <c r="E2901">
        <v>37</v>
      </c>
      <c r="F2901" s="7"/>
    </row>
    <row r="2902" spans="1:6" x14ac:dyDescent="0.25">
      <c r="A2902" s="11">
        <f t="shared" si="45"/>
        <v>7710031</v>
      </c>
      <c r="B2902">
        <v>7710031</v>
      </c>
      <c r="C2902" t="s">
        <v>1617</v>
      </c>
      <c r="D2902">
        <v>289.3</v>
      </c>
      <c r="E2902">
        <v>42</v>
      </c>
      <c r="F2902" s="7"/>
    </row>
    <row r="2903" spans="1:6" x14ac:dyDescent="0.25">
      <c r="A2903" s="11">
        <f t="shared" si="45"/>
        <v>7710032</v>
      </c>
      <c r="B2903">
        <v>7710032</v>
      </c>
      <c r="C2903" t="s">
        <v>1618</v>
      </c>
      <c r="D2903">
        <v>289.3</v>
      </c>
      <c r="E2903">
        <v>3</v>
      </c>
      <c r="F2903" s="7"/>
    </row>
    <row r="2904" spans="1:6" x14ac:dyDescent="0.25">
      <c r="A2904" s="11" t="str">
        <f t="shared" si="45"/>
        <v/>
      </c>
      <c r="B2904" t="s">
        <v>1859</v>
      </c>
      <c r="C2904" t="s">
        <v>1859</v>
      </c>
      <c r="D2904">
        <v>0</v>
      </c>
      <c r="E2904">
        <v>0</v>
      </c>
      <c r="F2904" s="7"/>
    </row>
    <row r="2905" spans="1:6" x14ac:dyDescent="0.25">
      <c r="A2905" s="11">
        <f t="shared" si="45"/>
        <v>7711003</v>
      </c>
      <c r="B2905">
        <v>7711003</v>
      </c>
      <c r="C2905" t="s">
        <v>2394</v>
      </c>
      <c r="D2905">
        <v>0</v>
      </c>
      <c r="E2905">
        <v>2</v>
      </c>
      <c r="F2905" s="7"/>
    </row>
    <row r="2906" spans="1:6" x14ac:dyDescent="0.25">
      <c r="A2906" s="11">
        <f t="shared" si="45"/>
        <v>7711034</v>
      </c>
      <c r="B2906">
        <v>7711034</v>
      </c>
      <c r="C2906" t="s">
        <v>602</v>
      </c>
      <c r="D2906">
        <v>499.99</v>
      </c>
      <c r="E2906">
        <v>0</v>
      </c>
      <c r="F2906" s="7"/>
    </row>
    <row r="2907" spans="1:6" x14ac:dyDescent="0.25">
      <c r="A2907" s="11" t="str">
        <f t="shared" si="45"/>
        <v/>
      </c>
      <c r="B2907" t="s">
        <v>1859</v>
      </c>
      <c r="C2907" t="s">
        <v>1859</v>
      </c>
      <c r="D2907">
        <v>0</v>
      </c>
      <c r="E2907">
        <v>0</v>
      </c>
      <c r="F2907" s="7"/>
    </row>
    <row r="2908" spans="1:6" x14ac:dyDescent="0.25">
      <c r="A2908" s="11">
        <f t="shared" si="45"/>
        <v>7711068</v>
      </c>
      <c r="B2908">
        <v>7711068</v>
      </c>
      <c r="C2908" t="s">
        <v>2395</v>
      </c>
      <c r="D2908">
        <v>0</v>
      </c>
      <c r="E2908">
        <v>0</v>
      </c>
      <c r="F2908" s="7"/>
    </row>
    <row r="2909" spans="1:6" x14ac:dyDescent="0.25">
      <c r="A2909" s="11" t="str">
        <f t="shared" si="45"/>
        <v/>
      </c>
      <c r="B2909" t="s">
        <v>1859</v>
      </c>
      <c r="C2909" t="s">
        <v>1859</v>
      </c>
      <c r="D2909">
        <v>0</v>
      </c>
      <c r="E2909">
        <v>0</v>
      </c>
      <c r="F2909" s="7"/>
    </row>
    <row r="2910" spans="1:6" x14ac:dyDescent="0.25">
      <c r="A2910" s="11">
        <f t="shared" si="45"/>
        <v>7711069</v>
      </c>
      <c r="B2910">
        <v>7711069</v>
      </c>
      <c r="C2910" t="s">
        <v>2396</v>
      </c>
      <c r="D2910">
        <v>0</v>
      </c>
      <c r="E2910">
        <v>0</v>
      </c>
      <c r="F2910" s="7"/>
    </row>
    <row r="2911" spans="1:6" x14ac:dyDescent="0.25">
      <c r="A2911" s="11" t="str">
        <f t="shared" si="45"/>
        <v/>
      </c>
      <c r="B2911" t="s">
        <v>1859</v>
      </c>
      <c r="C2911" t="s">
        <v>1859</v>
      </c>
      <c r="D2911">
        <v>0</v>
      </c>
      <c r="E2911">
        <v>0</v>
      </c>
      <c r="F2911" s="7"/>
    </row>
    <row r="2912" spans="1:6" x14ac:dyDescent="0.25">
      <c r="A2912" s="11">
        <f t="shared" si="45"/>
        <v>7711070</v>
      </c>
      <c r="B2912">
        <v>7711070</v>
      </c>
      <c r="C2912" t="s">
        <v>2397</v>
      </c>
      <c r="D2912">
        <v>0</v>
      </c>
      <c r="E2912">
        <v>0</v>
      </c>
      <c r="F2912" s="7"/>
    </row>
    <row r="2913" spans="1:6" x14ac:dyDescent="0.25">
      <c r="A2913" s="11">
        <f t="shared" si="45"/>
        <v>7711091</v>
      </c>
      <c r="B2913">
        <v>7711091</v>
      </c>
      <c r="C2913" t="s">
        <v>583</v>
      </c>
      <c r="D2913">
        <v>120.99</v>
      </c>
      <c r="E2913">
        <v>81</v>
      </c>
      <c r="F2913" s="7"/>
    </row>
    <row r="2914" spans="1:6" x14ac:dyDescent="0.25">
      <c r="A2914" s="11">
        <f t="shared" si="45"/>
        <v>7711100</v>
      </c>
      <c r="B2914">
        <v>7711100</v>
      </c>
      <c r="C2914" t="s">
        <v>561</v>
      </c>
      <c r="D2914">
        <v>150.25</v>
      </c>
      <c r="E2914">
        <v>0</v>
      </c>
      <c r="F2914" s="7"/>
    </row>
    <row r="2915" spans="1:6" x14ac:dyDescent="0.25">
      <c r="A2915" s="11" t="str">
        <f t="shared" si="45"/>
        <v/>
      </c>
      <c r="B2915" t="s">
        <v>1859</v>
      </c>
      <c r="C2915" t="s">
        <v>1859</v>
      </c>
      <c r="D2915">
        <v>0</v>
      </c>
      <c r="E2915">
        <v>0</v>
      </c>
      <c r="F2915" s="7"/>
    </row>
    <row r="2916" spans="1:6" x14ac:dyDescent="0.25">
      <c r="A2916" s="11">
        <f t="shared" si="45"/>
        <v>7711136</v>
      </c>
      <c r="B2916">
        <v>7711136</v>
      </c>
      <c r="C2916" t="s">
        <v>2398</v>
      </c>
      <c r="D2916">
        <v>0</v>
      </c>
      <c r="E2916">
        <v>0</v>
      </c>
      <c r="F2916" s="7"/>
    </row>
    <row r="2917" spans="1:6" x14ac:dyDescent="0.25">
      <c r="A2917" s="11" t="str">
        <f t="shared" si="45"/>
        <v/>
      </c>
      <c r="B2917" t="s">
        <v>1859</v>
      </c>
      <c r="C2917" t="s">
        <v>1859</v>
      </c>
      <c r="D2917">
        <v>0</v>
      </c>
      <c r="E2917">
        <v>0</v>
      </c>
      <c r="F2917" s="7"/>
    </row>
    <row r="2918" spans="1:6" x14ac:dyDescent="0.25">
      <c r="A2918" s="11">
        <f t="shared" si="45"/>
        <v>7711137</v>
      </c>
      <c r="B2918">
        <v>7711137</v>
      </c>
      <c r="C2918" t="s">
        <v>2399</v>
      </c>
      <c r="D2918">
        <v>0</v>
      </c>
      <c r="E2918">
        <v>0</v>
      </c>
      <c r="F2918" s="7"/>
    </row>
    <row r="2919" spans="1:6" x14ac:dyDescent="0.25">
      <c r="A2919" s="11" t="str">
        <f t="shared" si="45"/>
        <v/>
      </c>
      <c r="B2919" t="s">
        <v>1859</v>
      </c>
      <c r="C2919" t="s">
        <v>1859</v>
      </c>
      <c r="D2919">
        <v>0</v>
      </c>
      <c r="E2919">
        <v>0</v>
      </c>
      <c r="F2919" s="7"/>
    </row>
    <row r="2920" spans="1:6" x14ac:dyDescent="0.25">
      <c r="A2920" s="11">
        <f t="shared" si="45"/>
        <v>7711138</v>
      </c>
      <c r="B2920">
        <v>7711138</v>
      </c>
      <c r="C2920" t="s">
        <v>2400</v>
      </c>
      <c r="D2920">
        <v>0</v>
      </c>
      <c r="E2920">
        <v>0</v>
      </c>
      <c r="F2920" s="7"/>
    </row>
    <row r="2921" spans="1:6" x14ac:dyDescent="0.25">
      <c r="A2921" s="11">
        <f t="shared" si="45"/>
        <v>7711139</v>
      </c>
      <c r="B2921">
        <v>7711139</v>
      </c>
      <c r="C2921" t="s">
        <v>1619</v>
      </c>
      <c r="D2921">
        <v>183.67</v>
      </c>
      <c r="E2921">
        <v>0</v>
      </c>
      <c r="F2921" s="7"/>
    </row>
    <row r="2922" spans="1:6" x14ac:dyDescent="0.25">
      <c r="A2922" s="11" t="str">
        <f t="shared" si="45"/>
        <v/>
      </c>
      <c r="B2922" t="s">
        <v>1859</v>
      </c>
      <c r="C2922" t="s">
        <v>1859</v>
      </c>
      <c r="D2922">
        <v>0</v>
      </c>
      <c r="E2922">
        <v>0</v>
      </c>
      <c r="F2922" s="7"/>
    </row>
    <row r="2923" spans="1:6" x14ac:dyDescent="0.25">
      <c r="A2923" s="11">
        <f t="shared" si="45"/>
        <v>7711141</v>
      </c>
      <c r="B2923">
        <v>7711141</v>
      </c>
      <c r="C2923" t="s">
        <v>2401</v>
      </c>
      <c r="D2923">
        <v>0</v>
      </c>
      <c r="E2923">
        <v>0</v>
      </c>
      <c r="F2923" s="7"/>
    </row>
    <row r="2924" spans="1:6" x14ac:dyDescent="0.25">
      <c r="A2924" s="11" t="str">
        <f t="shared" si="45"/>
        <v/>
      </c>
      <c r="B2924" t="s">
        <v>1859</v>
      </c>
      <c r="C2924" t="s">
        <v>1859</v>
      </c>
      <c r="D2924">
        <v>0</v>
      </c>
      <c r="E2924">
        <v>0</v>
      </c>
      <c r="F2924" s="7"/>
    </row>
    <row r="2925" spans="1:6" x14ac:dyDescent="0.25">
      <c r="A2925" s="11">
        <f t="shared" si="45"/>
        <v>7711205</v>
      </c>
      <c r="B2925">
        <v>7711205</v>
      </c>
      <c r="C2925" t="s">
        <v>2402</v>
      </c>
      <c r="D2925">
        <v>0</v>
      </c>
      <c r="E2925">
        <v>0</v>
      </c>
      <c r="F2925" s="7"/>
    </row>
    <row r="2926" spans="1:6" x14ac:dyDescent="0.25">
      <c r="A2926" s="11">
        <f t="shared" si="45"/>
        <v>7711213</v>
      </c>
      <c r="B2926">
        <v>7711213</v>
      </c>
      <c r="C2926" t="s">
        <v>16</v>
      </c>
      <c r="D2926">
        <v>197.46</v>
      </c>
      <c r="E2926">
        <v>20</v>
      </c>
      <c r="F2926" s="7"/>
    </row>
    <row r="2927" spans="1:6" x14ac:dyDescent="0.25">
      <c r="A2927" s="11" t="str">
        <f t="shared" si="45"/>
        <v/>
      </c>
      <c r="B2927" t="s">
        <v>1859</v>
      </c>
      <c r="C2927" t="s">
        <v>1859</v>
      </c>
      <c r="D2927">
        <v>0</v>
      </c>
      <c r="E2927">
        <v>0</v>
      </c>
      <c r="F2927" s="7"/>
    </row>
    <row r="2928" spans="1:6" x14ac:dyDescent="0.25">
      <c r="A2928" s="11">
        <f t="shared" si="45"/>
        <v>7711214</v>
      </c>
      <c r="B2928">
        <v>7711214</v>
      </c>
      <c r="C2928" t="s">
        <v>2403</v>
      </c>
      <c r="D2928">
        <v>0</v>
      </c>
      <c r="E2928">
        <v>0</v>
      </c>
      <c r="F2928" s="7"/>
    </row>
    <row r="2929" spans="1:6" x14ac:dyDescent="0.25">
      <c r="A2929" s="11" t="str">
        <f t="shared" si="45"/>
        <v/>
      </c>
      <c r="B2929" t="s">
        <v>1859</v>
      </c>
      <c r="C2929" t="s">
        <v>1859</v>
      </c>
      <c r="D2929">
        <v>0</v>
      </c>
      <c r="E2929">
        <v>0</v>
      </c>
      <c r="F2929" s="7"/>
    </row>
    <row r="2930" spans="1:6" x14ac:dyDescent="0.25">
      <c r="A2930" s="11">
        <f t="shared" si="45"/>
        <v>7711222</v>
      </c>
      <c r="B2930">
        <v>7711222</v>
      </c>
      <c r="C2930" t="s">
        <v>2404</v>
      </c>
      <c r="D2930">
        <v>0</v>
      </c>
      <c r="E2930">
        <v>0</v>
      </c>
      <c r="F2930" s="7"/>
    </row>
    <row r="2931" spans="1:6" x14ac:dyDescent="0.25">
      <c r="A2931" s="11" t="str">
        <f t="shared" si="45"/>
        <v/>
      </c>
      <c r="B2931" t="s">
        <v>1859</v>
      </c>
      <c r="C2931" t="s">
        <v>1859</v>
      </c>
      <c r="D2931">
        <v>0</v>
      </c>
      <c r="E2931">
        <v>0</v>
      </c>
      <c r="F2931" s="7"/>
    </row>
    <row r="2932" spans="1:6" x14ac:dyDescent="0.25">
      <c r="A2932" s="11">
        <f t="shared" si="45"/>
        <v>7711413</v>
      </c>
      <c r="B2932">
        <v>7711413</v>
      </c>
      <c r="C2932" t="s">
        <v>2405</v>
      </c>
      <c r="D2932">
        <v>0</v>
      </c>
      <c r="E2932">
        <v>0</v>
      </c>
      <c r="F2932" s="7"/>
    </row>
    <row r="2933" spans="1:6" x14ac:dyDescent="0.25">
      <c r="A2933" s="11">
        <f t="shared" si="45"/>
        <v>7711503</v>
      </c>
      <c r="B2933">
        <v>7711503</v>
      </c>
      <c r="C2933" t="s">
        <v>177</v>
      </c>
      <c r="D2933">
        <v>89.41</v>
      </c>
      <c r="E2933">
        <v>0</v>
      </c>
      <c r="F2933" s="7"/>
    </row>
    <row r="2934" spans="1:6" x14ac:dyDescent="0.25">
      <c r="A2934" s="11" t="str">
        <f t="shared" si="45"/>
        <v/>
      </c>
      <c r="B2934" t="s">
        <v>1859</v>
      </c>
      <c r="C2934" t="s">
        <v>1859</v>
      </c>
      <c r="D2934">
        <v>0</v>
      </c>
      <c r="E2934">
        <v>0</v>
      </c>
      <c r="F2934" s="7"/>
    </row>
    <row r="2935" spans="1:6" x14ac:dyDescent="0.25">
      <c r="A2935" s="11">
        <f t="shared" si="45"/>
        <v>7711676</v>
      </c>
      <c r="B2935">
        <v>7711676</v>
      </c>
      <c r="C2935" t="s">
        <v>2406</v>
      </c>
      <c r="D2935">
        <v>0</v>
      </c>
      <c r="E2935">
        <v>0</v>
      </c>
      <c r="F2935" s="7"/>
    </row>
    <row r="2936" spans="1:6" x14ac:dyDescent="0.25">
      <c r="A2936" s="11">
        <f t="shared" si="45"/>
        <v>7800000</v>
      </c>
      <c r="B2936">
        <v>7800000</v>
      </c>
      <c r="C2936" t="s">
        <v>1840</v>
      </c>
      <c r="D2936">
        <v>150</v>
      </c>
      <c r="E2936">
        <v>1498</v>
      </c>
      <c r="F2936" s="7"/>
    </row>
    <row r="2937" spans="1:6" x14ac:dyDescent="0.25">
      <c r="A2937" s="11">
        <f t="shared" si="45"/>
        <v>8203124</v>
      </c>
      <c r="B2937">
        <v>8203124</v>
      </c>
      <c r="C2937" t="s">
        <v>1620</v>
      </c>
      <c r="D2937">
        <v>610.73</v>
      </c>
      <c r="E2937">
        <v>0</v>
      </c>
      <c r="F2937" s="7"/>
    </row>
    <row r="2938" spans="1:6" x14ac:dyDescent="0.25">
      <c r="A2938" s="11">
        <f t="shared" si="45"/>
        <v>8203265</v>
      </c>
      <c r="B2938">
        <v>8203265</v>
      </c>
      <c r="C2938" t="s">
        <v>1621</v>
      </c>
      <c r="D2938">
        <v>5444.99</v>
      </c>
      <c r="E2938">
        <v>7</v>
      </c>
      <c r="F2938" s="7"/>
    </row>
    <row r="2939" spans="1:6" x14ac:dyDescent="0.25">
      <c r="A2939" s="11" t="str">
        <f t="shared" si="45"/>
        <v/>
      </c>
      <c r="B2939" t="s">
        <v>1859</v>
      </c>
      <c r="C2939" t="s">
        <v>1859</v>
      </c>
      <c r="D2939">
        <v>0</v>
      </c>
      <c r="E2939">
        <v>0</v>
      </c>
      <c r="F2939" s="7"/>
    </row>
    <row r="2940" spans="1:6" x14ac:dyDescent="0.25">
      <c r="A2940" s="11">
        <f t="shared" si="45"/>
        <v>8203267</v>
      </c>
      <c r="B2940">
        <v>8203267</v>
      </c>
      <c r="C2940" t="s">
        <v>2407</v>
      </c>
      <c r="D2940">
        <v>0</v>
      </c>
      <c r="E2940">
        <v>0</v>
      </c>
      <c r="F2940" s="7"/>
    </row>
    <row r="2941" spans="1:6" x14ac:dyDescent="0.25">
      <c r="A2941" s="11" t="str">
        <f t="shared" si="45"/>
        <v/>
      </c>
      <c r="B2941" t="s">
        <v>1859</v>
      </c>
      <c r="C2941" t="s">
        <v>1859</v>
      </c>
      <c r="D2941">
        <v>0</v>
      </c>
      <c r="E2941">
        <v>0</v>
      </c>
      <c r="F2941" s="7"/>
    </row>
    <row r="2942" spans="1:6" x14ac:dyDescent="0.25">
      <c r="A2942" s="11">
        <f t="shared" si="45"/>
        <v>8203268</v>
      </c>
      <c r="B2942">
        <v>8203268</v>
      </c>
      <c r="C2942" t="s">
        <v>2408</v>
      </c>
      <c r="D2942">
        <v>0</v>
      </c>
      <c r="E2942">
        <v>0</v>
      </c>
      <c r="F2942" s="7"/>
    </row>
    <row r="2943" spans="1:6" x14ac:dyDescent="0.25">
      <c r="A2943" s="11">
        <f t="shared" si="45"/>
        <v>8203830</v>
      </c>
      <c r="B2943">
        <v>8203830</v>
      </c>
      <c r="C2943" t="s">
        <v>1413</v>
      </c>
      <c r="D2943">
        <v>4499.99</v>
      </c>
      <c r="E2943">
        <v>189</v>
      </c>
      <c r="F2943" s="7"/>
    </row>
    <row r="2944" spans="1:6" x14ac:dyDescent="0.25">
      <c r="A2944" s="11" t="str">
        <f t="shared" si="45"/>
        <v/>
      </c>
      <c r="B2944" t="s">
        <v>1859</v>
      </c>
      <c r="C2944" t="s">
        <v>1859</v>
      </c>
      <c r="D2944">
        <v>0</v>
      </c>
      <c r="E2944">
        <v>0</v>
      </c>
      <c r="F2944" s="7"/>
    </row>
    <row r="2945" spans="1:6" x14ac:dyDescent="0.25">
      <c r="A2945" s="11">
        <f t="shared" si="45"/>
        <v>8203835</v>
      </c>
      <c r="B2945">
        <v>8203835</v>
      </c>
      <c r="C2945" t="s">
        <v>2409</v>
      </c>
      <c r="D2945">
        <v>0</v>
      </c>
      <c r="E2945">
        <v>0</v>
      </c>
      <c r="F2945" s="7"/>
    </row>
    <row r="2946" spans="1:6" x14ac:dyDescent="0.25">
      <c r="A2946" s="11">
        <f t="shared" si="45"/>
        <v>8205010</v>
      </c>
      <c r="B2946">
        <v>8205010</v>
      </c>
      <c r="C2946" t="s">
        <v>175</v>
      </c>
      <c r="D2946">
        <v>3025</v>
      </c>
      <c r="E2946">
        <v>0</v>
      </c>
      <c r="F2946" s="7"/>
    </row>
    <row r="2947" spans="1:6" x14ac:dyDescent="0.25">
      <c r="A2947" s="11" t="str">
        <f t="shared" si="45"/>
        <v/>
      </c>
      <c r="B2947" t="s">
        <v>1859</v>
      </c>
      <c r="C2947" t="s">
        <v>1859</v>
      </c>
      <c r="D2947">
        <v>0</v>
      </c>
      <c r="E2947">
        <v>0</v>
      </c>
      <c r="F2947" s="7"/>
    </row>
    <row r="2948" spans="1:6" x14ac:dyDescent="0.25">
      <c r="A2948" s="11">
        <f t="shared" si="45"/>
        <v>8205011</v>
      </c>
      <c r="B2948">
        <v>8205011</v>
      </c>
      <c r="C2948" t="s">
        <v>2410</v>
      </c>
      <c r="D2948">
        <v>0</v>
      </c>
      <c r="E2948">
        <v>0</v>
      </c>
      <c r="F2948" s="7"/>
    </row>
    <row r="2949" spans="1:6" x14ac:dyDescent="0.25">
      <c r="A2949" s="11">
        <f t="shared" si="45"/>
        <v>8205016</v>
      </c>
      <c r="B2949">
        <v>8205016</v>
      </c>
      <c r="C2949" t="s">
        <v>1434</v>
      </c>
      <c r="D2949">
        <v>2099.9899999999998</v>
      </c>
      <c r="E2949">
        <v>3</v>
      </c>
      <c r="F2949" s="7"/>
    </row>
    <row r="2950" spans="1:6" x14ac:dyDescent="0.25">
      <c r="A2950" s="11">
        <f t="shared" ref="A2950:A3013" si="46">IFERROR(B2950*1,"")</f>
        <v>8205018</v>
      </c>
      <c r="B2950">
        <v>8205018</v>
      </c>
      <c r="C2950" t="s">
        <v>174</v>
      </c>
      <c r="D2950">
        <v>1935.99</v>
      </c>
      <c r="E2950">
        <v>46</v>
      </c>
      <c r="F2950" s="7"/>
    </row>
    <row r="2951" spans="1:6" x14ac:dyDescent="0.25">
      <c r="A2951" s="11">
        <f t="shared" si="46"/>
        <v>8205020</v>
      </c>
      <c r="B2951">
        <v>8205020</v>
      </c>
      <c r="C2951" t="s">
        <v>176</v>
      </c>
      <c r="D2951">
        <v>3388</v>
      </c>
      <c r="E2951">
        <v>1</v>
      </c>
      <c r="F2951" s="7"/>
    </row>
    <row r="2952" spans="1:6" x14ac:dyDescent="0.25">
      <c r="A2952" s="11" t="str">
        <f t="shared" si="46"/>
        <v/>
      </c>
      <c r="B2952" t="s">
        <v>1859</v>
      </c>
      <c r="C2952" t="s">
        <v>1859</v>
      </c>
      <c r="D2952">
        <v>0</v>
      </c>
      <c r="E2952">
        <v>0</v>
      </c>
      <c r="F2952" s="7"/>
    </row>
    <row r="2953" spans="1:6" x14ac:dyDescent="0.25">
      <c r="A2953" s="11">
        <f t="shared" si="46"/>
        <v>8205021</v>
      </c>
      <c r="B2953">
        <v>8205021</v>
      </c>
      <c r="C2953" t="s">
        <v>2411</v>
      </c>
      <c r="D2953">
        <v>0</v>
      </c>
      <c r="E2953">
        <v>0</v>
      </c>
      <c r="F2953" s="7"/>
    </row>
    <row r="2954" spans="1:6" x14ac:dyDescent="0.25">
      <c r="A2954" s="11" t="str">
        <f t="shared" si="46"/>
        <v/>
      </c>
      <c r="B2954" t="s">
        <v>1859</v>
      </c>
      <c r="C2954" t="s">
        <v>1859</v>
      </c>
      <c r="D2954">
        <v>0</v>
      </c>
      <c r="E2954">
        <v>0</v>
      </c>
      <c r="F2954" s="7"/>
    </row>
    <row r="2955" spans="1:6" x14ac:dyDescent="0.25">
      <c r="A2955" s="11">
        <f t="shared" si="46"/>
        <v>8205030</v>
      </c>
      <c r="B2955">
        <v>8205030</v>
      </c>
      <c r="C2955" t="s">
        <v>2412</v>
      </c>
      <c r="D2955">
        <v>0</v>
      </c>
      <c r="E2955">
        <v>0</v>
      </c>
      <c r="F2955" s="7"/>
    </row>
    <row r="2956" spans="1:6" x14ac:dyDescent="0.25">
      <c r="A2956" s="11">
        <f t="shared" si="46"/>
        <v>8205040</v>
      </c>
      <c r="B2956">
        <v>8205040</v>
      </c>
      <c r="C2956" t="s">
        <v>172</v>
      </c>
      <c r="D2956">
        <v>2214.65</v>
      </c>
      <c r="E2956">
        <v>0</v>
      </c>
      <c r="F2956" s="7"/>
    </row>
    <row r="2957" spans="1:6" x14ac:dyDescent="0.25">
      <c r="A2957" s="11">
        <f t="shared" si="46"/>
        <v>8205041</v>
      </c>
      <c r="B2957">
        <v>8205041</v>
      </c>
      <c r="C2957" t="s">
        <v>171</v>
      </c>
      <c r="D2957">
        <v>6388.79</v>
      </c>
      <c r="E2957">
        <v>64</v>
      </c>
      <c r="F2957" s="7"/>
    </row>
    <row r="2958" spans="1:6" x14ac:dyDescent="0.25">
      <c r="A2958" s="11" t="str">
        <f t="shared" si="46"/>
        <v/>
      </c>
      <c r="B2958" t="s">
        <v>1859</v>
      </c>
      <c r="C2958" t="s">
        <v>1859</v>
      </c>
      <c r="D2958">
        <v>0</v>
      </c>
      <c r="E2958">
        <v>0</v>
      </c>
      <c r="F2958" s="7"/>
    </row>
    <row r="2959" spans="1:6" x14ac:dyDescent="0.25">
      <c r="A2959" s="11">
        <f t="shared" si="46"/>
        <v>8205042</v>
      </c>
      <c r="B2959">
        <v>8205042</v>
      </c>
      <c r="C2959" t="s">
        <v>2413</v>
      </c>
      <c r="D2959">
        <v>0</v>
      </c>
      <c r="E2959">
        <v>0</v>
      </c>
      <c r="F2959" s="7"/>
    </row>
    <row r="2960" spans="1:6" x14ac:dyDescent="0.25">
      <c r="A2960" s="11" t="str">
        <f t="shared" si="46"/>
        <v/>
      </c>
      <c r="B2960" t="s">
        <v>1859</v>
      </c>
      <c r="C2960" t="s">
        <v>1859</v>
      </c>
      <c r="D2960">
        <v>0</v>
      </c>
      <c r="E2960">
        <v>0</v>
      </c>
      <c r="F2960" s="7"/>
    </row>
    <row r="2961" spans="1:6" x14ac:dyDescent="0.25">
      <c r="A2961" s="11">
        <f t="shared" si="46"/>
        <v>8205044</v>
      </c>
      <c r="B2961">
        <v>8205044</v>
      </c>
      <c r="C2961" t="s">
        <v>2414</v>
      </c>
      <c r="D2961">
        <v>0</v>
      </c>
      <c r="E2961">
        <v>0</v>
      </c>
      <c r="F2961" s="7"/>
    </row>
    <row r="2962" spans="1:6" x14ac:dyDescent="0.25">
      <c r="A2962" s="11">
        <f t="shared" si="46"/>
        <v>8205050</v>
      </c>
      <c r="B2962">
        <v>8205050</v>
      </c>
      <c r="C2962" t="s">
        <v>168</v>
      </c>
      <c r="D2962">
        <v>6886.4</v>
      </c>
      <c r="E2962">
        <v>4</v>
      </c>
      <c r="F2962" s="7"/>
    </row>
    <row r="2963" spans="1:6" x14ac:dyDescent="0.25">
      <c r="A2963" s="11">
        <f t="shared" si="46"/>
        <v>8205051</v>
      </c>
      <c r="B2963">
        <v>8205051</v>
      </c>
      <c r="C2963" t="s">
        <v>167</v>
      </c>
      <c r="D2963">
        <v>6121.07</v>
      </c>
      <c r="E2963">
        <v>140</v>
      </c>
      <c r="F2963" s="7"/>
    </row>
    <row r="2964" spans="1:6" x14ac:dyDescent="0.25">
      <c r="A2964" s="11">
        <f t="shared" si="46"/>
        <v>8205060</v>
      </c>
      <c r="B2964">
        <v>8205060</v>
      </c>
      <c r="C2964" t="s">
        <v>173</v>
      </c>
      <c r="D2964">
        <v>2420</v>
      </c>
      <c r="E2964">
        <v>0</v>
      </c>
      <c r="F2964" s="7"/>
    </row>
    <row r="2965" spans="1:6" x14ac:dyDescent="0.25">
      <c r="A2965" s="11" t="str">
        <f t="shared" si="46"/>
        <v/>
      </c>
      <c r="B2965" t="s">
        <v>1859</v>
      </c>
      <c r="C2965" t="s">
        <v>1859</v>
      </c>
      <c r="D2965">
        <v>0</v>
      </c>
      <c r="E2965">
        <v>0</v>
      </c>
      <c r="F2965" s="7"/>
    </row>
    <row r="2966" spans="1:6" x14ac:dyDescent="0.25">
      <c r="A2966" s="11">
        <f t="shared" si="46"/>
        <v>8205061</v>
      </c>
      <c r="B2966">
        <v>8205061</v>
      </c>
      <c r="C2966" t="s">
        <v>2415</v>
      </c>
      <c r="D2966">
        <v>0</v>
      </c>
      <c r="E2966">
        <v>0</v>
      </c>
      <c r="F2966" s="7"/>
    </row>
    <row r="2967" spans="1:6" x14ac:dyDescent="0.25">
      <c r="A2967" s="11" t="str">
        <f t="shared" si="46"/>
        <v/>
      </c>
      <c r="B2967" t="s">
        <v>1859</v>
      </c>
      <c r="C2967" t="s">
        <v>1859</v>
      </c>
      <c r="D2967">
        <v>0</v>
      </c>
      <c r="E2967">
        <v>0</v>
      </c>
      <c r="F2967" s="7"/>
    </row>
    <row r="2968" spans="1:6" x14ac:dyDescent="0.25">
      <c r="A2968" s="11">
        <f t="shared" si="46"/>
        <v>8205078</v>
      </c>
      <c r="B2968">
        <v>8205078</v>
      </c>
      <c r="C2968" t="s">
        <v>2416</v>
      </c>
      <c r="D2968">
        <v>0</v>
      </c>
      <c r="E2968">
        <v>0</v>
      </c>
      <c r="F2968" s="7"/>
    </row>
    <row r="2969" spans="1:6" x14ac:dyDescent="0.25">
      <c r="A2969" s="11" t="str">
        <f t="shared" si="46"/>
        <v/>
      </c>
      <c r="B2969" t="s">
        <v>1859</v>
      </c>
      <c r="C2969" t="s">
        <v>1859</v>
      </c>
      <c r="D2969">
        <v>0</v>
      </c>
      <c r="E2969">
        <v>0</v>
      </c>
      <c r="F2969" s="7"/>
    </row>
    <row r="2970" spans="1:6" x14ac:dyDescent="0.25">
      <c r="A2970" s="11">
        <f t="shared" si="46"/>
        <v>8205079</v>
      </c>
      <c r="B2970">
        <v>8205079</v>
      </c>
      <c r="C2970" t="s">
        <v>2417</v>
      </c>
      <c r="D2970">
        <v>0</v>
      </c>
      <c r="E2970">
        <v>0</v>
      </c>
      <c r="F2970" s="7"/>
    </row>
    <row r="2971" spans="1:6" x14ac:dyDescent="0.25">
      <c r="A2971" s="11">
        <f t="shared" si="46"/>
        <v>8205080</v>
      </c>
      <c r="B2971">
        <v>8205080</v>
      </c>
      <c r="C2971" t="s">
        <v>1432</v>
      </c>
      <c r="D2971">
        <v>7500</v>
      </c>
      <c r="E2971">
        <v>16</v>
      </c>
      <c r="F2971" s="7"/>
    </row>
    <row r="2972" spans="1:6" x14ac:dyDescent="0.25">
      <c r="A2972" s="11">
        <f t="shared" si="46"/>
        <v>8205115</v>
      </c>
      <c r="B2972">
        <v>8205115</v>
      </c>
      <c r="C2972" t="s">
        <v>169</v>
      </c>
      <c r="D2972">
        <v>6049.99</v>
      </c>
      <c r="E2972">
        <v>260</v>
      </c>
      <c r="F2972" s="7"/>
    </row>
    <row r="2973" spans="1:6" x14ac:dyDescent="0.25">
      <c r="A2973" s="11">
        <f t="shared" si="46"/>
        <v>8205116</v>
      </c>
      <c r="B2973">
        <v>8205116</v>
      </c>
      <c r="C2973" t="s">
        <v>170</v>
      </c>
      <c r="D2973">
        <v>6388.79</v>
      </c>
      <c r="E2973">
        <v>6</v>
      </c>
      <c r="F2973" s="7"/>
    </row>
    <row r="2974" spans="1:6" x14ac:dyDescent="0.25">
      <c r="A2974" s="11">
        <f t="shared" si="46"/>
        <v>8205117</v>
      </c>
      <c r="B2974">
        <v>8205117</v>
      </c>
      <c r="C2974" t="s">
        <v>1433</v>
      </c>
      <c r="D2974">
        <v>2199.9899999999998</v>
      </c>
      <c r="E2974">
        <v>36</v>
      </c>
      <c r="F2974" s="7"/>
    </row>
    <row r="2975" spans="1:6" x14ac:dyDescent="0.25">
      <c r="A2975" s="11">
        <f t="shared" si="46"/>
        <v>8205118</v>
      </c>
      <c r="B2975">
        <v>8205118</v>
      </c>
      <c r="C2975" t="s">
        <v>166</v>
      </c>
      <c r="D2975">
        <v>7500</v>
      </c>
      <c r="E2975">
        <v>28</v>
      </c>
      <c r="F2975" s="7"/>
    </row>
    <row r="2976" spans="1:6" x14ac:dyDescent="0.25">
      <c r="A2976" s="11">
        <f t="shared" si="46"/>
        <v>8205119</v>
      </c>
      <c r="B2976">
        <v>8205119</v>
      </c>
      <c r="C2976" t="s">
        <v>1622</v>
      </c>
      <c r="D2976">
        <v>7500</v>
      </c>
      <c r="E2976">
        <v>30</v>
      </c>
      <c r="F2976" s="7"/>
    </row>
    <row r="2977" spans="1:6" x14ac:dyDescent="0.25">
      <c r="A2977" s="11">
        <f t="shared" si="46"/>
        <v>8205120</v>
      </c>
      <c r="B2977">
        <v>8205120</v>
      </c>
      <c r="C2977" t="s">
        <v>2418</v>
      </c>
      <c r="D2977">
        <v>5929</v>
      </c>
      <c r="E2977">
        <v>0</v>
      </c>
      <c r="F2977" s="7"/>
    </row>
    <row r="2978" spans="1:6" x14ac:dyDescent="0.25">
      <c r="A2978" s="11">
        <f t="shared" si="46"/>
        <v>8205150</v>
      </c>
      <c r="B2978">
        <v>8205150</v>
      </c>
      <c r="C2978" t="s">
        <v>165</v>
      </c>
      <c r="D2978">
        <v>5355.75</v>
      </c>
      <c r="E2978">
        <v>0</v>
      </c>
      <c r="F2978" s="7"/>
    </row>
    <row r="2979" spans="1:6" x14ac:dyDescent="0.25">
      <c r="A2979" s="11">
        <f t="shared" si="46"/>
        <v>8205450</v>
      </c>
      <c r="B2979">
        <v>8205450</v>
      </c>
      <c r="C2979" t="s">
        <v>1623</v>
      </c>
      <c r="D2979">
        <v>7651.72</v>
      </c>
      <c r="E2979">
        <v>0</v>
      </c>
      <c r="F2979" s="7"/>
    </row>
    <row r="2980" spans="1:6" x14ac:dyDescent="0.25">
      <c r="A2980" s="11">
        <f t="shared" si="46"/>
        <v>8205456</v>
      </c>
      <c r="B2980">
        <v>8205456</v>
      </c>
      <c r="C2980" t="s">
        <v>2419</v>
      </c>
      <c r="D2980">
        <v>0</v>
      </c>
      <c r="E2980">
        <v>0</v>
      </c>
      <c r="F2980" s="7"/>
    </row>
    <row r="2981" spans="1:6" x14ac:dyDescent="0.25">
      <c r="A2981" s="11">
        <f t="shared" si="46"/>
        <v>8205800</v>
      </c>
      <c r="B2981">
        <v>8205800</v>
      </c>
      <c r="C2981" t="s">
        <v>1624</v>
      </c>
      <c r="D2981">
        <v>7651.72</v>
      </c>
      <c r="E2981">
        <v>1</v>
      </c>
      <c r="F2981" s="7"/>
    </row>
    <row r="2982" spans="1:6" x14ac:dyDescent="0.25">
      <c r="A2982" s="11">
        <f t="shared" si="46"/>
        <v>8205801</v>
      </c>
      <c r="B2982">
        <v>8205801</v>
      </c>
      <c r="C2982" t="s">
        <v>1625</v>
      </c>
      <c r="D2982">
        <v>7651.72</v>
      </c>
      <c r="E2982">
        <v>0</v>
      </c>
      <c r="F2982" s="7"/>
    </row>
    <row r="2983" spans="1:6" x14ac:dyDescent="0.25">
      <c r="A2983" s="11">
        <f t="shared" si="46"/>
        <v>8205881</v>
      </c>
      <c r="B2983">
        <v>8205881</v>
      </c>
      <c r="C2983" t="s">
        <v>1626</v>
      </c>
      <c r="D2983">
        <v>7500</v>
      </c>
      <c r="E2983">
        <v>30</v>
      </c>
      <c r="F2983" s="7"/>
    </row>
    <row r="2984" spans="1:6" x14ac:dyDescent="0.25">
      <c r="A2984" s="11">
        <f t="shared" si="46"/>
        <v>8251025</v>
      </c>
      <c r="B2984">
        <v>8251025</v>
      </c>
      <c r="C2984" t="s">
        <v>32</v>
      </c>
      <c r="D2984">
        <v>1988.32</v>
      </c>
      <c r="E2984">
        <v>0</v>
      </c>
      <c r="F2984" s="7"/>
    </row>
    <row r="2985" spans="1:6" x14ac:dyDescent="0.25">
      <c r="A2985" s="11" t="str">
        <f t="shared" si="46"/>
        <v/>
      </c>
      <c r="B2985" t="s">
        <v>1859</v>
      </c>
      <c r="C2985" t="s">
        <v>1859</v>
      </c>
      <c r="D2985">
        <v>0</v>
      </c>
      <c r="E2985">
        <v>0</v>
      </c>
      <c r="F2985" s="7"/>
    </row>
    <row r="2986" spans="1:6" x14ac:dyDescent="0.25">
      <c r="A2986" s="11">
        <f t="shared" si="46"/>
        <v>8300777</v>
      </c>
      <c r="B2986">
        <v>8300777</v>
      </c>
      <c r="C2986" t="s">
        <v>2420</v>
      </c>
      <c r="D2986">
        <v>0</v>
      </c>
      <c r="E2986">
        <v>0</v>
      </c>
      <c r="F2986" s="7"/>
    </row>
    <row r="2987" spans="1:6" x14ac:dyDescent="0.25">
      <c r="A2987" s="11">
        <f t="shared" si="46"/>
        <v>8301000</v>
      </c>
      <c r="B2987">
        <v>8301000</v>
      </c>
      <c r="C2987" t="s">
        <v>35</v>
      </c>
      <c r="D2987">
        <v>990</v>
      </c>
      <c r="E2987">
        <v>44</v>
      </c>
      <c r="F2987" s="7"/>
    </row>
    <row r="2988" spans="1:6" x14ac:dyDescent="0.25">
      <c r="A2988" s="11">
        <f t="shared" si="46"/>
        <v>830100001</v>
      </c>
      <c r="B2988">
        <v>830100001</v>
      </c>
      <c r="C2988" t="s">
        <v>2421</v>
      </c>
      <c r="D2988">
        <v>649</v>
      </c>
      <c r="E2988">
        <v>0</v>
      </c>
      <c r="F2988" s="7"/>
    </row>
    <row r="2989" spans="1:6" x14ac:dyDescent="0.25">
      <c r="A2989" s="11">
        <f t="shared" si="46"/>
        <v>830100002</v>
      </c>
      <c r="B2989">
        <v>830100002</v>
      </c>
      <c r="C2989" t="s">
        <v>2422</v>
      </c>
      <c r="D2989">
        <v>649</v>
      </c>
      <c r="E2989">
        <v>0</v>
      </c>
      <c r="F2989" s="7"/>
    </row>
    <row r="2990" spans="1:6" x14ac:dyDescent="0.25">
      <c r="A2990" s="11">
        <f t="shared" si="46"/>
        <v>830100003</v>
      </c>
      <c r="B2990">
        <v>830100003</v>
      </c>
      <c r="C2990" t="s">
        <v>2423</v>
      </c>
      <c r="D2990">
        <v>649</v>
      </c>
      <c r="E2990">
        <v>0</v>
      </c>
      <c r="F2990" s="7"/>
    </row>
    <row r="2991" spans="1:6" x14ac:dyDescent="0.25">
      <c r="A2991" s="11">
        <f t="shared" si="46"/>
        <v>8301008</v>
      </c>
      <c r="B2991">
        <v>8301008</v>
      </c>
      <c r="C2991" t="s">
        <v>1627</v>
      </c>
      <c r="D2991">
        <v>990</v>
      </c>
      <c r="E2991">
        <v>15</v>
      </c>
      <c r="F2991" s="7"/>
    </row>
    <row r="2992" spans="1:6" x14ac:dyDescent="0.25">
      <c r="A2992" s="11">
        <f t="shared" si="46"/>
        <v>830100801</v>
      </c>
      <c r="B2992">
        <v>830100801</v>
      </c>
      <c r="C2992" t="s">
        <v>2424</v>
      </c>
      <c r="D2992">
        <v>649</v>
      </c>
      <c r="E2992">
        <v>0</v>
      </c>
      <c r="F2992" s="7"/>
    </row>
    <row r="2993" spans="1:6" x14ac:dyDescent="0.25">
      <c r="A2993" s="11">
        <f t="shared" si="46"/>
        <v>830100802</v>
      </c>
      <c r="B2993">
        <v>830100802</v>
      </c>
      <c r="C2993" t="s">
        <v>2425</v>
      </c>
      <c r="D2993">
        <v>649</v>
      </c>
      <c r="E2993">
        <v>0</v>
      </c>
      <c r="F2993" s="7"/>
    </row>
    <row r="2994" spans="1:6" x14ac:dyDescent="0.25">
      <c r="A2994" s="11">
        <f t="shared" si="46"/>
        <v>830100803</v>
      </c>
      <c r="B2994">
        <v>830100803</v>
      </c>
      <c r="C2994" t="s">
        <v>2426</v>
      </c>
      <c r="D2994">
        <v>649</v>
      </c>
      <c r="E2994">
        <v>0</v>
      </c>
      <c r="F2994" s="7"/>
    </row>
    <row r="2995" spans="1:6" x14ac:dyDescent="0.25">
      <c r="A2995" s="11" t="str">
        <f t="shared" si="46"/>
        <v/>
      </c>
      <c r="B2995" t="s">
        <v>1859</v>
      </c>
      <c r="C2995" t="s">
        <v>1859</v>
      </c>
      <c r="D2995">
        <v>0</v>
      </c>
      <c r="E2995">
        <v>0</v>
      </c>
      <c r="F2995" s="7"/>
    </row>
    <row r="2996" spans="1:6" x14ac:dyDescent="0.25">
      <c r="A2996" s="11">
        <f t="shared" si="46"/>
        <v>8301300</v>
      </c>
      <c r="B2996">
        <v>8301300</v>
      </c>
      <c r="C2996" t="s">
        <v>2427</v>
      </c>
      <c r="D2996">
        <v>0</v>
      </c>
      <c r="E2996">
        <v>0</v>
      </c>
      <c r="F2996" s="7"/>
    </row>
    <row r="2997" spans="1:6" x14ac:dyDescent="0.25">
      <c r="A2997" s="11" t="str">
        <f t="shared" si="46"/>
        <v/>
      </c>
      <c r="B2997" t="s">
        <v>1859</v>
      </c>
      <c r="C2997" t="s">
        <v>1859</v>
      </c>
      <c r="D2997">
        <v>0</v>
      </c>
      <c r="E2997">
        <v>0</v>
      </c>
      <c r="F2997" s="7"/>
    </row>
    <row r="2998" spans="1:6" x14ac:dyDescent="0.25">
      <c r="A2998" s="11">
        <f t="shared" si="46"/>
        <v>8301310</v>
      </c>
      <c r="B2998">
        <v>8301310</v>
      </c>
      <c r="C2998" t="s">
        <v>2428</v>
      </c>
      <c r="D2998">
        <v>0</v>
      </c>
      <c r="E2998">
        <v>0</v>
      </c>
      <c r="F2998" s="7"/>
    </row>
    <row r="2999" spans="1:6" x14ac:dyDescent="0.25">
      <c r="A2999" s="11">
        <f t="shared" si="46"/>
        <v>8301311</v>
      </c>
      <c r="B2999">
        <v>8301311</v>
      </c>
      <c r="C2999" t="s">
        <v>1628</v>
      </c>
      <c r="D2999">
        <v>650</v>
      </c>
      <c r="E2999">
        <v>0</v>
      </c>
      <c r="F2999" s="7"/>
    </row>
    <row r="3000" spans="1:6" x14ac:dyDescent="0.25">
      <c r="A3000" s="11">
        <f t="shared" si="46"/>
        <v>8301312</v>
      </c>
      <c r="B3000">
        <v>8301312</v>
      </c>
      <c r="C3000" t="s">
        <v>1629</v>
      </c>
      <c r="D3000">
        <v>850</v>
      </c>
      <c r="E3000">
        <v>0</v>
      </c>
      <c r="F3000" s="7"/>
    </row>
    <row r="3001" spans="1:6" x14ac:dyDescent="0.25">
      <c r="A3001" s="11" t="str">
        <f t="shared" si="46"/>
        <v/>
      </c>
      <c r="B3001" t="s">
        <v>1859</v>
      </c>
      <c r="C3001" t="s">
        <v>1859</v>
      </c>
      <c r="D3001">
        <v>0</v>
      </c>
      <c r="E3001">
        <v>0</v>
      </c>
      <c r="F3001" s="7"/>
    </row>
    <row r="3002" spans="1:6" x14ac:dyDescent="0.25">
      <c r="A3002" s="11">
        <f t="shared" si="46"/>
        <v>8301313</v>
      </c>
      <c r="B3002">
        <v>8301313</v>
      </c>
      <c r="C3002" t="s">
        <v>2429</v>
      </c>
      <c r="D3002">
        <v>0</v>
      </c>
      <c r="E3002">
        <v>0</v>
      </c>
      <c r="F3002" s="7"/>
    </row>
    <row r="3003" spans="1:6" x14ac:dyDescent="0.25">
      <c r="A3003" s="11" t="str">
        <f t="shared" si="46"/>
        <v/>
      </c>
      <c r="B3003" t="s">
        <v>1859</v>
      </c>
      <c r="C3003" t="s">
        <v>1859</v>
      </c>
      <c r="D3003">
        <v>0</v>
      </c>
      <c r="E3003">
        <v>0</v>
      </c>
      <c r="F3003" s="7"/>
    </row>
    <row r="3004" spans="1:6" x14ac:dyDescent="0.25">
      <c r="A3004" s="11">
        <f t="shared" si="46"/>
        <v>8301350</v>
      </c>
      <c r="B3004">
        <v>8301350</v>
      </c>
      <c r="C3004" t="s">
        <v>2430</v>
      </c>
      <c r="D3004">
        <v>0</v>
      </c>
      <c r="E3004">
        <v>0</v>
      </c>
      <c r="F3004" s="7"/>
    </row>
    <row r="3005" spans="1:6" x14ac:dyDescent="0.25">
      <c r="A3005" s="11">
        <f t="shared" si="46"/>
        <v>8301495</v>
      </c>
      <c r="B3005">
        <v>8301495</v>
      </c>
      <c r="C3005" t="s">
        <v>1430</v>
      </c>
      <c r="D3005">
        <v>900</v>
      </c>
      <c r="E3005">
        <v>2</v>
      </c>
      <c r="F3005" s="7"/>
    </row>
    <row r="3006" spans="1:6" x14ac:dyDescent="0.25">
      <c r="A3006" s="11">
        <f t="shared" si="46"/>
        <v>8301558</v>
      </c>
      <c r="B3006">
        <v>8301558</v>
      </c>
      <c r="C3006" t="s">
        <v>33</v>
      </c>
      <c r="D3006">
        <v>600</v>
      </c>
      <c r="E3006">
        <v>956</v>
      </c>
      <c r="F3006" s="7"/>
    </row>
    <row r="3007" spans="1:6" x14ac:dyDescent="0.25">
      <c r="A3007" s="11">
        <f t="shared" si="46"/>
        <v>8301700</v>
      </c>
      <c r="B3007">
        <v>8301700</v>
      </c>
      <c r="C3007" t="s">
        <v>1431</v>
      </c>
      <c r="D3007">
        <v>900</v>
      </c>
      <c r="E3007">
        <v>1</v>
      </c>
      <c r="F3007" s="7"/>
    </row>
    <row r="3008" spans="1:6" x14ac:dyDescent="0.25">
      <c r="A3008" s="11">
        <f t="shared" si="46"/>
        <v>8301805</v>
      </c>
      <c r="B3008">
        <v>8301805</v>
      </c>
      <c r="C3008" t="s">
        <v>1630</v>
      </c>
      <c r="D3008">
        <v>990</v>
      </c>
      <c r="E3008">
        <v>4</v>
      </c>
      <c r="F3008" s="7"/>
    </row>
    <row r="3009" spans="1:6" x14ac:dyDescent="0.25">
      <c r="A3009" s="11">
        <f t="shared" si="46"/>
        <v>830180500</v>
      </c>
      <c r="B3009">
        <v>830180500</v>
      </c>
      <c r="C3009" t="s">
        <v>2431</v>
      </c>
      <c r="D3009">
        <v>649</v>
      </c>
      <c r="E3009">
        <v>0</v>
      </c>
      <c r="F3009" s="7"/>
    </row>
    <row r="3010" spans="1:6" x14ac:dyDescent="0.25">
      <c r="A3010" s="11">
        <f t="shared" si="46"/>
        <v>830180501</v>
      </c>
      <c r="B3010">
        <v>830180501</v>
      </c>
      <c r="C3010" t="s">
        <v>2432</v>
      </c>
      <c r="D3010">
        <v>649</v>
      </c>
      <c r="E3010">
        <v>0</v>
      </c>
      <c r="F3010" s="7"/>
    </row>
    <row r="3011" spans="1:6" x14ac:dyDescent="0.25">
      <c r="A3011" s="11">
        <f t="shared" si="46"/>
        <v>830180502</v>
      </c>
      <c r="B3011">
        <v>830180502</v>
      </c>
      <c r="C3011" t="s">
        <v>2433</v>
      </c>
      <c r="D3011">
        <v>649</v>
      </c>
      <c r="E3011">
        <v>0</v>
      </c>
      <c r="F3011" s="7"/>
    </row>
    <row r="3012" spans="1:6" x14ac:dyDescent="0.25">
      <c r="A3012" s="11">
        <f t="shared" si="46"/>
        <v>830180503</v>
      </c>
      <c r="B3012">
        <v>830180503</v>
      </c>
      <c r="C3012" t="s">
        <v>2434</v>
      </c>
      <c r="D3012">
        <v>649</v>
      </c>
      <c r="E3012">
        <v>0</v>
      </c>
      <c r="F3012" s="7"/>
    </row>
    <row r="3013" spans="1:6" x14ac:dyDescent="0.25">
      <c r="A3013" s="11">
        <f t="shared" si="46"/>
        <v>8301900</v>
      </c>
      <c r="B3013">
        <v>8301900</v>
      </c>
      <c r="C3013" t="s">
        <v>34</v>
      </c>
      <c r="D3013">
        <v>1197.9000000000001</v>
      </c>
      <c r="E3013">
        <v>4</v>
      </c>
      <c r="F3013" s="7"/>
    </row>
    <row r="3014" spans="1:6" x14ac:dyDescent="0.25">
      <c r="A3014" s="11">
        <f t="shared" ref="A3014:A3077" si="47">IFERROR(B3014*1,"")</f>
        <v>830190001</v>
      </c>
      <c r="B3014">
        <v>830190001</v>
      </c>
      <c r="C3014" t="s">
        <v>2435</v>
      </c>
      <c r="D3014">
        <v>649</v>
      </c>
      <c r="E3014">
        <v>0</v>
      </c>
      <c r="F3014" s="7"/>
    </row>
    <row r="3015" spans="1:6" x14ac:dyDescent="0.25">
      <c r="A3015" s="11">
        <f t="shared" si="47"/>
        <v>830190002</v>
      </c>
      <c r="B3015">
        <v>830190002</v>
      </c>
      <c r="C3015" t="s">
        <v>2436</v>
      </c>
      <c r="D3015">
        <v>649</v>
      </c>
      <c r="E3015">
        <v>0</v>
      </c>
      <c r="F3015" s="7"/>
    </row>
    <row r="3016" spans="1:6" x14ac:dyDescent="0.25">
      <c r="A3016" s="11">
        <f t="shared" si="47"/>
        <v>830190003</v>
      </c>
      <c r="B3016">
        <v>830190003</v>
      </c>
      <c r="C3016" t="s">
        <v>2437</v>
      </c>
      <c r="D3016">
        <v>649</v>
      </c>
      <c r="E3016">
        <v>7</v>
      </c>
      <c r="F3016" s="7"/>
    </row>
    <row r="3017" spans="1:6" x14ac:dyDescent="0.25">
      <c r="A3017" s="11" t="str">
        <f t="shared" si="47"/>
        <v/>
      </c>
      <c r="B3017" t="s">
        <v>1859</v>
      </c>
      <c r="C3017" t="s">
        <v>1859</v>
      </c>
      <c r="D3017">
        <v>0</v>
      </c>
      <c r="E3017">
        <v>0</v>
      </c>
      <c r="F3017" s="7"/>
    </row>
    <row r="3018" spans="1:6" x14ac:dyDescent="0.25">
      <c r="A3018" s="11">
        <f t="shared" si="47"/>
        <v>8301901</v>
      </c>
      <c r="B3018">
        <v>8301901</v>
      </c>
      <c r="C3018" t="s">
        <v>2438</v>
      </c>
      <c r="D3018">
        <v>0</v>
      </c>
      <c r="E3018">
        <v>0</v>
      </c>
      <c r="F3018" s="7"/>
    </row>
    <row r="3019" spans="1:6" x14ac:dyDescent="0.25">
      <c r="A3019" s="11" t="str">
        <f t="shared" si="47"/>
        <v/>
      </c>
      <c r="B3019" t="s">
        <v>1859</v>
      </c>
      <c r="C3019" t="s">
        <v>1859</v>
      </c>
      <c r="D3019">
        <v>0</v>
      </c>
      <c r="E3019">
        <v>0</v>
      </c>
      <c r="F3019" s="7"/>
    </row>
    <row r="3020" spans="1:6" x14ac:dyDescent="0.25">
      <c r="A3020" s="11">
        <f t="shared" si="47"/>
        <v>8302001</v>
      </c>
      <c r="B3020">
        <v>8302001</v>
      </c>
      <c r="C3020" t="s">
        <v>2439</v>
      </c>
      <c r="D3020">
        <v>0</v>
      </c>
      <c r="E3020">
        <v>0</v>
      </c>
      <c r="F3020" s="7"/>
    </row>
    <row r="3021" spans="1:6" x14ac:dyDescent="0.25">
      <c r="A3021" s="11" t="str">
        <f t="shared" si="47"/>
        <v/>
      </c>
      <c r="B3021" t="s">
        <v>1859</v>
      </c>
      <c r="C3021" t="s">
        <v>1859</v>
      </c>
      <c r="D3021">
        <v>0</v>
      </c>
      <c r="E3021">
        <v>0</v>
      </c>
      <c r="F3021" s="7"/>
    </row>
    <row r="3022" spans="1:6" x14ac:dyDescent="0.25">
      <c r="A3022" s="11">
        <f t="shared" si="47"/>
        <v>8303000</v>
      </c>
      <c r="B3022">
        <v>8303000</v>
      </c>
      <c r="C3022" t="s">
        <v>2440</v>
      </c>
      <c r="D3022">
        <v>0</v>
      </c>
      <c r="E3022">
        <v>0</v>
      </c>
      <c r="F3022" s="7"/>
    </row>
    <row r="3023" spans="1:6" x14ac:dyDescent="0.25">
      <c r="A3023" s="11">
        <f t="shared" si="47"/>
        <v>8303002</v>
      </c>
      <c r="B3023">
        <v>8303002</v>
      </c>
      <c r="C3023" t="s">
        <v>394</v>
      </c>
      <c r="D3023">
        <v>799.99</v>
      </c>
      <c r="E3023">
        <v>0</v>
      </c>
      <c r="F3023" s="7"/>
    </row>
    <row r="3024" spans="1:6" x14ac:dyDescent="0.25">
      <c r="A3024" s="11">
        <f t="shared" si="47"/>
        <v>8303003</v>
      </c>
      <c r="B3024">
        <v>8303003</v>
      </c>
      <c r="C3024" t="s">
        <v>386</v>
      </c>
      <c r="D3024">
        <v>724.79</v>
      </c>
      <c r="E3024">
        <v>9</v>
      </c>
      <c r="F3024" s="7"/>
    </row>
    <row r="3025" spans="1:6" x14ac:dyDescent="0.25">
      <c r="A3025" s="11">
        <f t="shared" si="47"/>
        <v>8303004</v>
      </c>
      <c r="B3025">
        <v>8303004</v>
      </c>
      <c r="C3025" t="s">
        <v>387</v>
      </c>
      <c r="D3025">
        <v>799.99</v>
      </c>
      <c r="E3025">
        <v>14</v>
      </c>
      <c r="F3025" s="7"/>
    </row>
    <row r="3026" spans="1:6" x14ac:dyDescent="0.25">
      <c r="A3026" s="11">
        <f t="shared" si="47"/>
        <v>8303005</v>
      </c>
      <c r="B3026">
        <v>8303005</v>
      </c>
      <c r="C3026" t="s">
        <v>1848</v>
      </c>
      <c r="D3026">
        <v>603.79</v>
      </c>
      <c r="E3026">
        <v>6</v>
      </c>
      <c r="F3026" s="7"/>
    </row>
    <row r="3027" spans="1:6" x14ac:dyDescent="0.25">
      <c r="A3027" s="11">
        <f t="shared" si="47"/>
        <v>8303006</v>
      </c>
      <c r="B3027">
        <v>8303006</v>
      </c>
      <c r="C3027" t="s">
        <v>1631</v>
      </c>
      <c r="D3027">
        <v>603.79</v>
      </c>
      <c r="E3027">
        <v>16</v>
      </c>
      <c r="F3027" s="7"/>
    </row>
    <row r="3028" spans="1:6" x14ac:dyDescent="0.25">
      <c r="A3028" s="11">
        <f t="shared" si="47"/>
        <v>8303007</v>
      </c>
      <c r="B3028">
        <v>8303007</v>
      </c>
      <c r="C3028" t="s">
        <v>395</v>
      </c>
      <c r="D3028">
        <v>610.73</v>
      </c>
      <c r="E3028">
        <v>6</v>
      </c>
      <c r="F3028" s="7"/>
    </row>
    <row r="3029" spans="1:6" x14ac:dyDescent="0.25">
      <c r="A3029" s="11" t="str">
        <f t="shared" si="47"/>
        <v/>
      </c>
      <c r="B3029" t="s">
        <v>1859</v>
      </c>
      <c r="C3029" t="s">
        <v>1859</v>
      </c>
      <c r="D3029">
        <v>0</v>
      </c>
      <c r="E3029">
        <v>0</v>
      </c>
      <c r="F3029" s="7"/>
    </row>
    <row r="3030" spans="1:6" x14ac:dyDescent="0.25">
      <c r="A3030" s="11">
        <f t="shared" si="47"/>
        <v>8303008</v>
      </c>
      <c r="B3030">
        <v>8303008</v>
      </c>
      <c r="C3030" t="s">
        <v>2441</v>
      </c>
      <c r="D3030">
        <v>0</v>
      </c>
      <c r="E3030">
        <v>0</v>
      </c>
      <c r="F3030" s="7"/>
    </row>
    <row r="3031" spans="1:6" x14ac:dyDescent="0.25">
      <c r="A3031" s="11" t="str">
        <f t="shared" si="47"/>
        <v/>
      </c>
      <c r="B3031" t="s">
        <v>1859</v>
      </c>
      <c r="C3031" t="s">
        <v>1859</v>
      </c>
      <c r="D3031">
        <v>0</v>
      </c>
      <c r="E3031">
        <v>0</v>
      </c>
      <c r="F3031" s="7"/>
    </row>
    <row r="3032" spans="1:6" x14ac:dyDescent="0.25">
      <c r="A3032" s="11">
        <f t="shared" si="47"/>
        <v>8303009</v>
      </c>
      <c r="B3032">
        <v>8303009</v>
      </c>
      <c r="C3032" t="s">
        <v>2442</v>
      </c>
      <c r="D3032">
        <v>0</v>
      </c>
      <c r="E3032">
        <v>0</v>
      </c>
      <c r="F3032" s="7"/>
    </row>
    <row r="3033" spans="1:6" x14ac:dyDescent="0.25">
      <c r="A3033" s="11" t="str">
        <f t="shared" si="47"/>
        <v/>
      </c>
      <c r="B3033" t="s">
        <v>1859</v>
      </c>
      <c r="C3033" t="s">
        <v>1859</v>
      </c>
      <c r="D3033">
        <v>0</v>
      </c>
      <c r="E3033">
        <v>0</v>
      </c>
      <c r="F3033" s="7"/>
    </row>
    <row r="3034" spans="1:6" x14ac:dyDescent="0.25">
      <c r="A3034" s="11">
        <f t="shared" si="47"/>
        <v>8303010</v>
      </c>
      <c r="B3034">
        <v>8303010</v>
      </c>
      <c r="C3034" t="s">
        <v>1848</v>
      </c>
      <c r="D3034">
        <v>0</v>
      </c>
      <c r="E3034">
        <v>0</v>
      </c>
      <c r="F3034" s="7"/>
    </row>
    <row r="3035" spans="1:6" x14ac:dyDescent="0.25">
      <c r="A3035" s="11">
        <f t="shared" si="47"/>
        <v>8303011</v>
      </c>
      <c r="B3035">
        <v>8303011</v>
      </c>
      <c r="C3035" t="s">
        <v>380</v>
      </c>
      <c r="D3035">
        <v>603.79</v>
      </c>
      <c r="E3035">
        <v>1</v>
      </c>
      <c r="F3035" s="7"/>
    </row>
    <row r="3036" spans="1:6" x14ac:dyDescent="0.25">
      <c r="A3036" s="11" t="str">
        <f t="shared" si="47"/>
        <v/>
      </c>
      <c r="B3036" t="s">
        <v>1859</v>
      </c>
      <c r="C3036" t="s">
        <v>1859</v>
      </c>
      <c r="D3036">
        <v>0</v>
      </c>
      <c r="E3036">
        <v>0</v>
      </c>
      <c r="F3036" s="7"/>
    </row>
    <row r="3037" spans="1:6" x14ac:dyDescent="0.25">
      <c r="A3037" s="11">
        <f t="shared" si="47"/>
        <v>8303012</v>
      </c>
      <c r="B3037">
        <v>8303012</v>
      </c>
      <c r="C3037" t="s">
        <v>2443</v>
      </c>
      <c r="D3037">
        <v>0</v>
      </c>
      <c r="E3037">
        <v>0</v>
      </c>
      <c r="F3037" s="7"/>
    </row>
    <row r="3038" spans="1:6" x14ac:dyDescent="0.25">
      <c r="A3038" s="11" t="str">
        <f t="shared" si="47"/>
        <v/>
      </c>
      <c r="B3038" t="s">
        <v>1859</v>
      </c>
      <c r="C3038" t="s">
        <v>1859</v>
      </c>
      <c r="D3038">
        <v>0</v>
      </c>
      <c r="E3038">
        <v>0</v>
      </c>
      <c r="F3038" s="7"/>
    </row>
    <row r="3039" spans="1:6" x14ac:dyDescent="0.25">
      <c r="A3039" s="11">
        <f t="shared" si="47"/>
        <v>8303013</v>
      </c>
      <c r="B3039">
        <v>8303013</v>
      </c>
      <c r="C3039" t="s">
        <v>2444</v>
      </c>
      <c r="D3039">
        <v>0</v>
      </c>
      <c r="E3039">
        <v>0</v>
      </c>
      <c r="F3039" s="7"/>
    </row>
    <row r="3040" spans="1:6" x14ac:dyDescent="0.25">
      <c r="A3040" s="11">
        <f t="shared" si="47"/>
        <v>8303014</v>
      </c>
      <c r="B3040">
        <v>8303014</v>
      </c>
      <c r="C3040" t="s">
        <v>1632</v>
      </c>
      <c r="D3040">
        <v>603.79</v>
      </c>
      <c r="E3040">
        <v>0</v>
      </c>
      <c r="F3040" s="7"/>
    </row>
    <row r="3041" spans="1:6" x14ac:dyDescent="0.25">
      <c r="A3041" s="11" t="str">
        <f t="shared" si="47"/>
        <v/>
      </c>
      <c r="B3041" t="s">
        <v>1859</v>
      </c>
      <c r="C3041" t="s">
        <v>1859</v>
      </c>
      <c r="D3041">
        <v>0</v>
      </c>
      <c r="E3041">
        <v>0</v>
      </c>
      <c r="F3041" s="7"/>
    </row>
    <row r="3042" spans="1:6" x14ac:dyDescent="0.25">
      <c r="A3042" s="11">
        <f t="shared" si="47"/>
        <v>8303015</v>
      </c>
      <c r="B3042">
        <v>8303015</v>
      </c>
      <c r="C3042" t="s">
        <v>2445</v>
      </c>
      <c r="D3042">
        <v>0</v>
      </c>
      <c r="E3042">
        <v>0</v>
      </c>
      <c r="F3042" s="7"/>
    </row>
    <row r="3043" spans="1:6" x14ac:dyDescent="0.25">
      <c r="A3043" s="11" t="str">
        <f t="shared" si="47"/>
        <v/>
      </c>
      <c r="B3043" t="s">
        <v>1859</v>
      </c>
      <c r="C3043" t="s">
        <v>1859</v>
      </c>
      <c r="D3043">
        <v>0</v>
      </c>
      <c r="E3043">
        <v>0</v>
      </c>
      <c r="F3043" s="7"/>
    </row>
    <row r="3044" spans="1:6" x14ac:dyDescent="0.25">
      <c r="A3044" s="11">
        <f t="shared" si="47"/>
        <v>8303016</v>
      </c>
      <c r="B3044">
        <v>8303016</v>
      </c>
      <c r="C3044" t="s">
        <v>2446</v>
      </c>
      <c r="D3044">
        <v>0</v>
      </c>
      <c r="E3044">
        <v>0</v>
      </c>
      <c r="F3044" s="7"/>
    </row>
    <row r="3045" spans="1:6" x14ac:dyDescent="0.25">
      <c r="A3045" s="11" t="str">
        <f t="shared" si="47"/>
        <v/>
      </c>
      <c r="B3045" t="s">
        <v>1859</v>
      </c>
      <c r="C3045" t="s">
        <v>1859</v>
      </c>
      <c r="D3045">
        <v>0</v>
      </c>
      <c r="E3045">
        <v>0</v>
      </c>
      <c r="F3045" s="7"/>
    </row>
    <row r="3046" spans="1:6" x14ac:dyDescent="0.25">
      <c r="A3046" s="11">
        <f t="shared" si="47"/>
        <v>8303017</v>
      </c>
      <c r="B3046">
        <v>8303017</v>
      </c>
      <c r="C3046" t="s">
        <v>2447</v>
      </c>
      <c r="D3046">
        <v>0</v>
      </c>
      <c r="E3046">
        <v>0</v>
      </c>
      <c r="F3046" s="7"/>
    </row>
    <row r="3047" spans="1:6" x14ac:dyDescent="0.25">
      <c r="A3047" s="11" t="str">
        <f t="shared" si="47"/>
        <v/>
      </c>
      <c r="B3047" t="s">
        <v>1859</v>
      </c>
      <c r="C3047" t="s">
        <v>1859</v>
      </c>
      <c r="D3047">
        <v>0</v>
      </c>
      <c r="E3047">
        <v>0</v>
      </c>
      <c r="F3047" s="7"/>
    </row>
    <row r="3048" spans="1:6" x14ac:dyDescent="0.25">
      <c r="A3048" s="11">
        <f t="shared" si="47"/>
        <v>8303018</v>
      </c>
      <c r="B3048">
        <v>8303018</v>
      </c>
      <c r="C3048" t="s">
        <v>2448</v>
      </c>
      <c r="D3048">
        <v>0</v>
      </c>
      <c r="E3048">
        <v>0</v>
      </c>
      <c r="F3048" s="7"/>
    </row>
    <row r="3049" spans="1:6" x14ac:dyDescent="0.25">
      <c r="A3049" s="11" t="str">
        <f t="shared" si="47"/>
        <v/>
      </c>
      <c r="B3049" t="s">
        <v>1859</v>
      </c>
      <c r="C3049" t="s">
        <v>1859</v>
      </c>
      <c r="D3049">
        <v>0</v>
      </c>
      <c r="E3049">
        <v>0</v>
      </c>
      <c r="F3049" s="7"/>
    </row>
    <row r="3050" spans="1:6" x14ac:dyDescent="0.25">
      <c r="A3050" s="11">
        <f t="shared" si="47"/>
        <v>8303019</v>
      </c>
      <c r="B3050">
        <v>8303019</v>
      </c>
      <c r="C3050" t="s">
        <v>2449</v>
      </c>
      <c r="D3050">
        <v>0</v>
      </c>
      <c r="E3050">
        <v>0</v>
      </c>
      <c r="F3050" s="7"/>
    </row>
    <row r="3051" spans="1:6" x14ac:dyDescent="0.25">
      <c r="A3051" s="11" t="str">
        <f t="shared" si="47"/>
        <v/>
      </c>
      <c r="B3051" t="s">
        <v>1859</v>
      </c>
      <c r="C3051" t="s">
        <v>1859</v>
      </c>
      <c r="D3051">
        <v>0</v>
      </c>
      <c r="E3051">
        <v>0</v>
      </c>
      <c r="F3051" s="7"/>
    </row>
    <row r="3052" spans="1:6" x14ac:dyDescent="0.25">
      <c r="A3052" s="11">
        <f t="shared" si="47"/>
        <v>8303032</v>
      </c>
      <c r="B3052">
        <v>8303032</v>
      </c>
      <c r="C3052" t="s">
        <v>2450</v>
      </c>
      <c r="D3052">
        <v>0</v>
      </c>
      <c r="E3052">
        <v>0</v>
      </c>
      <c r="F3052" s="7"/>
    </row>
    <row r="3053" spans="1:6" x14ac:dyDescent="0.25">
      <c r="A3053" s="11" t="str">
        <f t="shared" si="47"/>
        <v/>
      </c>
      <c r="B3053" t="s">
        <v>1859</v>
      </c>
      <c r="C3053" t="s">
        <v>1859</v>
      </c>
      <c r="D3053">
        <v>0</v>
      </c>
      <c r="E3053">
        <v>0</v>
      </c>
      <c r="F3053" s="7"/>
    </row>
    <row r="3054" spans="1:6" x14ac:dyDescent="0.25">
      <c r="A3054" s="11">
        <f t="shared" si="47"/>
        <v>8303033</v>
      </c>
      <c r="B3054">
        <v>8303033</v>
      </c>
      <c r="C3054" t="s">
        <v>2451</v>
      </c>
      <c r="D3054">
        <v>0</v>
      </c>
      <c r="E3054">
        <v>0</v>
      </c>
      <c r="F3054" s="7"/>
    </row>
    <row r="3055" spans="1:6" x14ac:dyDescent="0.25">
      <c r="A3055" s="11">
        <f t="shared" si="47"/>
        <v>8303110</v>
      </c>
      <c r="B3055">
        <v>8303110</v>
      </c>
      <c r="C3055" t="s">
        <v>1633</v>
      </c>
      <c r="D3055">
        <v>845.79</v>
      </c>
      <c r="E3055">
        <v>0</v>
      </c>
      <c r="F3055" s="7"/>
    </row>
    <row r="3056" spans="1:6" x14ac:dyDescent="0.25">
      <c r="A3056" s="11">
        <f t="shared" si="47"/>
        <v>8303111</v>
      </c>
      <c r="B3056">
        <v>8303111</v>
      </c>
      <c r="C3056" t="s">
        <v>382</v>
      </c>
      <c r="D3056">
        <v>748</v>
      </c>
      <c r="E3056">
        <v>24</v>
      </c>
      <c r="F3056" s="7"/>
    </row>
    <row r="3057" spans="1:6" x14ac:dyDescent="0.25">
      <c r="A3057" s="11">
        <f t="shared" si="47"/>
        <v>8303112</v>
      </c>
      <c r="B3057">
        <v>8303112</v>
      </c>
      <c r="C3057" t="s">
        <v>381</v>
      </c>
      <c r="D3057">
        <v>748</v>
      </c>
      <c r="E3057">
        <v>0</v>
      </c>
      <c r="F3057" s="7"/>
    </row>
    <row r="3058" spans="1:6" x14ac:dyDescent="0.25">
      <c r="A3058" s="11">
        <f t="shared" si="47"/>
        <v>8303113</v>
      </c>
      <c r="B3058">
        <v>8303113</v>
      </c>
      <c r="C3058" t="s">
        <v>389</v>
      </c>
      <c r="D3058">
        <v>724.79</v>
      </c>
      <c r="E3058">
        <v>0</v>
      </c>
      <c r="F3058" s="7"/>
    </row>
    <row r="3059" spans="1:6" x14ac:dyDescent="0.25">
      <c r="A3059" s="11">
        <f t="shared" si="47"/>
        <v>8303114</v>
      </c>
      <c r="B3059">
        <v>8303114</v>
      </c>
      <c r="C3059" t="s">
        <v>1634</v>
      </c>
      <c r="D3059">
        <v>724.79</v>
      </c>
      <c r="E3059">
        <v>0</v>
      </c>
      <c r="F3059" s="7"/>
    </row>
    <row r="3060" spans="1:6" x14ac:dyDescent="0.25">
      <c r="A3060" s="11">
        <f t="shared" si="47"/>
        <v>8303120</v>
      </c>
      <c r="B3060">
        <v>8303120</v>
      </c>
      <c r="C3060" t="s">
        <v>383</v>
      </c>
      <c r="D3060">
        <v>724.79</v>
      </c>
      <c r="E3060">
        <v>55</v>
      </c>
      <c r="F3060" s="7"/>
    </row>
    <row r="3061" spans="1:6" x14ac:dyDescent="0.25">
      <c r="A3061" s="11">
        <f t="shared" si="47"/>
        <v>8303121</v>
      </c>
      <c r="B3061">
        <v>8303121</v>
      </c>
      <c r="C3061" t="s">
        <v>384</v>
      </c>
      <c r="D3061">
        <v>724.79</v>
      </c>
      <c r="E3061">
        <v>0</v>
      </c>
      <c r="F3061" s="7"/>
    </row>
    <row r="3062" spans="1:6" x14ac:dyDescent="0.25">
      <c r="A3062" s="11">
        <f t="shared" si="47"/>
        <v>8303123</v>
      </c>
      <c r="B3062">
        <v>8303123</v>
      </c>
      <c r="C3062" t="s">
        <v>377</v>
      </c>
      <c r="D3062">
        <v>845.79</v>
      </c>
      <c r="E3062">
        <v>464</v>
      </c>
      <c r="F3062" s="7"/>
    </row>
    <row r="3063" spans="1:6" x14ac:dyDescent="0.25">
      <c r="A3063" s="11" t="str">
        <f t="shared" si="47"/>
        <v/>
      </c>
      <c r="B3063" t="s">
        <v>1859</v>
      </c>
      <c r="C3063" t="s">
        <v>1859</v>
      </c>
      <c r="D3063">
        <v>0</v>
      </c>
      <c r="E3063">
        <v>0</v>
      </c>
      <c r="F3063" s="7"/>
    </row>
    <row r="3064" spans="1:6" x14ac:dyDescent="0.25">
      <c r="A3064" s="11">
        <f t="shared" si="47"/>
        <v>8303124</v>
      </c>
      <c r="B3064">
        <v>8303124</v>
      </c>
      <c r="C3064" t="s">
        <v>2452</v>
      </c>
      <c r="D3064">
        <v>0</v>
      </c>
      <c r="E3064">
        <v>0</v>
      </c>
      <c r="F3064" s="7"/>
    </row>
    <row r="3065" spans="1:6" x14ac:dyDescent="0.25">
      <c r="A3065" s="11">
        <f t="shared" si="47"/>
        <v>8303125</v>
      </c>
      <c r="B3065">
        <v>8303125</v>
      </c>
      <c r="C3065" t="s">
        <v>2453</v>
      </c>
      <c r="D3065">
        <v>0</v>
      </c>
      <c r="E3065">
        <v>0</v>
      </c>
      <c r="F3065" s="7"/>
    </row>
    <row r="3066" spans="1:6" x14ac:dyDescent="0.25">
      <c r="A3066" s="11" t="str">
        <f t="shared" si="47"/>
        <v/>
      </c>
      <c r="B3066" t="s">
        <v>1859</v>
      </c>
      <c r="C3066" t="s">
        <v>1859</v>
      </c>
      <c r="D3066">
        <v>0</v>
      </c>
      <c r="E3066">
        <v>0</v>
      </c>
      <c r="F3066" s="7"/>
    </row>
    <row r="3067" spans="1:6" x14ac:dyDescent="0.25">
      <c r="A3067" s="11">
        <f t="shared" si="47"/>
        <v>8303126</v>
      </c>
      <c r="B3067">
        <v>8303126</v>
      </c>
      <c r="C3067" t="s">
        <v>2454</v>
      </c>
      <c r="D3067">
        <v>0</v>
      </c>
      <c r="E3067">
        <v>0</v>
      </c>
      <c r="F3067" s="7"/>
    </row>
    <row r="3068" spans="1:6" x14ac:dyDescent="0.25">
      <c r="A3068" s="11">
        <f t="shared" si="47"/>
        <v>8303127</v>
      </c>
      <c r="B3068">
        <v>8303127</v>
      </c>
      <c r="C3068" t="s">
        <v>2455</v>
      </c>
      <c r="D3068">
        <v>724.79</v>
      </c>
      <c r="E3068">
        <v>-13</v>
      </c>
      <c r="F3068" s="7"/>
    </row>
    <row r="3069" spans="1:6" x14ac:dyDescent="0.25">
      <c r="A3069" s="11">
        <f t="shared" si="47"/>
        <v>8303128</v>
      </c>
      <c r="B3069">
        <v>8303128</v>
      </c>
      <c r="C3069" t="s">
        <v>388</v>
      </c>
      <c r="D3069">
        <v>724.79</v>
      </c>
      <c r="E3069">
        <v>0</v>
      </c>
      <c r="F3069" s="7"/>
    </row>
    <row r="3070" spans="1:6" x14ac:dyDescent="0.25">
      <c r="A3070" s="11">
        <f t="shared" si="47"/>
        <v>8303129</v>
      </c>
      <c r="B3070">
        <v>8303129</v>
      </c>
      <c r="C3070" t="s">
        <v>392</v>
      </c>
      <c r="D3070">
        <v>350</v>
      </c>
      <c r="E3070">
        <v>520</v>
      </c>
      <c r="F3070" s="7"/>
    </row>
    <row r="3071" spans="1:6" x14ac:dyDescent="0.25">
      <c r="A3071" s="11">
        <f t="shared" si="47"/>
        <v>8303130</v>
      </c>
      <c r="B3071">
        <v>8303130</v>
      </c>
      <c r="C3071" t="s">
        <v>385</v>
      </c>
      <c r="D3071">
        <v>400</v>
      </c>
      <c r="E3071">
        <v>5</v>
      </c>
      <c r="F3071" s="7"/>
    </row>
    <row r="3072" spans="1:6" x14ac:dyDescent="0.25">
      <c r="A3072" s="11" t="str">
        <f t="shared" si="47"/>
        <v/>
      </c>
      <c r="B3072" t="s">
        <v>1859</v>
      </c>
      <c r="C3072" t="s">
        <v>1859</v>
      </c>
      <c r="D3072">
        <v>0</v>
      </c>
      <c r="E3072">
        <v>0</v>
      </c>
      <c r="F3072" s="7"/>
    </row>
    <row r="3073" spans="1:6" x14ac:dyDescent="0.25">
      <c r="A3073" s="11">
        <f t="shared" si="47"/>
        <v>8303131</v>
      </c>
      <c r="B3073">
        <v>8303131</v>
      </c>
      <c r="C3073" t="s">
        <v>2456</v>
      </c>
      <c r="D3073">
        <v>0</v>
      </c>
      <c r="E3073">
        <v>0</v>
      </c>
      <c r="F3073" s="7"/>
    </row>
    <row r="3074" spans="1:6" x14ac:dyDescent="0.25">
      <c r="A3074" s="11" t="str">
        <f t="shared" si="47"/>
        <v/>
      </c>
      <c r="B3074" t="s">
        <v>1859</v>
      </c>
      <c r="C3074" t="s">
        <v>1859</v>
      </c>
      <c r="D3074">
        <v>0</v>
      </c>
      <c r="E3074">
        <v>0</v>
      </c>
      <c r="F3074" s="7"/>
    </row>
    <row r="3075" spans="1:6" x14ac:dyDescent="0.25">
      <c r="A3075" s="11">
        <f t="shared" si="47"/>
        <v>8303132</v>
      </c>
      <c r="B3075">
        <v>8303132</v>
      </c>
      <c r="C3075" t="s">
        <v>2457</v>
      </c>
      <c r="D3075">
        <v>0</v>
      </c>
      <c r="E3075">
        <v>0</v>
      </c>
      <c r="F3075" s="7"/>
    </row>
    <row r="3076" spans="1:6" x14ac:dyDescent="0.25">
      <c r="A3076" s="11" t="str">
        <f t="shared" si="47"/>
        <v/>
      </c>
      <c r="B3076" t="s">
        <v>1859</v>
      </c>
      <c r="C3076" t="s">
        <v>1859</v>
      </c>
      <c r="D3076">
        <v>0</v>
      </c>
      <c r="E3076">
        <v>0</v>
      </c>
      <c r="F3076" s="7"/>
    </row>
    <row r="3077" spans="1:6" x14ac:dyDescent="0.25">
      <c r="A3077" s="11">
        <f t="shared" si="47"/>
        <v>8303133</v>
      </c>
      <c r="B3077">
        <v>8303133</v>
      </c>
      <c r="C3077" t="s">
        <v>2458</v>
      </c>
      <c r="D3077">
        <v>0</v>
      </c>
      <c r="E3077">
        <v>0</v>
      </c>
      <c r="F3077" s="7"/>
    </row>
    <row r="3078" spans="1:6" x14ac:dyDescent="0.25">
      <c r="A3078" s="11">
        <f t="shared" ref="A3078:A3141" si="48">IFERROR(B3078*1,"")</f>
        <v>8303222</v>
      </c>
      <c r="B3078">
        <v>8303222</v>
      </c>
      <c r="C3078" t="s">
        <v>379</v>
      </c>
      <c r="D3078">
        <v>724.79</v>
      </c>
      <c r="E3078">
        <v>60</v>
      </c>
      <c r="F3078" s="7"/>
    </row>
    <row r="3079" spans="1:6" x14ac:dyDescent="0.25">
      <c r="A3079" s="11">
        <f t="shared" si="48"/>
        <v>8303297</v>
      </c>
      <c r="B3079">
        <v>8303297</v>
      </c>
      <c r="C3079" t="s">
        <v>1349</v>
      </c>
      <c r="D3079">
        <v>750</v>
      </c>
      <c r="E3079">
        <v>125</v>
      </c>
      <c r="F3079" s="7"/>
    </row>
    <row r="3080" spans="1:6" x14ac:dyDescent="0.25">
      <c r="A3080" s="11">
        <f t="shared" si="48"/>
        <v>8303298</v>
      </c>
      <c r="B3080">
        <v>8303298</v>
      </c>
      <c r="C3080" t="s">
        <v>1350</v>
      </c>
      <c r="D3080">
        <v>2200</v>
      </c>
      <c r="E3080">
        <v>66</v>
      </c>
      <c r="F3080" s="7"/>
    </row>
    <row r="3081" spans="1:6" x14ac:dyDescent="0.25">
      <c r="A3081" s="11">
        <f t="shared" si="48"/>
        <v>8303299</v>
      </c>
      <c r="B3081">
        <v>8303299</v>
      </c>
      <c r="C3081" t="s">
        <v>1348</v>
      </c>
      <c r="D3081">
        <v>2200</v>
      </c>
      <c r="E3081">
        <v>246</v>
      </c>
      <c r="F3081" s="7"/>
    </row>
    <row r="3082" spans="1:6" x14ac:dyDescent="0.25">
      <c r="A3082" s="11">
        <f t="shared" si="48"/>
        <v>8303300</v>
      </c>
      <c r="B3082">
        <v>8303300</v>
      </c>
      <c r="C3082" t="s">
        <v>1351</v>
      </c>
      <c r="D3082">
        <v>2200</v>
      </c>
      <c r="E3082">
        <v>242</v>
      </c>
      <c r="F3082" s="7"/>
    </row>
    <row r="3083" spans="1:6" x14ac:dyDescent="0.25">
      <c r="A3083" s="11">
        <f t="shared" si="48"/>
        <v>8303356</v>
      </c>
      <c r="B3083">
        <v>8303356</v>
      </c>
      <c r="C3083" t="s">
        <v>2459</v>
      </c>
      <c r="D3083">
        <v>0</v>
      </c>
      <c r="E3083">
        <v>0</v>
      </c>
      <c r="F3083" s="7"/>
    </row>
    <row r="3084" spans="1:6" x14ac:dyDescent="0.25">
      <c r="A3084" s="11">
        <f t="shared" si="48"/>
        <v>8303357</v>
      </c>
      <c r="B3084">
        <v>8303357</v>
      </c>
      <c r="C3084" t="s">
        <v>394</v>
      </c>
      <c r="D3084">
        <v>790</v>
      </c>
      <c r="E3084">
        <v>7</v>
      </c>
      <c r="F3084" s="7"/>
    </row>
    <row r="3085" spans="1:6" x14ac:dyDescent="0.25">
      <c r="A3085" s="11" t="str">
        <f t="shared" si="48"/>
        <v/>
      </c>
      <c r="B3085" t="s">
        <v>1859</v>
      </c>
      <c r="C3085" t="s">
        <v>1859</v>
      </c>
      <c r="D3085">
        <v>0</v>
      </c>
      <c r="E3085">
        <v>0</v>
      </c>
      <c r="F3085" s="7"/>
    </row>
    <row r="3086" spans="1:6" x14ac:dyDescent="0.25">
      <c r="A3086" s="11">
        <f t="shared" si="48"/>
        <v>8303358</v>
      </c>
      <c r="B3086">
        <v>8303358</v>
      </c>
      <c r="C3086" t="s">
        <v>2460</v>
      </c>
      <c r="D3086">
        <v>0</v>
      </c>
      <c r="E3086">
        <v>0</v>
      </c>
      <c r="F3086" s="7"/>
    </row>
    <row r="3087" spans="1:6" x14ac:dyDescent="0.25">
      <c r="A3087" s="11">
        <f t="shared" si="48"/>
        <v>8303495</v>
      </c>
      <c r="B3087">
        <v>8303495</v>
      </c>
      <c r="C3087" t="s">
        <v>1635</v>
      </c>
      <c r="D3087">
        <v>603.79</v>
      </c>
      <c r="E3087">
        <v>42</v>
      </c>
      <c r="F3087" s="7"/>
    </row>
    <row r="3088" spans="1:6" x14ac:dyDescent="0.25">
      <c r="A3088" s="11">
        <f t="shared" si="48"/>
        <v>8303496</v>
      </c>
      <c r="B3088">
        <v>8303496</v>
      </c>
      <c r="C3088" t="s">
        <v>1636</v>
      </c>
      <c r="D3088">
        <v>603.79</v>
      </c>
      <c r="E3088">
        <v>1</v>
      </c>
      <c r="F3088" s="7"/>
    </row>
    <row r="3089" spans="1:6" x14ac:dyDescent="0.25">
      <c r="A3089" s="11">
        <f t="shared" si="48"/>
        <v>8303544</v>
      </c>
      <c r="B3089">
        <v>8303544</v>
      </c>
      <c r="C3089" t="s">
        <v>390</v>
      </c>
      <c r="D3089">
        <v>603.79</v>
      </c>
      <c r="E3089">
        <v>8</v>
      </c>
      <c r="F3089" s="7"/>
    </row>
    <row r="3090" spans="1:6" x14ac:dyDescent="0.25">
      <c r="A3090" s="11">
        <f t="shared" si="48"/>
        <v>8303665</v>
      </c>
      <c r="B3090">
        <v>8303665</v>
      </c>
      <c r="C3090" t="s">
        <v>378</v>
      </c>
      <c r="D3090">
        <v>724.79</v>
      </c>
      <c r="E3090">
        <v>5</v>
      </c>
      <c r="F3090" s="7"/>
    </row>
    <row r="3091" spans="1:6" x14ac:dyDescent="0.25">
      <c r="A3091" s="11">
        <f t="shared" si="48"/>
        <v>8303674</v>
      </c>
      <c r="B3091">
        <v>8303674</v>
      </c>
      <c r="C3091" t="s">
        <v>1637</v>
      </c>
      <c r="D3091">
        <v>450</v>
      </c>
      <c r="E3091">
        <v>57</v>
      </c>
      <c r="F3091" s="7"/>
    </row>
    <row r="3092" spans="1:6" x14ac:dyDescent="0.25">
      <c r="A3092" s="11">
        <f t="shared" si="48"/>
        <v>8303677</v>
      </c>
      <c r="B3092">
        <v>8303677</v>
      </c>
      <c r="C3092" t="s">
        <v>1638</v>
      </c>
      <c r="D3092">
        <v>450</v>
      </c>
      <c r="E3092">
        <v>571</v>
      </c>
      <c r="F3092" s="7"/>
    </row>
    <row r="3093" spans="1:6" x14ac:dyDescent="0.25">
      <c r="A3093" s="11" t="str">
        <f t="shared" si="48"/>
        <v/>
      </c>
      <c r="B3093" t="s">
        <v>1859</v>
      </c>
      <c r="C3093" t="s">
        <v>1859</v>
      </c>
      <c r="D3093">
        <v>0</v>
      </c>
      <c r="E3093">
        <v>0</v>
      </c>
      <c r="F3093" s="7"/>
    </row>
    <row r="3094" spans="1:6" x14ac:dyDescent="0.25">
      <c r="A3094" s="11">
        <f t="shared" si="48"/>
        <v>8303700</v>
      </c>
      <c r="B3094">
        <v>8303700</v>
      </c>
      <c r="C3094" t="s">
        <v>2461</v>
      </c>
      <c r="D3094">
        <v>0</v>
      </c>
      <c r="E3094">
        <v>0</v>
      </c>
      <c r="F3094" s="7"/>
    </row>
    <row r="3095" spans="1:6" x14ac:dyDescent="0.25">
      <c r="A3095" s="11">
        <f t="shared" si="48"/>
        <v>8303701</v>
      </c>
      <c r="B3095">
        <v>8303701</v>
      </c>
      <c r="C3095" t="s">
        <v>393</v>
      </c>
      <c r="D3095">
        <v>880</v>
      </c>
      <c r="E3095">
        <v>53</v>
      </c>
      <c r="F3095" s="7"/>
    </row>
    <row r="3096" spans="1:6" x14ac:dyDescent="0.25">
      <c r="A3096" s="11">
        <f t="shared" si="48"/>
        <v>8303800</v>
      </c>
      <c r="B3096">
        <v>8303800</v>
      </c>
      <c r="C3096" t="s">
        <v>1440</v>
      </c>
      <c r="D3096">
        <v>748</v>
      </c>
      <c r="E3096">
        <v>5</v>
      </c>
      <c r="F3096" s="7"/>
    </row>
    <row r="3097" spans="1:6" x14ac:dyDescent="0.25">
      <c r="A3097" s="11">
        <f t="shared" si="48"/>
        <v>8303900</v>
      </c>
      <c r="B3097">
        <v>8303900</v>
      </c>
      <c r="C3097" t="s">
        <v>391</v>
      </c>
      <c r="D3097">
        <v>603.79</v>
      </c>
      <c r="E3097">
        <v>48</v>
      </c>
      <c r="F3097" s="7"/>
    </row>
    <row r="3098" spans="1:6" x14ac:dyDescent="0.25">
      <c r="A3098" s="11">
        <f t="shared" si="48"/>
        <v>8303901</v>
      </c>
      <c r="B3098">
        <v>8303901</v>
      </c>
      <c r="C3098" t="s">
        <v>2462</v>
      </c>
      <c r="D3098">
        <v>900</v>
      </c>
      <c r="E3098">
        <v>0</v>
      </c>
      <c r="F3098" s="7"/>
    </row>
    <row r="3099" spans="1:6" x14ac:dyDescent="0.25">
      <c r="A3099" s="11">
        <f t="shared" si="48"/>
        <v>8303902</v>
      </c>
      <c r="B3099">
        <v>8303902</v>
      </c>
      <c r="C3099" t="s">
        <v>1639</v>
      </c>
      <c r="D3099">
        <v>603.79</v>
      </c>
      <c r="E3099">
        <v>0</v>
      </c>
      <c r="F3099" s="7"/>
    </row>
    <row r="3100" spans="1:6" x14ac:dyDescent="0.25">
      <c r="A3100" s="11" t="str">
        <f t="shared" si="48"/>
        <v/>
      </c>
      <c r="B3100" t="s">
        <v>1859</v>
      </c>
      <c r="C3100" t="s">
        <v>1859</v>
      </c>
      <c r="D3100">
        <v>0</v>
      </c>
      <c r="E3100">
        <v>0</v>
      </c>
      <c r="F3100" s="7"/>
    </row>
    <row r="3101" spans="1:6" x14ac:dyDescent="0.25">
      <c r="A3101" s="11">
        <f t="shared" si="48"/>
        <v>8303987</v>
      </c>
      <c r="B3101">
        <v>8303987</v>
      </c>
      <c r="C3101" t="s">
        <v>2463</v>
      </c>
      <c r="D3101">
        <v>0</v>
      </c>
      <c r="E3101">
        <v>0</v>
      </c>
      <c r="F3101" s="7"/>
    </row>
    <row r="3102" spans="1:6" x14ac:dyDescent="0.25">
      <c r="A3102" s="11">
        <f t="shared" si="48"/>
        <v>8305000</v>
      </c>
      <c r="B3102">
        <v>8305000</v>
      </c>
      <c r="C3102" t="s">
        <v>666</v>
      </c>
      <c r="D3102">
        <v>3298.9</v>
      </c>
      <c r="E3102">
        <v>65</v>
      </c>
      <c r="F3102" s="7"/>
    </row>
    <row r="3103" spans="1:6" x14ac:dyDescent="0.25">
      <c r="A3103" s="11">
        <f t="shared" si="48"/>
        <v>8305001</v>
      </c>
      <c r="B3103">
        <v>8305001</v>
      </c>
      <c r="C3103" t="s">
        <v>668</v>
      </c>
      <c r="D3103">
        <v>2755.17</v>
      </c>
      <c r="E3103">
        <v>0</v>
      </c>
      <c r="F3103" s="7"/>
    </row>
    <row r="3104" spans="1:6" x14ac:dyDescent="0.25">
      <c r="A3104" s="11">
        <f t="shared" si="48"/>
        <v>8305002</v>
      </c>
      <c r="B3104">
        <v>8305002</v>
      </c>
      <c r="C3104" t="s">
        <v>669</v>
      </c>
      <c r="D3104">
        <v>3298.9</v>
      </c>
      <c r="E3104">
        <v>18</v>
      </c>
      <c r="F3104" s="7"/>
    </row>
    <row r="3105" spans="1:6" x14ac:dyDescent="0.25">
      <c r="A3105" s="11" t="str">
        <f t="shared" si="48"/>
        <v/>
      </c>
      <c r="B3105" t="s">
        <v>1859</v>
      </c>
      <c r="C3105" t="s">
        <v>1859</v>
      </c>
      <c r="D3105">
        <v>0</v>
      </c>
      <c r="E3105">
        <v>0</v>
      </c>
      <c r="F3105" s="7"/>
    </row>
    <row r="3106" spans="1:6" x14ac:dyDescent="0.25">
      <c r="A3106" s="11">
        <f t="shared" si="48"/>
        <v>8305003</v>
      </c>
      <c r="B3106">
        <v>8305003</v>
      </c>
      <c r="C3106" t="s">
        <v>2464</v>
      </c>
      <c r="D3106">
        <v>0</v>
      </c>
      <c r="E3106">
        <v>0</v>
      </c>
      <c r="F3106" s="7"/>
    </row>
    <row r="3107" spans="1:6" x14ac:dyDescent="0.25">
      <c r="A3107" s="11" t="str">
        <f t="shared" si="48"/>
        <v/>
      </c>
      <c r="B3107" t="s">
        <v>1859</v>
      </c>
      <c r="C3107" t="s">
        <v>1859</v>
      </c>
      <c r="D3107">
        <v>0</v>
      </c>
      <c r="E3107">
        <v>0</v>
      </c>
      <c r="F3107" s="7"/>
    </row>
    <row r="3108" spans="1:6" x14ac:dyDescent="0.25">
      <c r="A3108" s="11">
        <f t="shared" si="48"/>
        <v>8305004</v>
      </c>
      <c r="B3108">
        <v>8305004</v>
      </c>
      <c r="C3108" t="s">
        <v>2465</v>
      </c>
      <c r="D3108">
        <v>0</v>
      </c>
      <c r="E3108">
        <v>0</v>
      </c>
      <c r="F3108" s="7"/>
    </row>
    <row r="3109" spans="1:6" x14ac:dyDescent="0.25">
      <c r="A3109" s="11">
        <f t="shared" si="48"/>
        <v>8305006</v>
      </c>
      <c r="B3109">
        <v>8305006</v>
      </c>
      <c r="C3109" t="s">
        <v>2466</v>
      </c>
      <c r="D3109">
        <v>0</v>
      </c>
      <c r="E3109">
        <v>2</v>
      </c>
      <c r="F3109" s="7"/>
    </row>
    <row r="3110" spans="1:6" x14ac:dyDescent="0.25">
      <c r="A3110" s="11">
        <f t="shared" si="48"/>
        <v>8305007</v>
      </c>
      <c r="B3110">
        <v>8305007</v>
      </c>
      <c r="C3110" t="s">
        <v>2467</v>
      </c>
      <c r="D3110">
        <v>0</v>
      </c>
      <c r="E3110">
        <v>3</v>
      </c>
      <c r="F3110" s="7"/>
    </row>
    <row r="3111" spans="1:6" x14ac:dyDescent="0.25">
      <c r="A3111" s="11">
        <f t="shared" si="48"/>
        <v>8305008</v>
      </c>
      <c r="B3111">
        <v>8305008</v>
      </c>
      <c r="C3111" t="s">
        <v>2468</v>
      </c>
      <c r="D3111">
        <v>0</v>
      </c>
      <c r="E3111">
        <v>2</v>
      </c>
      <c r="F3111" s="7"/>
    </row>
    <row r="3112" spans="1:6" x14ac:dyDescent="0.25">
      <c r="A3112" s="11">
        <f t="shared" si="48"/>
        <v>8305009</v>
      </c>
      <c r="B3112">
        <v>8305009</v>
      </c>
      <c r="C3112" t="s">
        <v>665</v>
      </c>
      <c r="D3112">
        <v>4719</v>
      </c>
      <c r="E3112">
        <v>6</v>
      </c>
      <c r="F3112" s="7"/>
    </row>
    <row r="3113" spans="1:6" x14ac:dyDescent="0.25">
      <c r="A3113" s="11">
        <f t="shared" si="48"/>
        <v>8306100</v>
      </c>
      <c r="B3113">
        <v>8306100</v>
      </c>
      <c r="C3113" t="s">
        <v>694</v>
      </c>
      <c r="D3113">
        <v>800</v>
      </c>
      <c r="E3113">
        <v>21</v>
      </c>
      <c r="F3113" s="7"/>
    </row>
    <row r="3114" spans="1:6" x14ac:dyDescent="0.25">
      <c r="A3114" s="11">
        <f t="shared" si="48"/>
        <v>8306101</v>
      </c>
      <c r="B3114">
        <v>8306101</v>
      </c>
      <c r="C3114" t="s">
        <v>696</v>
      </c>
      <c r="D3114">
        <v>999.99</v>
      </c>
      <c r="E3114">
        <v>75</v>
      </c>
      <c r="F3114" s="7"/>
    </row>
    <row r="3115" spans="1:6" x14ac:dyDescent="0.25">
      <c r="A3115" s="11">
        <f t="shared" si="48"/>
        <v>8306200</v>
      </c>
      <c r="B3115">
        <v>8306200</v>
      </c>
      <c r="C3115" t="s">
        <v>697</v>
      </c>
      <c r="D3115">
        <v>550</v>
      </c>
      <c r="E3115">
        <v>86</v>
      </c>
      <c r="F3115" s="7"/>
    </row>
    <row r="3116" spans="1:6" x14ac:dyDescent="0.25">
      <c r="A3116" s="11" t="str">
        <f t="shared" si="48"/>
        <v/>
      </c>
      <c r="B3116" t="s">
        <v>1859</v>
      </c>
      <c r="C3116" t="s">
        <v>1859</v>
      </c>
      <c r="D3116">
        <v>0</v>
      </c>
      <c r="E3116">
        <v>0</v>
      </c>
      <c r="F3116" s="7"/>
    </row>
    <row r="3117" spans="1:6" x14ac:dyDescent="0.25">
      <c r="A3117" s="11">
        <f t="shared" si="48"/>
        <v>8307001</v>
      </c>
      <c r="B3117">
        <v>8307001</v>
      </c>
      <c r="C3117" t="s">
        <v>2469</v>
      </c>
      <c r="D3117">
        <v>0</v>
      </c>
      <c r="E3117">
        <v>0</v>
      </c>
      <c r="F3117" s="7"/>
    </row>
    <row r="3118" spans="1:6" x14ac:dyDescent="0.25">
      <c r="A3118" s="11">
        <f t="shared" si="48"/>
        <v>8307002</v>
      </c>
      <c r="B3118">
        <v>8307002</v>
      </c>
      <c r="C3118" t="s">
        <v>164</v>
      </c>
      <c r="D3118">
        <v>1069.93</v>
      </c>
      <c r="E3118">
        <v>0</v>
      </c>
      <c r="F3118" s="7"/>
    </row>
    <row r="3119" spans="1:6" x14ac:dyDescent="0.25">
      <c r="A3119" s="11">
        <f t="shared" si="48"/>
        <v>8307017</v>
      </c>
      <c r="B3119">
        <v>8307017</v>
      </c>
      <c r="C3119" t="s">
        <v>1640</v>
      </c>
      <c r="D3119">
        <v>2700</v>
      </c>
      <c r="E3119">
        <v>10</v>
      </c>
      <c r="F3119" s="7"/>
    </row>
    <row r="3120" spans="1:6" x14ac:dyDescent="0.25">
      <c r="A3120" s="11">
        <f t="shared" si="48"/>
        <v>8307018</v>
      </c>
      <c r="B3120">
        <v>8307018</v>
      </c>
      <c r="C3120" t="s">
        <v>2470</v>
      </c>
      <c r="D3120">
        <v>0</v>
      </c>
      <c r="E3120">
        <v>9</v>
      </c>
      <c r="F3120" s="7"/>
    </row>
    <row r="3121" spans="1:6" x14ac:dyDescent="0.25">
      <c r="A3121" s="11" t="str">
        <f t="shared" si="48"/>
        <v/>
      </c>
      <c r="B3121" t="s">
        <v>1859</v>
      </c>
      <c r="C3121" t="s">
        <v>1859</v>
      </c>
      <c r="D3121">
        <v>0</v>
      </c>
      <c r="E3121">
        <v>0</v>
      </c>
      <c r="F3121" s="7"/>
    </row>
    <row r="3122" spans="1:6" x14ac:dyDescent="0.25">
      <c r="A3122" s="11">
        <f t="shared" si="48"/>
        <v>8307159</v>
      </c>
      <c r="B3122">
        <v>8307159</v>
      </c>
      <c r="C3122" t="s">
        <v>2471</v>
      </c>
      <c r="D3122">
        <v>0</v>
      </c>
      <c r="E3122">
        <v>0</v>
      </c>
      <c r="F3122" s="7"/>
    </row>
    <row r="3123" spans="1:6" x14ac:dyDescent="0.25">
      <c r="A3123" s="11">
        <f t="shared" si="48"/>
        <v>8307810</v>
      </c>
      <c r="B3123">
        <v>8307810</v>
      </c>
      <c r="C3123" t="s">
        <v>1641</v>
      </c>
      <c r="D3123">
        <v>9899.99</v>
      </c>
      <c r="E3123">
        <v>2</v>
      </c>
      <c r="F3123" s="7"/>
    </row>
    <row r="3124" spans="1:6" x14ac:dyDescent="0.25">
      <c r="A3124" s="11" t="str">
        <f t="shared" si="48"/>
        <v/>
      </c>
      <c r="B3124" t="s">
        <v>1859</v>
      </c>
      <c r="C3124" t="s">
        <v>1859</v>
      </c>
      <c r="D3124">
        <v>0</v>
      </c>
      <c r="E3124">
        <v>0</v>
      </c>
      <c r="F3124" s="7"/>
    </row>
    <row r="3125" spans="1:6" x14ac:dyDescent="0.25">
      <c r="A3125" s="11">
        <f t="shared" si="48"/>
        <v>8307811</v>
      </c>
      <c r="B3125">
        <v>8307811</v>
      </c>
      <c r="C3125" t="s">
        <v>2472</v>
      </c>
      <c r="D3125">
        <v>0</v>
      </c>
      <c r="E3125">
        <v>0</v>
      </c>
      <c r="F3125" s="7"/>
    </row>
    <row r="3126" spans="1:6" x14ac:dyDescent="0.25">
      <c r="A3126" s="11" t="str">
        <f t="shared" si="48"/>
        <v/>
      </c>
      <c r="B3126" t="s">
        <v>1859</v>
      </c>
      <c r="C3126" t="s">
        <v>1859</v>
      </c>
      <c r="D3126">
        <v>0</v>
      </c>
      <c r="E3126">
        <v>0</v>
      </c>
      <c r="F3126" s="7"/>
    </row>
    <row r="3127" spans="1:6" x14ac:dyDescent="0.25">
      <c r="A3127" s="11">
        <f t="shared" si="48"/>
        <v>8307812</v>
      </c>
      <c r="B3127">
        <v>8307812</v>
      </c>
      <c r="C3127" t="s">
        <v>2473</v>
      </c>
      <c r="D3127">
        <v>0</v>
      </c>
      <c r="E3127">
        <v>0</v>
      </c>
      <c r="F3127" s="7"/>
    </row>
    <row r="3128" spans="1:6" x14ac:dyDescent="0.25">
      <c r="A3128" s="11" t="str">
        <f t="shared" si="48"/>
        <v/>
      </c>
      <c r="B3128" t="s">
        <v>1859</v>
      </c>
      <c r="C3128" t="s">
        <v>1859</v>
      </c>
      <c r="D3128">
        <v>0</v>
      </c>
      <c r="E3128">
        <v>0</v>
      </c>
      <c r="F3128" s="7"/>
    </row>
    <row r="3129" spans="1:6" x14ac:dyDescent="0.25">
      <c r="A3129" s="11">
        <f t="shared" si="48"/>
        <v>8307813</v>
      </c>
      <c r="B3129">
        <v>8307813</v>
      </c>
      <c r="C3129" t="s">
        <v>2474</v>
      </c>
      <c r="D3129">
        <v>0</v>
      </c>
      <c r="E3129">
        <v>0</v>
      </c>
      <c r="F3129" s="7"/>
    </row>
    <row r="3130" spans="1:6" x14ac:dyDescent="0.25">
      <c r="A3130" s="11" t="str">
        <f t="shared" si="48"/>
        <v/>
      </c>
      <c r="B3130" t="s">
        <v>1859</v>
      </c>
      <c r="C3130" t="s">
        <v>1859</v>
      </c>
      <c r="D3130">
        <v>0</v>
      </c>
      <c r="E3130">
        <v>0</v>
      </c>
      <c r="F3130" s="7"/>
    </row>
    <row r="3131" spans="1:6" x14ac:dyDescent="0.25">
      <c r="A3131" s="11">
        <f t="shared" si="48"/>
        <v>8351026</v>
      </c>
      <c r="B3131">
        <v>8351026</v>
      </c>
      <c r="C3131" t="s">
        <v>2475</v>
      </c>
      <c r="D3131">
        <v>0</v>
      </c>
      <c r="E3131">
        <v>0</v>
      </c>
      <c r="F3131" s="7"/>
    </row>
    <row r="3132" spans="1:6" x14ac:dyDescent="0.25">
      <c r="A3132" s="11">
        <f t="shared" si="48"/>
        <v>8400000</v>
      </c>
      <c r="B3132">
        <v>8400000</v>
      </c>
      <c r="C3132" t="s">
        <v>670</v>
      </c>
      <c r="D3132">
        <v>301.29000000000002</v>
      </c>
      <c r="E3132">
        <v>0</v>
      </c>
      <c r="F3132" s="7"/>
    </row>
    <row r="3133" spans="1:6" x14ac:dyDescent="0.25">
      <c r="A3133" s="11">
        <f t="shared" si="48"/>
        <v>8400001</v>
      </c>
      <c r="B3133">
        <v>8400001</v>
      </c>
      <c r="C3133" t="s">
        <v>2476</v>
      </c>
      <c r="D3133">
        <v>199.19</v>
      </c>
      <c r="E3133">
        <v>0</v>
      </c>
      <c r="F3133" s="7"/>
    </row>
    <row r="3134" spans="1:6" x14ac:dyDescent="0.25">
      <c r="A3134" s="11">
        <f t="shared" si="48"/>
        <v>8400002</v>
      </c>
      <c r="B3134">
        <v>8400002</v>
      </c>
      <c r="C3134" t="s">
        <v>672</v>
      </c>
      <c r="D3134">
        <v>301.29000000000002</v>
      </c>
      <c r="E3134">
        <v>0</v>
      </c>
      <c r="F3134" s="7"/>
    </row>
    <row r="3135" spans="1:6" x14ac:dyDescent="0.25">
      <c r="A3135" s="11">
        <f t="shared" si="48"/>
        <v>8400003</v>
      </c>
      <c r="B3135">
        <v>8400003</v>
      </c>
      <c r="C3135" t="s">
        <v>2477</v>
      </c>
      <c r="D3135">
        <v>0</v>
      </c>
      <c r="E3135">
        <v>0</v>
      </c>
      <c r="F3135" s="7"/>
    </row>
    <row r="3136" spans="1:6" x14ac:dyDescent="0.25">
      <c r="A3136" s="11">
        <f t="shared" si="48"/>
        <v>8400008</v>
      </c>
      <c r="B3136">
        <v>8400008</v>
      </c>
      <c r="C3136" t="s">
        <v>2478</v>
      </c>
      <c r="D3136">
        <v>199.19</v>
      </c>
      <c r="E3136">
        <v>0</v>
      </c>
      <c r="F3136" s="7"/>
    </row>
    <row r="3137" spans="1:6" x14ac:dyDescent="0.25">
      <c r="A3137" s="11" t="str">
        <f t="shared" si="48"/>
        <v/>
      </c>
      <c r="B3137" t="s">
        <v>1859</v>
      </c>
      <c r="C3137" t="s">
        <v>1859</v>
      </c>
      <c r="D3137">
        <v>0</v>
      </c>
      <c r="E3137">
        <v>0</v>
      </c>
      <c r="F3137" s="7"/>
    </row>
    <row r="3138" spans="1:6" x14ac:dyDescent="0.25">
      <c r="A3138" s="11">
        <f t="shared" si="48"/>
        <v>8400009</v>
      </c>
      <c r="B3138">
        <v>8400009</v>
      </c>
      <c r="C3138" t="s">
        <v>2479</v>
      </c>
      <c r="D3138">
        <v>0</v>
      </c>
      <c r="E3138">
        <v>0</v>
      </c>
      <c r="F3138" s="7"/>
    </row>
    <row r="3139" spans="1:6" x14ac:dyDescent="0.25">
      <c r="A3139" s="11">
        <f t="shared" si="48"/>
        <v>8400010</v>
      </c>
      <c r="B3139">
        <v>8400010</v>
      </c>
      <c r="C3139" t="s">
        <v>671</v>
      </c>
      <c r="D3139">
        <v>301.29000000000002</v>
      </c>
      <c r="E3139">
        <v>12</v>
      </c>
      <c r="F3139" s="7"/>
    </row>
    <row r="3140" spans="1:6" x14ac:dyDescent="0.25">
      <c r="A3140" s="11" t="str">
        <f t="shared" si="48"/>
        <v/>
      </c>
      <c r="B3140" t="s">
        <v>1859</v>
      </c>
      <c r="C3140" t="s">
        <v>1859</v>
      </c>
      <c r="D3140">
        <v>0</v>
      </c>
      <c r="E3140">
        <v>0</v>
      </c>
      <c r="F3140" s="7"/>
    </row>
    <row r="3141" spans="1:6" x14ac:dyDescent="0.25">
      <c r="A3141" s="11">
        <f t="shared" si="48"/>
        <v>8400020</v>
      </c>
      <c r="B3141">
        <v>8400020</v>
      </c>
      <c r="C3141" t="s">
        <v>2480</v>
      </c>
      <c r="D3141">
        <v>0</v>
      </c>
      <c r="E3141">
        <v>0</v>
      </c>
      <c r="F3141" s="7"/>
    </row>
    <row r="3142" spans="1:6" x14ac:dyDescent="0.25">
      <c r="A3142" s="11" t="str">
        <f t="shared" ref="A3142:A3205" si="49">IFERROR(B3142*1,"")</f>
        <v/>
      </c>
      <c r="B3142" t="s">
        <v>1859</v>
      </c>
      <c r="C3142" t="s">
        <v>1859</v>
      </c>
      <c r="D3142">
        <v>0</v>
      </c>
      <c r="E3142">
        <v>0</v>
      </c>
      <c r="F3142" s="7"/>
    </row>
    <row r="3143" spans="1:6" x14ac:dyDescent="0.25">
      <c r="A3143" s="11">
        <f t="shared" si="49"/>
        <v>8400021</v>
      </c>
      <c r="B3143">
        <v>8400021</v>
      </c>
      <c r="C3143" t="s">
        <v>2481</v>
      </c>
      <c r="D3143">
        <v>0</v>
      </c>
      <c r="E3143">
        <v>0</v>
      </c>
      <c r="F3143" s="7"/>
    </row>
    <row r="3144" spans="1:6" x14ac:dyDescent="0.25">
      <c r="A3144" s="11">
        <f t="shared" si="49"/>
        <v>8400024</v>
      </c>
      <c r="B3144">
        <v>8400024</v>
      </c>
      <c r="C3144" t="s">
        <v>678</v>
      </c>
      <c r="D3144">
        <v>535.71</v>
      </c>
      <c r="E3144">
        <v>33</v>
      </c>
      <c r="F3144" s="7"/>
    </row>
    <row r="3145" spans="1:6" x14ac:dyDescent="0.25">
      <c r="A3145" s="11" t="str">
        <f t="shared" si="49"/>
        <v/>
      </c>
      <c r="B3145" t="s">
        <v>1859</v>
      </c>
      <c r="C3145" t="s">
        <v>1859</v>
      </c>
      <c r="D3145">
        <v>0</v>
      </c>
      <c r="E3145">
        <v>0</v>
      </c>
      <c r="F3145" s="7"/>
    </row>
    <row r="3146" spans="1:6" x14ac:dyDescent="0.25">
      <c r="A3146" s="11">
        <f t="shared" si="49"/>
        <v>8400025</v>
      </c>
      <c r="B3146">
        <v>8400025</v>
      </c>
      <c r="C3146" t="s">
        <v>2482</v>
      </c>
      <c r="D3146">
        <v>0</v>
      </c>
      <c r="E3146">
        <v>0</v>
      </c>
      <c r="F3146" s="7"/>
    </row>
    <row r="3147" spans="1:6" x14ac:dyDescent="0.25">
      <c r="A3147" s="11">
        <f t="shared" si="49"/>
        <v>8400026</v>
      </c>
      <c r="B3147">
        <v>8400026</v>
      </c>
      <c r="C3147" t="s">
        <v>1642</v>
      </c>
      <c r="D3147">
        <v>535.71</v>
      </c>
      <c r="E3147">
        <v>0</v>
      </c>
      <c r="F3147" s="7"/>
    </row>
    <row r="3148" spans="1:6" x14ac:dyDescent="0.25">
      <c r="A3148" s="11">
        <f t="shared" si="49"/>
        <v>8400027</v>
      </c>
      <c r="B3148">
        <v>8400027</v>
      </c>
      <c r="C3148" t="s">
        <v>679</v>
      </c>
      <c r="D3148">
        <v>535.71</v>
      </c>
      <c r="E3148">
        <v>6</v>
      </c>
      <c r="F3148" s="7"/>
    </row>
    <row r="3149" spans="1:6" x14ac:dyDescent="0.25">
      <c r="A3149" s="11" t="str">
        <f t="shared" si="49"/>
        <v/>
      </c>
      <c r="B3149" t="s">
        <v>1859</v>
      </c>
      <c r="C3149" t="s">
        <v>1859</v>
      </c>
      <c r="D3149">
        <v>0</v>
      </c>
      <c r="E3149">
        <v>0</v>
      </c>
      <c r="F3149" s="7"/>
    </row>
    <row r="3150" spans="1:6" x14ac:dyDescent="0.25">
      <c r="A3150" s="11">
        <f t="shared" si="49"/>
        <v>8400028</v>
      </c>
      <c r="B3150">
        <v>8400028</v>
      </c>
      <c r="C3150" t="s">
        <v>2483</v>
      </c>
      <c r="D3150">
        <v>0</v>
      </c>
      <c r="E3150">
        <v>0</v>
      </c>
      <c r="F3150" s="7"/>
    </row>
    <row r="3151" spans="1:6" x14ac:dyDescent="0.25">
      <c r="A3151" s="11" t="str">
        <f t="shared" si="49"/>
        <v/>
      </c>
      <c r="B3151" t="s">
        <v>1859</v>
      </c>
      <c r="C3151" t="s">
        <v>1859</v>
      </c>
      <c r="D3151">
        <v>0</v>
      </c>
      <c r="E3151">
        <v>0</v>
      </c>
      <c r="F3151" s="7"/>
    </row>
    <row r="3152" spans="1:6" x14ac:dyDescent="0.25">
      <c r="A3152" s="11">
        <f t="shared" si="49"/>
        <v>8400029</v>
      </c>
      <c r="B3152">
        <v>8400029</v>
      </c>
      <c r="C3152" t="s">
        <v>2484</v>
      </c>
      <c r="D3152">
        <v>0</v>
      </c>
      <c r="E3152">
        <v>0</v>
      </c>
      <c r="F3152" s="7"/>
    </row>
    <row r="3153" spans="1:6" x14ac:dyDescent="0.25">
      <c r="A3153" s="11" t="str">
        <f t="shared" si="49"/>
        <v/>
      </c>
      <c r="B3153" t="s">
        <v>1859</v>
      </c>
      <c r="C3153" t="s">
        <v>1859</v>
      </c>
      <c r="D3153">
        <v>0</v>
      </c>
      <c r="E3153">
        <v>0</v>
      </c>
      <c r="F3153" s="7"/>
    </row>
    <row r="3154" spans="1:6" x14ac:dyDescent="0.25">
      <c r="A3154" s="11">
        <f t="shared" si="49"/>
        <v>8400030</v>
      </c>
      <c r="B3154">
        <v>8400030</v>
      </c>
      <c r="C3154" t="s">
        <v>2485</v>
      </c>
      <c r="D3154">
        <v>0</v>
      </c>
      <c r="E3154">
        <v>0</v>
      </c>
      <c r="F3154" s="7"/>
    </row>
    <row r="3155" spans="1:6" x14ac:dyDescent="0.25">
      <c r="A3155" s="11">
        <f t="shared" si="49"/>
        <v>8400032</v>
      </c>
      <c r="B3155">
        <v>8400032</v>
      </c>
      <c r="C3155" t="s">
        <v>2486</v>
      </c>
      <c r="D3155">
        <v>0</v>
      </c>
      <c r="E3155">
        <v>0</v>
      </c>
      <c r="F3155" s="7"/>
    </row>
    <row r="3156" spans="1:6" x14ac:dyDescent="0.25">
      <c r="A3156" s="11">
        <f t="shared" si="49"/>
        <v>8400035</v>
      </c>
      <c r="B3156">
        <v>8400035</v>
      </c>
      <c r="C3156" t="s">
        <v>2487</v>
      </c>
      <c r="D3156">
        <v>0</v>
      </c>
      <c r="E3156">
        <v>0</v>
      </c>
      <c r="F3156" s="7"/>
    </row>
    <row r="3157" spans="1:6" x14ac:dyDescent="0.25">
      <c r="A3157" s="11">
        <f t="shared" si="49"/>
        <v>8400036</v>
      </c>
      <c r="B3157">
        <v>8400036</v>
      </c>
      <c r="C3157" t="s">
        <v>2488</v>
      </c>
      <c r="D3157">
        <v>0</v>
      </c>
      <c r="E3157">
        <v>0</v>
      </c>
      <c r="F3157" s="7"/>
    </row>
    <row r="3158" spans="1:6" x14ac:dyDescent="0.25">
      <c r="A3158" s="11">
        <f t="shared" si="49"/>
        <v>8400062</v>
      </c>
      <c r="B3158">
        <v>8400062</v>
      </c>
      <c r="C3158" t="s">
        <v>690</v>
      </c>
      <c r="D3158">
        <v>535.71</v>
      </c>
      <c r="E3158">
        <v>0</v>
      </c>
      <c r="F3158" s="7"/>
    </row>
    <row r="3159" spans="1:6" x14ac:dyDescent="0.25">
      <c r="A3159" s="11">
        <f t="shared" si="49"/>
        <v>8400070</v>
      </c>
      <c r="B3159">
        <v>8400070</v>
      </c>
      <c r="C3159" t="s">
        <v>1063</v>
      </c>
      <c r="D3159">
        <v>180.29</v>
      </c>
      <c r="E3159">
        <v>86</v>
      </c>
      <c r="F3159" s="7"/>
    </row>
    <row r="3160" spans="1:6" x14ac:dyDescent="0.25">
      <c r="A3160" s="11">
        <f t="shared" si="49"/>
        <v>8400076</v>
      </c>
      <c r="B3160">
        <v>8400076</v>
      </c>
      <c r="C3160" t="s">
        <v>2489</v>
      </c>
      <c r="D3160">
        <v>0</v>
      </c>
      <c r="E3160">
        <v>0</v>
      </c>
      <c r="F3160" s="7"/>
    </row>
    <row r="3161" spans="1:6" x14ac:dyDescent="0.25">
      <c r="A3161" s="11">
        <f t="shared" si="49"/>
        <v>8400080</v>
      </c>
      <c r="B3161">
        <v>8400080</v>
      </c>
      <c r="C3161" t="s">
        <v>1062</v>
      </c>
      <c r="D3161">
        <v>151.54</v>
      </c>
      <c r="E3161">
        <v>10</v>
      </c>
      <c r="F3161" s="7"/>
    </row>
    <row r="3162" spans="1:6" x14ac:dyDescent="0.25">
      <c r="A3162" s="11" t="str">
        <f t="shared" si="49"/>
        <v/>
      </c>
      <c r="B3162" t="s">
        <v>1859</v>
      </c>
      <c r="C3162" t="s">
        <v>1859</v>
      </c>
      <c r="D3162">
        <v>0</v>
      </c>
      <c r="E3162">
        <v>0</v>
      </c>
      <c r="F3162" s="7"/>
    </row>
    <row r="3163" spans="1:6" x14ac:dyDescent="0.25">
      <c r="A3163" s="11">
        <f t="shared" si="49"/>
        <v>8400085</v>
      </c>
      <c r="B3163">
        <v>8400085</v>
      </c>
      <c r="C3163" t="s">
        <v>2490</v>
      </c>
      <c r="D3163">
        <v>0</v>
      </c>
      <c r="E3163">
        <v>0</v>
      </c>
      <c r="F3163" s="7"/>
    </row>
    <row r="3164" spans="1:6" x14ac:dyDescent="0.25">
      <c r="A3164" s="11" t="str">
        <f t="shared" si="49"/>
        <v/>
      </c>
      <c r="B3164" t="s">
        <v>1859</v>
      </c>
      <c r="C3164" t="s">
        <v>1859</v>
      </c>
      <c r="D3164">
        <v>0</v>
      </c>
      <c r="E3164">
        <v>0</v>
      </c>
      <c r="F3164" s="7"/>
    </row>
    <row r="3165" spans="1:6" x14ac:dyDescent="0.25">
      <c r="A3165" s="11">
        <f t="shared" si="49"/>
        <v>8400086</v>
      </c>
      <c r="B3165">
        <v>8400086</v>
      </c>
      <c r="C3165" t="s">
        <v>2491</v>
      </c>
      <c r="D3165">
        <v>0</v>
      </c>
      <c r="E3165">
        <v>0</v>
      </c>
      <c r="F3165" s="7"/>
    </row>
    <row r="3166" spans="1:6" x14ac:dyDescent="0.25">
      <c r="A3166" s="11" t="str">
        <f t="shared" si="49"/>
        <v/>
      </c>
      <c r="B3166" t="s">
        <v>1859</v>
      </c>
      <c r="C3166" t="s">
        <v>1859</v>
      </c>
      <c r="D3166">
        <v>0</v>
      </c>
      <c r="E3166">
        <v>0</v>
      </c>
      <c r="F3166" s="7"/>
    </row>
    <row r="3167" spans="1:6" x14ac:dyDescent="0.25">
      <c r="A3167" s="11">
        <f t="shared" si="49"/>
        <v>8400087</v>
      </c>
      <c r="B3167">
        <v>8400087</v>
      </c>
      <c r="C3167" t="s">
        <v>2492</v>
      </c>
      <c r="D3167">
        <v>0</v>
      </c>
      <c r="E3167">
        <v>0</v>
      </c>
      <c r="F3167" s="7"/>
    </row>
    <row r="3168" spans="1:6" x14ac:dyDescent="0.25">
      <c r="A3168" s="11" t="str">
        <f t="shared" si="49"/>
        <v/>
      </c>
      <c r="B3168" t="s">
        <v>1859</v>
      </c>
      <c r="C3168" t="s">
        <v>1859</v>
      </c>
      <c r="D3168">
        <v>0</v>
      </c>
      <c r="E3168">
        <v>0</v>
      </c>
      <c r="F3168" s="7"/>
    </row>
    <row r="3169" spans="1:6" x14ac:dyDescent="0.25">
      <c r="A3169" s="11">
        <f t="shared" si="49"/>
        <v>8400088</v>
      </c>
      <c r="B3169">
        <v>8400088</v>
      </c>
      <c r="C3169" t="s">
        <v>2493</v>
      </c>
      <c r="D3169">
        <v>0</v>
      </c>
      <c r="E3169">
        <v>0</v>
      </c>
      <c r="F3169" s="7"/>
    </row>
    <row r="3170" spans="1:6" x14ac:dyDescent="0.25">
      <c r="A3170" s="11" t="str">
        <f t="shared" si="49"/>
        <v/>
      </c>
      <c r="B3170" t="s">
        <v>1859</v>
      </c>
      <c r="C3170" t="s">
        <v>1859</v>
      </c>
      <c r="D3170">
        <v>0</v>
      </c>
      <c r="E3170">
        <v>0</v>
      </c>
      <c r="F3170" s="7"/>
    </row>
    <row r="3171" spans="1:6" x14ac:dyDescent="0.25">
      <c r="A3171" s="11">
        <f t="shared" si="49"/>
        <v>8400089</v>
      </c>
      <c r="B3171">
        <v>8400089</v>
      </c>
      <c r="C3171" t="s">
        <v>2494</v>
      </c>
      <c r="D3171">
        <v>0</v>
      </c>
      <c r="E3171">
        <v>0</v>
      </c>
      <c r="F3171" s="7"/>
    </row>
    <row r="3172" spans="1:6" x14ac:dyDescent="0.25">
      <c r="A3172" s="11" t="str">
        <f t="shared" si="49"/>
        <v/>
      </c>
      <c r="B3172" t="s">
        <v>1859</v>
      </c>
      <c r="C3172" t="s">
        <v>1859</v>
      </c>
      <c r="D3172">
        <v>0</v>
      </c>
      <c r="E3172">
        <v>0</v>
      </c>
      <c r="F3172" s="7"/>
    </row>
    <row r="3173" spans="1:6" x14ac:dyDescent="0.25">
      <c r="A3173" s="11">
        <f t="shared" si="49"/>
        <v>8400090</v>
      </c>
      <c r="B3173">
        <v>8400090</v>
      </c>
      <c r="C3173" t="s">
        <v>2495</v>
      </c>
      <c r="D3173">
        <v>0</v>
      </c>
      <c r="E3173">
        <v>0</v>
      </c>
      <c r="F3173" s="7"/>
    </row>
    <row r="3174" spans="1:6" x14ac:dyDescent="0.25">
      <c r="A3174" s="11">
        <f t="shared" si="49"/>
        <v>8400105</v>
      </c>
      <c r="B3174">
        <v>8400105</v>
      </c>
      <c r="C3174" t="s">
        <v>692</v>
      </c>
      <c r="D3174">
        <v>535.71</v>
      </c>
      <c r="E3174">
        <v>0</v>
      </c>
      <c r="F3174" s="7"/>
    </row>
    <row r="3175" spans="1:6" x14ac:dyDescent="0.25">
      <c r="A3175" s="11" t="str">
        <f t="shared" si="49"/>
        <v/>
      </c>
      <c r="B3175" t="s">
        <v>1859</v>
      </c>
      <c r="C3175" t="s">
        <v>1859</v>
      </c>
      <c r="D3175">
        <v>0</v>
      </c>
      <c r="E3175">
        <v>0</v>
      </c>
      <c r="F3175" s="7"/>
    </row>
    <row r="3176" spans="1:6" x14ac:dyDescent="0.25">
      <c r="A3176" s="11">
        <f t="shared" si="49"/>
        <v>8400106</v>
      </c>
      <c r="B3176">
        <v>8400106</v>
      </c>
      <c r="C3176" t="s">
        <v>2496</v>
      </c>
      <c r="D3176">
        <v>0</v>
      </c>
      <c r="E3176">
        <v>0</v>
      </c>
      <c r="F3176" s="7"/>
    </row>
    <row r="3177" spans="1:6" x14ac:dyDescent="0.25">
      <c r="A3177" s="11">
        <f t="shared" si="49"/>
        <v>8400110</v>
      </c>
      <c r="B3177">
        <v>8400110</v>
      </c>
      <c r="C3177" t="s">
        <v>693</v>
      </c>
      <c r="D3177">
        <v>535.71</v>
      </c>
      <c r="E3177">
        <v>0</v>
      </c>
      <c r="F3177" s="7"/>
    </row>
    <row r="3178" spans="1:6" x14ac:dyDescent="0.25">
      <c r="A3178" s="11">
        <f t="shared" si="49"/>
        <v>8400111</v>
      </c>
      <c r="B3178">
        <v>8400111</v>
      </c>
      <c r="C3178" t="s">
        <v>2497</v>
      </c>
      <c r="D3178">
        <v>763.8</v>
      </c>
      <c r="E3178">
        <v>0</v>
      </c>
      <c r="F3178" s="7"/>
    </row>
    <row r="3179" spans="1:6" x14ac:dyDescent="0.25">
      <c r="A3179" s="11">
        <f t="shared" si="49"/>
        <v>8400112</v>
      </c>
      <c r="B3179">
        <v>8400112</v>
      </c>
      <c r="C3179" t="s">
        <v>688</v>
      </c>
      <c r="D3179">
        <v>535.71</v>
      </c>
      <c r="E3179">
        <v>10</v>
      </c>
      <c r="F3179" s="7"/>
    </row>
    <row r="3180" spans="1:6" x14ac:dyDescent="0.25">
      <c r="A3180" s="11" t="str">
        <f t="shared" si="49"/>
        <v/>
      </c>
      <c r="B3180" t="s">
        <v>1859</v>
      </c>
      <c r="C3180" t="s">
        <v>1859</v>
      </c>
      <c r="D3180">
        <v>0</v>
      </c>
      <c r="E3180">
        <v>0</v>
      </c>
      <c r="F3180" s="7"/>
    </row>
    <row r="3181" spans="1:6" x14ac:dyDescent="0.25">
      <c r="A3181" s="11">
        <f t="shared" si="49"/>
        <v>8400113</v>
      </c>
      <c r="B3181">
        <v>8400113</v>
      </c>
      <c r="C3181" t="s">
        <v>2498</v>
      </c>
      <c r="D3181">
        <v>0</v>
      </c>
      <c r="E3181">
        <v>0</v>
      </c>
      <c r="F3181" s="7"/>
    </row>
    <row r="3182" spans="1:6" x14ac:dyDescent="0.25">
      <c r="A3182" s="11" t="str">
        <f t="shared" si="49"/>
        <v/>
      </c>
      <c r="B3182" t="s">
        <v>1859</v>
      </c>
      <c r="C3182" t="s">
        <v>1859</v>
      </c>
      <c r="D3182">
        <v>0</v>
      </c>
      <c r="E3182">
        <v>0</v>
      </c>
      <c r="F3182" s="7"/>
    </row>
    <row r="3183" spans="1:6" x14ac:dyDescent="0.25">
      <c r="A3183" s="11">
        <f t="shared" si="49"/>
        <v>8400114</v>
      </c>
      <c r="B3183">
        <v>8400114</v>
      </c>
      <c r="C3183" t="s">
        <v>2499</v>
      </c>
      <c r="D3183">
        <v>0</v>
      </c>
      <c r="E3183">
        <v>0</v>
      </c>
      <c r="F3183" s="7"/>
    </row>
    <row r="3184" spans="1:6" x14ac:dyDescent="0.25">
      <c r="A3184" s="11">
        <f t="shared" si="49"/>
        <v>8400116</v>
      </c>
      <c r="B3184">
        <v>8400116</v>
      </c>
      <c r="C3184" t="s">
        <v>698</v>
      </c>
      <c r="D3184">
        <v>671.8</v>
      </c>
      <c r="E3184">
        <v>0</v>
      </c>
      <c r="F3184" s="7"/>
    </row>
    <row r="3185" spans="1:6" x14ac:dyDescent="0.25">
      <c r="A3185" s="11" t="str">
        <f t="shared" si="49"/>
        <v/>
      </c>
      <c r="B3185" t="s">
        <v>1859</v>
      </c>
      <c r="C3185" t="s">
        <v>1859</v>
      </c>
      <c r="D3185">
        <v>0</v>
      </c>
      <c r="E3185">
        <v>0</v>
      </c>
      <c r="F3185" s="7"/>
    </row>
    <row r="3186" spans="1:6" x14ac:dyDescent="0.25">
      <c r="A3186" s="11">
        <f t="shared" si="49"/>
        <v>8400117</v>
      </c>
      <c r="B3186">
        <v>8400117</v>
      </c>
      <c r="C3186" t="s">
        <v>2500</v>
      </c>
      <c r="D3186">
        <v>0</v>
      </c>
      <c r="E3186">
        <v>0</v>
      </c>
      <c r="F3186" s="7"/>
    </row>
    <row r="3187" spans="1:6" x14ac:dyDescent="0.25">
      <c r="A3187" s="11">
        <f t="shared" si="49"/>
        <v>8400119</v>
      </c>
      <c r="B3187">
        <v>8400119</v>
      </c>
      <c r="C3187" t="s">
        <v>1643</v>
      </c>
      <c r="D3187">
        <v>535.71</v>
      </c>
      <c r="E3187">
        <v>0</v>
      </c>
      <c r="F3187" s="7"/>
    </row>
    <row r="3188" spans="1:6" x14ac:dyDescent="0.25">
      <c r="A3188" s="11">
        <f t="shared" si="49"/>
        <v>8400120</v>
      </c>
      <c r="B3188">
        <v>8400120</v>
      </c>
      <c r="C3188" t="s">
        <v>2501</v>
      </c>
      <c r="D3188">
        <v>535.71</v>
      </c>
      <c r="E3188">
        <v>0</v>
      </c>
      <c r="F3188" s="7"/>
    </row>
    <row r="3189" spans="1:6" x14ac:dyDescent="0.25">
      <c r="A3189" s="11">
        <f t="shared" si="49"/>
        <v>8400121</v>
      </c>
      <c r="B3189">
        <v>8400121</v>
      </c>
      <c r="C3189" t="s">
        <v>675</v>
      </c>
      <c r="D3189">
        <v>535.71</v>
      </c>
      <c r="E3189">
        <v>0</v>
      </c>
      <c r="F3189" s="7"/>
    </row>
    <row r="3190" spans="1:6" x14ac:dyDescent="0.25">
      <c r="A3190" s="11">
        <f t="shared" si="49"/>
        <v>8400122</v>
      </c>
      <c r="B3190">
        <v>8400122</v>
      </c>
      <c r="C3190" t="s">
        <v>2502</v>
      </c>
      <c r="D3190">
        <v>535.71</v>
      </c>
      <c r="E3190">
        <v>0</v>
      </c>
      <c r="F3190" s="7"/>
    </row>
    <row r="3191" spans="1:6" x14ac:dyDescent="0.25">
      <c r="A3191" s="11">
        <f t="shared" si="49"/>
        <v>8400123</v>
      </c>
      <c r="B3191">
        <v>8400123</v>
      </c>
      <c r="C3191" t="s">
        <v>1644</v>
      </c>
      <c r="D3191">
        <v>471.89</v>
      </c>
      <c r="E3191">
        <v>0</v>
      </c>
      <c r="F3191" s="7"/>
    </row>
    <row r="3192" spans="1:6" x14ac:dyDescent="0.25">
      <c r="A3192" s="11">
        <f t="shared" si="49"/>
        <v>8400124</v>
      </c>
      <c r="B3192">
        <v>8400124</v>
      </c>
      <c r="C3192" t="s">
        <v>674</v>
      </c>
      <c r="D3192">
        <v>535.71</v>
      </c>
      <c r="E3192">
        <v>0</v>
      </c>
      <c r="F3192" s="7"/>
    </row>
    <row r="3193" spans="1:6" x14ac:dyDescent="0.25">
      <c r="A3193" s="11" t="str">
        <f t="shared" si="49"/>
        <v/>
      </c>
      <c r="B3193" t="s">
        <v>1859</v>
      </c>
      <c r="C3193" t="s">
        <v>1859</v>
      </c>
      <c r="D3193">
        <v>0</v>
      </c>
      <c r="E3193">
        <v>0</v>
      </c>
      <c r="F3193" s="7"/>
    </row>
    <row r="3194" spans="1:6" x14ac:dyDescent="0.25">
      <c r="A3194" s="11">
        <f t="shared" si="49"/>
        <v>8400125</v>
      </c>
      <c r="B3194">
        <v>8400125</v>
      </c>
      <c r="C3194" t="s">
        <v>2503</v>
      </c>
      <c r="D3194">
        <v>0</v>
      </c>
      <c r="E3194">
        <v>0</v>
      </c>
      <c r="F3194" s="7"/>
    </row>
    <row r="3195" spans="1:6" x14ac:dyDescent="0.25">
      <c r="A3195" s="11" t="str">
        <f t="shared" si="49"/>
        <v/>
      </c>
      <c r="B3195" t="s">
        <v>1859</v>
      </c>
      <c r="C3195" t="s">
        <v>1859</v>
      </c>
      <c r="D3195">
        <v>0</v>
      </c>
      <c r="E3195">
        <v>0</v>
      </c>
      <c r="F3195" s="7"/>
    </row>
    <row r="3196" spans="1:6" x14ac:dyDescent="0.25">
      <c r="A3196" s="11">
        <f t="shared" si="49"/>
        <v>8400126</v>
      </c>
      <c r="B3196">
        <v>8400126</v>
      </c>
      <c r="C3196" t="s">
        <v>2504</v>
      </c>
      <c r="D3196">
        <v>0</v>
      </c>
      <c r="E3196">
        <v>0</v>
      </c>
      <c r="F3196" s="7"/>
    </row>
    <row r="3197" spans="1:6" x14ac:dyDescent="0.25">
      <c r="A3197" s="11">
        <f t="shared" si="49"/>
        <v>8400127</v>
      </c>
      <c r="B3197">
        <v>8400127</v>
      </c>
      <c r="C3197" t="s">
        <v>2505</v>
      </c>
      <c r="D3197">
        <v>420</v>
      </c>
      <c r="E3197">
        <v>0</v>
      </c>
      <c r="F3197" s="7"/>
    </row>
    <row r="3198" spans="1:6" x14ac:dyDescent="0.25">
      <c r="A3198" s="11">
        <f t="shared" si="49"/>
        <v>8400128</v>
      </c>
      <c r="B3198">
        <v>8400128</v>
      </c>
      <c r="C3198" t="s">
        <v>676</v>
      </c>
      <c r="D3198">
        <v>301.29000000000002</v>
      </c>
      <c r="E3198">
        <v>319</v>
      </c>
      <c r="F3198" s="7"/>
    </row>
    <row r="3199" spans="1:6" x14ac:dyDescent="0.25">
      <c r="A3199" s="11">
        <f t="shared" si="49"/>
        <v>8400129</v>
      </c>
      <c r="B3199">
        <v>8400129</v>
      </c>
      <c r="C3199" t="s">
        <v>677</v>
      </c>
      <c r="D3199">
        <v>301.29000000000002</v>
      </c>
      <c r="E3199">
        <v>420</v>
      </c>
      <c r="F3199" s="7"/>
    </row>
    <row r="3200" spans="1:6" x14ac:dyDescent="0.25">
      <c r="A3200" s="11" t="str">
        <f t="shared" si="49"/>
        <v/>
      </c>
      <c r="B3200" t="s">
        <v>1859</v>
      </c>
      <c r="C3200" t="s">
        <v>1859</v>
      </c>
      <c r="D3200">
        <v>0</v>
      </c>
      <c r="E3200">
        <v>0</v>
      </c>
      <c r="F3200" s="7"/>
    </row>
    <row r="3201" spans="1:6" x14ac:dyDescent="0.25">
      <c r="A3201" s="11">
        <f t="shared" si="49"/>
        <v>8400130</v>
      </c>
      <c r="B3201">
        <v>8400130</v>
      </c>
      <c r="C3201" t="s">
        <v>2506</v>
      </c>
      <c r="D3201">
        <v>0</v>
      </c>
      <c r="E3201">
        <v>0</v>
      </c>
      <c r="F3201" s="7"/>
    </row>
    <row r="3202" spans="1:6" x14ac:dyDescent="0.25">
      <c r="A3202" s="11" t="str">
        <f t="shared" si="49"/>
        <v/>
      </c>
      <c r="B3202" t="s">
        <v>1859</v>
      </c>
      <c r="C3202" t="s">
        <v>1859</v>
      </c>
      <c r="D3202">
        <v>0</v>
      </c>
      <c r="E3202">
        <v>0</v>
      </c>
      <c r="F3202" s="7"/>
    </row>
    <row r="3203" spans="1:6" x14ac:dyDescent="0.25">
      <c r="A3203" s="11">
        <f t="shared" si="49"/>
        <v>8400132</v>
      </c>
      <c r="B3203">
        <v>8400132</v>
      </c>
      <c r="C3203" t="s">
        <v>2507</v>
      </c>
      <c r="D3203">
        <v>0</v>
      </c>
      <c r="E3203">
        <v>0</v>
      </c>
      <c r="F3203" s="7"/>
    </row>
    <row r="3204" spans="1:6" x14ac:dyDescent="0.25">
      <c r="A3204" s="11">
        <f t="shared" si="49"/>
        <v>8400142</v>
      </c>
      <c r="B3204">
        <v>8400142</v>
      </c>
      <c r="C3204" t="s">
        <v>1645</v>
      </c>
      <c r="D3204">
        <v>535.71</v>
      </c>
      <c r="E3204">
        <v>0</v>
      </c>
      <c r="F3204" s="7"/>
    </row>
    <row r="3205" spans="1:6" x14ac:dyDescent="0.25">
      <c r="A3205" s="11">
        <f t="shared" si="49"/>
        <v>8400150</v>
      </c>
      <c r="B3205">
        <v>8400150</v>
      </c>
      <c r="C3205" t="s">
        <v>1646</v>
      </c>
      <c r="D3205">
        <v>535.71</v>
      </c>
      <c r="E3205">
        <v>0</v>
      </c>
      <c r="F3205" s="7"/>
    </row>
    <row r="3206" spans="1:6" x14ac:dyDescent="0.25">
      <c r="A3206" s="11" t="str">
        <f t="shared" ref="A3206:A3269" si="50">IFERROR(B3206*1,"")</f>
        <v/>
      </c>
      <c r="B3206" t="s">
        <v>1859</v>
      </c>
      <c r="C3206" t="s">
        <v>1859</v>
      </c>
      <c r="D3206">
        <v>0</v>
      </c>
      <c r="E3206">
        <v>0</v>
      </c>
      <c r="F3206" s="7"/>
    </row>
    <row r="3207" spans="1:6" x14ac:dyDescent="0.25">
      <c r="A3207" s="11">
        <f t="shared" si="50"/>
        <v>8400155</v>
      </c>
      <c r="B3207">
        <v>8400155</v>
      </c>
      <c r="C3207" t="s">
        <v>2508</v>
      </c>
      <c r="D3207">
        <v>0</v>
      </c>
      <c r="E3207">
        <v>0</v>
      </c>
      <c r="F3207" s="7"/>
    </row>
    <row r="3208" spans="1:6" x14ac:dyDescent="0.25">
      <c r="A3208" s="11">
        <f t="shared" si="50"/>
        <v>8400158</v>
      </c>
      <c r="B3208">
        <v>8400158</v>
      </c>
      <c r="C3208" t="s">
        <v>2509</v>
      </c>
      <c r="D3208">
        <v>0</v>
      </c>
      <c r="E3208">
        <v>0</v>
      </c>
      <c r="F3208" s="7"/>
    </row>
    <row r="3209" spans="1:6" x14ac:dyDescent="0.25">
      <c r="A3209" s="11" t="str">
        <f t="shared" si="50"/>
        <v/>
      </c>
      <c r="B3209" t="s">
        <v>1859</v>
      </c>
      <c r="C3209" t="s">
        <v>1859</v>
      </c>
      <c r="D3209">
        <v>0</v>
      </c>
      <c r="E3209">
        <v>0</v>
      </c>
      <c r="F3209" s="7"/>
    </row>
    <row r="3210" spans="1:6" x14ac:dyDescent="0.25">
      <c r="A3210" s="11">
        <f t="shared" si="50"/>
        <v>8400164</v>
      </c>
      <c r="B3210">
        <v>8400164</v>
      </c>
      <c r="C3210" t="s">
        <v>2510</v>
      </c>
      <c r="D3210">
        <v>0</v>
      </c>
      <c r="E3210">
        <v>0</v>
      </c>
      <c r="F3210" s="7"/>
    </row>
    <row r="3211" spans="1:6" x14ac:dyDescent="0.25">
      <c r="A3211" s="11" t="str">
        <f t="shared" si="50"/>
        <v/>
      </c>
      <c r="B3211" t="s">
        <v>1859</v>
      </c>
      <c r="C3211" t="s">
        <v>1859</v>
      </c>
      <c r="D3211">
        <v>0</v>
      </c>
      <c r="E3211">
        <v>0</v>
      </c>
      <c r="F3211" s="7"/>
    </row>
    <row r="3212" spans="1:6" x14ac:dyDescent="0.25">
      <c r="A3212" s="11">
        <f t="shared" si="50"/>
        <v>8400165</v>
      </c>
      <c r="B3212">
        <v>8400165</v>
      </c>
      <c r="C3212" t="s">
        <v>2511</v>
      </c>
      <c r="D3212">
        <v>0</v>
      </c>
      <c r="E3212">
        <v>0</v>
      </c>
      <c r="F3212" s="7"/>
    </row>
    <row r="3213" spans="1:6" x14ac:dyDescent="0.25">
      <c r="A3213" s="11" t="str">
        <f t="shared" si="50"/>
        <v/>
      </c>
      <c r="B3213" t="s">
        <v>1859</v>
      </c>
      <c r="C3213" t="s">
        <v>1859</v>
      </c>
      <c r="D3213">
        <v>0</v>
      </c>
      <c r="E3213">
        <v>0</v>
      </c>
      <c r="F3213" s="7"/>
    </row>
    <row r="3214" spans="1:6" x14ac:dyDescent="0.25">
      <c r="A3214" s="11">
        <f t="shared" si="50"/>
        <v>8400166</v>
      </c>
      <c r="B3214">
        <v>8400166</v>
      </c>
      <c r="C3214" t="s">
        <v>2512</v>
      </c>
      <c r="D3214">
        <v>0</v>
      </c>
      <c r="E3214">
        <v>0</v>
      </c>
      <c r="F3214" s="7"/>
    </row>
    <row r="3215" spans="1:6" x14ac:dyDescent="0.25">
      <c r="A3215" s="11" t="str">
        <f t="shared" si="50"/>
        <v/>
      </c>
      <c r="B3215" t="s">
        <v>1859</v>
      </c>
      <c r="C3215" t="s">
        <v>1859</v>
      </c>
      <c r="D3215">
        <v>0</v>
      </c>
      <c r="E3215">
        <v>0</v>
      </c>
      <c r="F3215" s="7"/>
    </row>
    <row r="3216" spans="1:6" x14ac:dyDescent="0.25">
      <c r="A3216" s="11">
        <f t="shared" si="50"/>
        <v>8400167</v>
      </c>
      <c r="B3216">
        <v>8400167</v>
      </c>
      <c r="C3216" t="s">
        <v>2513</v>
      </c>
      <c r="D3216">
        <v>0</v>
      </c>
      <c r="E3216">
        <v>0</v>
      </c>
      <c r="F3216" s="7"/>
    </row>
    <row r="3217" spans="1:6" x14ac:dyDescent="0.25">
      <c r="A3217" s="11">
        <f t="shared" si="50"/>
        <v>8400168</v>
      </c>
      <c r="B3217">
        <v>8400168</v>
      </c>
      <c r="C3217" t="s">
        <v>685</v>
      </c>
      <c r="D3217">
        <v>535.71</v>
      </c>
      <c r="E3217">
        <v>0</v>
      </c>
      <c r="F3217" s="7"/>
    </row>
    <row r="3218" spans="1:6" x14ac:dyDescent="0.25">
      <c r="A3218" s="11" t="str">
        <f t="shared" si="50"/>
        <v/>
      </c>
      <c r="B3218" t="s">
        <v>1859</v>
      </c>
      <c r="C3218" t="s">
        <v>1859</v>
      </c>
      <c r="D3218">
        <v>0</v>
      </c>
      <c r="E3218">
        <v>0</v>
      </c>
      <c r="F3218" s="7"/>
    </row>
    <row r="3219" spans="1:6" x14ac:dyDescent="0.25">
      <c r="A3219" s="11">
        <f t="shared" si="50"/>
        <v>8400169</v>
      </c>
      <c r="B3219">
        <v>8400169</v>
      </c>
      <c r="C3219" t="s">
        <v>2514</v>
      </c>
      <c r="D3219">
        <v>0</v>
      </c>
      <c r="E3219">
        <v>0</v>
      </c>
      <c r="F3219" s="7"/>
    </row>
    <row r="3220" spans="1:6" x14ac:dyDescent="0.25">
      <c r="A3220" s="11" t="str">
        <f t="shared" si="50"/>
        <v/>
      </c>
      <c r="B3220" t="s">
        <v>1859</v>
      </c>
      <c r="C3220" t="s">
        <v>1859</v>
      </c>
      <c r="D3220">
        <v>0</v>
      </c>
      <c r="E3220">
        <v>0</v>
      </c>
      <c r="F3220" s="7"/>
    </row>
    <row r="3221" spans="1:6" x14ac:dyDescent="0.25">
      <c r="A3221" s="11">
        <f t="shared" si="50"/>
        <v>8400170</v>
      </c>
      <c r="B3221">
        <v>8400170</v>
      </c>
      <c r="C3221" t="s">
        <v>2515</v>
      </c>
      <c r="D3221">
        <v>0</v>
      </c>
      <c r="E3221">
        <v>0</v>
      </c>
      <c r="F3221" s="7"/>
    </row>
    <row r="3222" spans="1:6" x14ac:dyDescent="0.25">
      <c r="A3222" s="11">
        <f t="shared" si="50"/>
        <v>8400173</v>
      </c>
      <c r="B3222">
        <v>8400173</v>
      </c>
      <c r="C3222" t="s">
        <v>684</v>
      </c>
      <c r="D3222">
        <v>535.71</v>
      </c>
      <c r="E3222">
        <v>0</v>
      </c>
      <c r="F3222" s="7"/>
    </row>
    <row r="3223" spans="1:6" x14ac:dyDescent="0.25">
      <c r="A3223" s="11" t="str">
        <f t="shared" si="50"/>
        <v/>
      </c>
      <c r="B3223" t="s">
        <v>1859</v>
      </c>
      <c r="C3223" t="s">
        <v>1859</v>
      </c>
      <c r="D3223">
        <v>0</v>
      </c>
      <c r="E3223">
        <v>0</v>
      </c>
      <c r="F3223" s="7"/>
    </row>
    <row r="3224" spans="1:6" x14ac:dyDescent="0.25">
      <c r="A3224" s="11">
        <f t="shared" si="50"/>
        <v>8400174</v>
      </c>
      <c r="B3224">
        <v>8400174</v>
      </c>
      <c r="C3224" t="s">
        <v>2516</v>
      </c>
      <c r="D3224">
        <v>0</v>
      </c>
      <c r="E3224">
        <v>0</v>
      </c>
      <c r="F3224" s="7"/>
    </row>
    <row r="3225" spans="1:6" x14ac:dyDescent="0.25">
      <c r="A3225" s="11" t="str">
        <f t="shared" si="50"/>
        <v/>
      </c>
      <c r="B3225" t="s">
        <v>1859</v>
      </c>
      <c r="C3225" t="s">
        <v>1859</v>
      </c>
      <c r="D3225">
        <v>0</v>
      </c>
      <c r="E3225">
        <v>0</v>
      </c>
      <c r="F3225" s="7"/>
    </row>
    <row r="3226" spans="1:6" x14ac:dyDescent="0.25">
      <c r="A3226" s="11">
        <f t="shared" si="50"/>
        <v>8400190</v>
      </c>
      <c r="B3226">
        <v>8400190</v>
      </c>
      <c r="C3226" t="s">
        <v>2517</v>
      </c>
      <c r="D3226">
        <v>0</v>
      </c>
      <c r="E3226">
        <v>0</v>
      </c>
      <c r="F3226" s="7"/>
    </row>
    <row r="3227" spans="1:6" x14ac:dyDescent="0.25">
      <c r="A3227" s="11" t="str">
        <f t="shared" si="50"/>
        <v/>
      </c>
      <c r="B3227" t="s">
        <v>1859</v>
      </c>
      <c r="C3227" t="s">
        <v>1859</v>
      </c>
      <c r="D3227">
        <v>0</v>
      </c>
      <c r="E3227">
        <v>0</v>
      </c>
      <c r="F3227" s="7"/>
    </row>
    <row r="3228" spans="1:6" x14ac:dyDescent="0.25">
      <c r="A3228" s="11">
        <f t="shared" si="50"/>
        <v>8400214</v>
      </c>
      <c r="B3228">
        <v>8400214</v>
      </c>
      <c r="C3228" t="s">
        <v>2518</v>
      </c>
      <c r="D3228">
        <v>0</v>
      </c>
      <c r="E3228">
        <v>0</v>
      </c>
      <c r="F3228" s="7"/>
    </row>
    <row r="3229" spans="1:6" x14ac:dyDescent="0.25">
      <c r="A3229" s="11" t="str">
        <f t="shared" si="50"/>
        <v/>
      </c>
      <c r="B3229" t="s">
        <v>1859</v>
      </c>
      <c r="C3229" t="s">
        <v>1859</v>
      </c>
      <c r="D3229">
        <v>0</v>
      </c>
      <c r="E3229">
        <v>0</v>
      </c>
      <c r="F3229" s="7"/>
    </row>
    <row r="3230" spans="1:6" x14ac:dyDescent="0.25">
      <c r="A3230" s="11">
        <f t="shared" si="50"/>
        <v>8400222</v>
      </c>
      <c r="B3230">
        <v>8400222</v>
      </c>
      <c r="C3230" t="s">
        <v>2519</v>
      </c>
      <c r="D3230">
        <v>0</v>
      </c>
      <c r="E3230">
        <v>0</v>
      </c>
      <c r="F3230" s="7"/>
    </row>
    <row r="3231" spans="1:6" x14ac:dyDescent="0.25">
      <c r="A3231" s="11" t="str">
        <f t="shared" si="50"/>
        <v/>
      </c>
      <c r="B3231" t="s">
        <v>1859</v>
      </c>
      <c r="C3231" t="s">
        <v>1859</v>
      </c>
      <c r="D3231">
        <v>0</v>
      </c>
      <c r="E3231">
        <v>0</v>
      </c>
      <c r="F3231" s="7"/>
    </row>
    <row r="3232" spans="1:6" x14ac:dyDescent="0.25">
      <c r="A3232" s="11">
        <f t="shared" si="50"/>
        <v>8400223</v>
      </c>
      <c r="B3232">
        <v>8400223</v>
      </c>
      <c r="C3232" t="s">
        <v>2520</v>
      </c>
      <c r="D3232">
        <v>0</v>
      </c>
      <c r="E3232">
        <v>0</v>
      </c>
      <c r="F3232" s="7"/>
    </row>
    <row r="3233" spans="1:6" x14ac:dyDescent="0.25">
      <c r="A3233" s="11">
        <f t="shared" si="50"/>
        <v>8400224</v>
      </c>
      <c r="B3233">
        <v>8400224</v>
      </c>
      <c r="C3233" t="s">
        <v>1647</v>
      </c>
      <c r="D3233">
        <v>1330.99</v>
      </c>
      <c r="E3233">
        <v>0</v>
      </c>
      <c r="F3233" s="7"/>
    </row>
    <row r="3234" spans="1:6" x14ac:dyDescent="0.25">
      <c r="A3234" s="11">
        <f t="shared" si="50"/>
        <v>8400240</v>
      </c>
      <c r="B3234">
        <v>8400240</v>
      </c>
      <c r="C3234" t="s">
        <v>695</v>
      </c>
      <c r="D3234">
        <v>304.60000000000002</v>
      </c>
      <c r="E3234">
        <v>149</v>
      </c>
      <c r="F3234" s="7"/>
    </row>
    <row r="3235" spans="1:6" x14ac:dyDescent="0.25">
      <c r="A3235" s="11">
        <f t="shared" si="50"/>
        <v>8400252</v>
      </c>
      <c r="B3235">
        <v>8400252</v>
      </c>
      <c r="C3235" t="s">
        <v>689</v>
      </c>
      <c r="D3235">
        <v>535.71</v>
      </c>
      <c r="E3235">
        <v>22</v>
      </c>
      <c r="F3235" s="7"/>
    </row>
    <row r="3236" spans="1:6" x14ac:dyDescent="0.25">
      <c r="A3236" s="11" t="str">
        <f t="shared" si="50"/>
        <v/>
      </c>
      <c r="B3236" t="s">
        <v>1859</v>
      </c>
      <c r="C3236" t="s">
        <v>1859</v>
      </c>
      <c r="D3236">
        <v>0</v>
      </c>
      <c r="E3236">
        <v>0</v>
      </c>
      <c r="F3236" s="7"/>
    </row>
    <row r="3237" spans="1:6" x14ac:dyDescent="0.25">
      <c r="A3237" s="11">
        <f t="shared" si="50"/>
        <v>8400265</v>
      </c>
      <c r="B3237">
        <v>8400265</v>
      </c>
      <c r="C3237" t="s">
        <v>2521</v>
      </c>
      <c r="D3237">
        <v>0</v>
      </c>
      <c r="E3237">
        <v>0</v>
      </c>
      <c r="F3237" s="7"/>
    </row>
    <row r="3238" spans="1:6" x14ac:dyDescent="0.25">
      <c r="A3238" s="11" t="str">
        <f t="shared" si="50"/>
        <v/>
      </c>
      <c r="B3238" t="s">
        <v>1859</v>
      </c>
      <c r="C3238" t="s">
        <v>1859</v>
      </c>
      <c r="D3238">
        <v>0</v>
      </c>
      <c r="E3238">
        <v>0</v>
      </c>
      <c r="F3238" s="7"/>
    </row>
    <row r="3239" spans="1:6" x14ac:dyDescent="0.25">
      <c r="A3239" s="11">
        <f t="shared" si="50"/>
        <v>8400280</v>
      </c>
      <c r="B3239">
        <v>8400280</v>
      </c>
      <c r="C3239" t="s">
        <v>2522</v>
      </c>
      <c r="D3239">
        <v>0</v>
      </c>
      <c r="E3239">
        <v>0</v>
      </c>
      <c r="F3239" s="7"/>
    </row>
    <row r="3240" spans="1:6" x14ac:dyDescent="0.25">
      <c r="A3240" s="11">
        <f t="shared" si="50"/>
        <v>8400286</v>
      </c>
      <c r="B3240">
        <v>8400286</v>
      </c>
      <c r="C3240" t="s">
        <v>1648</v>
      </c>
      <c r="D3240">
        <v>483.99</v>
      </c>
      <c r="E3240">
        <v>19</v>
      </c>
      <c r="F3240" s="7"/>
    </row>
    <row r="3241" spans="1:6" x14ac:dyDescent="0.25">
      <c r="A3241" s="11" t="str">
        <f t="shared" si="50"/>
        <v/>
      </c>
      <c r="B3241" t="s">
        <v>1859</v>
      </c>
      <c r="C3241" t="s">
        <v>1859</v>
      </c>
      <c r="D3241">
        <v>0</v>
      </c>
      <c r="E3241">
        <v>0</v>
      </c>
      <c r="F3241" s="7"/>
    </row>
    <row r="3242" spans="1:6" x14ac:dyDescent="0.25">
      <c r="A3242" s="11">
        <f t="shared" si="50"/>
        <v>8400287</v>
      </c>
      <c r="B3242">
        <v>8400287</v>
      </c>
      <c r="C3242" t="s">
        <v>2523</v>
      </c>
      <c r="D3242">
        <v>0</v>
      </c>
      <c r="E3242">
        <v>0</v>
      </c>
      <c r="F3242" s="7"/>
    </row>
    <row r="3243" spans="1:6" x14ac:dyDescent="0.25">
      <c r="A3243" s="11">
        <f t="shared" si="50"/>
        <v>8400292</v>
      </c>
      <c r="B3243">
        <v>8400292</v>
      </c>
      <c r="C3243" t="s">
        <v>1649</v>
      </c>
      <c r="D3243">
        <v>535.71</v>
      </c>
      <c r="E3243">
        <v>7</v>
      </c>
      <c r="F3243" s="7"/>
    </row>
    <row r="3244" spans="1:6" x14ac:dyDescent="0.25">
      <c r="A3244" s="11">
        <f t="shared" si="50"/>
        <v>8400300</v>
      </c>
      <c r="B3244">
        <v>8400300</v>
      </c>
      <c r="C3244" t="s">
        <v>687</v>
      </c>
      <c r="D3244">
        <v>535.71</v>
      </c>
      <c r="E3244">
        <v>6</v>
      </c>
      <c r="F3244" s="7"/>
    </row>
    <row r="3245" spans="1:6" x14ac:dyDescent="0.25">
      <c r="A3245" s="11" t="str">
        <f t="shared" si="50"/>
        <v/>
      </c>
      <c r="B3245" t="s">
        <v>1859</v>
      </c>
      <c r="C3245" t="s">
        <v>1859</v>
      </c>
      <c r="D3245">
        <v>0</v>
      </c>
      <c r="E3245">
        <v>0</v>
      </c>
      <c r="F3245" s="7"/>
    </row>
    <row r="3246" spans="1:6" x14ac:dyDescent="0.25">
      <c r="A3246" s="11">
        <f t="shared" si="50"/>
        <v>8400309</v>
      </c>
      <c r="B3246">
        <v>8400309</v>
      </c>
      <c r="C3246" t="s">
        <v>2524</v>
      </c>
      <c r="D3246">
        <v>0</v>
      </c>
      <c r="E3246">
        <v>0</v>
      </c>
      <c r="F3246" s="7"/>
    </row>
    <row r="3247" spans="1:6" x14ac:dyDescent="0.25">
      <c r="A3247" s="11">
        <f t="shared" si="50"/>
        <v>8400311</v>
      </c>
      <c r="B3247">
        <v>8400311</v>
      </c>
      <c r="C3247" t="s">
        <v>673</v>
      </c>
      <c r="D3247">
        <v>535.71</v>
      </c>
      <c r="E3247">
        <v>0</v>
      </c>
      <c r="F3247" s="7"/>
    </row>
    <row r="3248" spans="1:6" x14ac:dyDescent="0.25">
      <c r="A3248" s="11" t="str">
        <f t="shared" si="50"/>
        <v/>
      </c>
      <c r="B3248" t="s">
        <v>1859</v>
      </c>
      <c r="C3248" t="s">
        <v>1859</v>
      </c>
      <c r="D3248">
        <v>0</v>
      </c>
      <c r="E3248">
        <v>0</v>
      </c>
      <c r="F3248" s="7"/>
    </row>
    <row r="3249" spans="1:6" x14ac:dyDescent="0.25">
      <c r="A3249" s="11">
        <f t="shared" si="50"/>
        <v>8400312</v>
      </c>
      <c r="B3249">
        <v>8400312</v>
      </c>
      <c r="C3249" t="s">
        <v>2525</v>
      </c>
      <c r="D3249">
        <v>0</v>
      </c>
      <c r="E3249">
        <v>0</v>
      </c>
      <c r="F3249" s="7"/>
    </row>
    <row r="3250" spans="1:6" x14ac:dyDescent="0.25">
      <c r="A3250" s="11" t="str">
        <f t="shared" si="50"/>
        <v/>
      </c>
      <c r="B3250" t="s">
        <v>1859</v>
      </c>
      <c r="C3250" t="s">
        <v>1859</v>
      </c>
      <c r="D3250">
        <v>0</v>
      </c>
      <c r="E3250">
        <v>0</v>
      </c>
      <c r="F3250" s="7"/>
    </row>
    <row r="3251" spans="1:6" x14ac:dyDescent="0.25">
      <c r="A3251" s="11">
        <f t="shared" si="50"/>
        <v>8400323</v>
      </c>
      <c r="B3251">
        <v>8400323</v>
      </c>
      <c r="C3251" t="s">
        <v>2526</v>
      </c>
      <c r="D3251">
        <v>0</v>
      </c>
      <c r="E3251">
        <v>0</v>
      </c>
      <c r="F3251" s="7"/>
    </row>
    <row r="3252" spans="1:6" x14ac:dyDescent="0.25">
      <c r="A3252" s="11" t="str">
        <f t="shared" si="50"/>
        <v/>
      </c>
      <c r="B3252" t="s">
        <v>1859</v>
      </c>
      <c r="C3252" t="s">
        <v>1859</v>
      </c>
      <c r="D3252">
        <v>0</v>
      </c>
      <c r="E3252">
        <v>0</v>
      </c>
      <c r="F3252" s="7"/>
    </row>
    <row r="3253" spans="1:6" x14ac:dyDescent="0.25">
      <c r="A3253" s="11">
        <f t="shared" si="50"/>
        <v>8400330</v>
      </c>
      <c r="B3253">
        <v>8400330</v>
      </c>
      <c r="C3253" t="s">
        <v>2527</v>
      </c>
      <c r="D3253">
        <v>0</v>
      </c>
      <c r="E3253">
        <v>0</v>
      </c>
      <c r="F3253" s="7"/>
    </row>
    <row r="3254" spans="1:6" x14ac:dyDescent="0.25">
      <c r="A3254" s="11">
        <f t="shared" si="50"/>
        <v>8400333</v>
      </c>
      <c r="B3254">
        <v>8400333</v>
      </c>
      <c r="C3254" t="s">
        <v>1650</v>
      </c>
      <c r="D3254">
        <v>535.71</v>
      </c>
      <c r="E3254">
        <v>17</v>
      </c>
      <c r="F3254" s="7"/>
    </row>
    <row r="3255" spans="1:6" x14ac:dyDescent="0.25">
      <c r="A3255" s="11">
        <f t="shared" si="50"/>
        <v>8400356</v>
      </c>
      <c r="B3255">
        <v>8400356</v>
      </c>
      <c r="C3255" t="s">
        <v>1651</v>
      </c>
      <c r="D3255">
        <v>535.71</v>
      </c>
      <c r="E3255">
        <v>7</v>
      </c>
      <c r="F3255" s="7"/>
    </row>
    <row r="3256" spans="1:6" x14ac:dyDescent="0.25">
      <c r="A3256" s="11">
        <f t="shared" si="50"/>
        <v>8400357</v>
      </c>
      <c r="B3256">
        <v>8400357</v>
      </c>
      <c r="C3256" t="s">
        <v>1652</v>
      </c>
      <c r="D3256">
        <v>535.71</v>
      </c>
      <c r="E3256">
        <v>7</v>
      </c>
      <c r="F3256" s="7"/>
    </row>
    <row r="3257" spans="1:6" x14ac:dyDescent="0.25">
      <c r="A3257" s="11">
        <f t="shared" si="50"/>
        <v>8400360</v>
      </c>
      <c r="B3257">
        <v>8400360</v>
      </c>
      <c r="C3257" t="s">
        <v>691</v>
      </c>
      <c r="D3257">
        <v>535.71</v>
      </c>
      <c r="E3257">
        <v>0</v>
      </c>
      <c r="F3257" s="7"/>
    </row>
    <row r="3258" spans="1:6" x14ac:dyDescent="0.25">
      <c r="A3258" s="11">
        <f t="shared" si="50"/>
        <v>8400367</v>
      </c>
      <c r="B3258">
        <v>8400367</v>
      </c>
      <c r="C3258" t="s">
        <v>1441</v>
      </c>
      <c r="D3258">
        <v>535.71</v>
      </c>
      <c r="E3258">
        <v>0</v>
      </c>
      <c r="F3258" s="7"/>
    </row>
    <row r="3259" spans="1:6" x14ac:dyDescent="0.25">
      <c r="A3259" s="11">
        <f t="shared" si="50"/>
        <v>8400368</v>
      </c>
      <c r="B3259">
        <v>8400368</v>
      </c>
      <c r="C3259" t="s">
        <v>1653</v>
      </c>
      <c r="D3259">
        <v>535.71</v>
      </c>
      <c r="E3259">
        <v>0</v>
      </c>
      <c r="F3259" s="7"/>
    </row>
    <row r="3260" spans="1:6" x14ac:dyDescent="0.25">
      <c r="A3260" s="11" t="str">
        <f t="shared" si="50"/>
        <v/>
      </c>
      <c r="B3260" t="s">
        <v>1859</v>
      </c>
      <c r="C3260" t="s">
        <v>1859</v>
      </c>
      <c r="D3260">
        <v>0</v>
      </c>
      <c r="E3260">
        <v>0</v>
      </c>
      <c r="F3260" s="7"/>
    </row>
    <row r="3261" spans="1:6" x14ac:dyDescent="0.25">
      <c r="A3261" s="11">
        <f t="shared" si="50"/>
        <v>8400369</v>
      </c>
      <c r="B3261">
        <v>8400369</v>
      </c>
      <c r="C3261" t="s">
        <v>2528</v>
      </c>
      <c r="D3261">
        <v>0</v>
      </c>
      <c r="E3261">
        <v>0</v>
      </c>
      <c r="F3261" s="7"/>
    </row>
    <row r="3262" spans="1:6" x14ac:dyDescent="0.25">
      <c r="A3262" s="11">
        <f t="shared" si="50"/>
        <v>8400370</v>
      </c>
      <c r="B3262">
        <v>8400370</v>
      </c>
      <c r="C3262" t="s">
        <v>683</v>
      </c>
      <c r="D3262">
        <v>535.71</v>
      </c>
      <c r="E3262">
        <v>0</v>
      </c>
      <c r="F3262" s="7"/>
    </row>
    <row r="3263" spans="1:6" x14ac:dyDescent="0.25">
      <c r="A3263" s="11">
        <f t="shared" si="50"/>
        <v>8400390</v>
      </c>
      <c r="B3263">
        <v>8400390</v>
      </c>
      <c r="C3263" t="s">
        <v>682</v>
      </c>
      <c r="D3263">
        <v>535.71</v>
      </c>
      <c r="E3263">
        <v>12</v>
      </c>
      <c r="F3263" s="7"/>
    </row>
    <row r="3264" spans="1:6" x14ac:dyDescent="0.25">
      <c r="A3264" s="11">
        <f t="shared" si="50"/>
        <v>8400391</v>
      </c>
      <c r="B3264">
        <v>8400391</v>
      </c>
      <c r="C3264" t="s">
        <v>680</v>
      </c>
      <c r="D3264">
        <v>535.71</v>
      </c>
      <c r="E3264">
        <v>0</v>
      </c>
      <c r="F3264" s="7"/>
    </row>
    <row r="3265" spans="1:6" x14ac:dyDescent="0.25">
      <c r="A3265" s="11" t="str">
        <f t="shared" si="50"/>
        <v/>
      </c>
      <c r="B3265" t="s">
        <v>1859</v>
      </c>
      <c r="C3265" t="s">
        <v>1859</v>
      </c>
      <c r="D3265">
        <v>0</v>
      </c>
      <c r="E3265">
        <v>0</v>
      </c>
      <c r="F3265" s="7"/>
    </row>
    <row r="3266" spans="1:6" x14ac:dyDescent="0.25">
      <c r="A3266" s="11">
        <f t="shared" si="50"/>
        <v>8400392</v>
      </c>
      <c r="B3266">
        <v>8400392</v>
      </c>
      <c r="C3266" t="s">
        <v>2529</v>
      </c>
      <c r="D3266">
        <v>0</v>
      </c>
      <c r="E3266">
        <v>0</v>
      </c>
      <c r="F3266" s="7"/>
    </row>
    <row r="3267" spans="1:6" x14ac:dyDescent="0.25">
      <c r="A3267" s="11">
        <f t="shared" si="50"/>
        <v>8400393</v>
      </c>
      <c r="B3267">
        <v>8400393</v>
      </c>
      <c r="C3267" t="s">
        <v>681</v>
      </c>
      <c r="D3267">
        <v>535.71</v>
      </c>
      <c r="E3267">
        <v>0</v>
      </c>
      <c r="F3267" s="7"/>
    </row>
    <row r="3268" spans="1:6" x14ac:dyDescent="0.25">
      <c r="A3268" s="11" t="str">
        <f t="shared" si="50"/>
        <v/>
      </c>
      <c r="B3268" t="s">
        <v>1859</v>
      </c>
      <c r="C3268" t="s">
        <v>1859</v>
      </c>
      <c r="D3268">
        <v>0</v>
      </c>
      <c r="E3268">
        <v>0</v>
      </c>
      <c r="F3268" s="7"/>
    </row>
    <row r="3269" spans="1:6" x14ac:dyDescent="0.25">
      <c r="A3269" s="11">
        <f t="shared" si="50"/>
        <v>8400452</v>
      </c>
      <c r="B3269">
        <v>8400452</v>
      </c>
      <c r="C3269" t="s">
        <v>2530</v>
      </c>
      <c r="D3269">
        <v>0</v>
      </c>
      <c r="E3269">
        <v>0</v>
      </c>
      <c r="F3269" s="7"/>
    </row>
    <row r="3270" spans="1:6" x14ac:dyDescent="0.25">
      <c r="A3270" s="11" t="str">
        <f t="shared" ref="A3270:A3333" si="51">IFERROR(B3270*1,"")</f>
        <v/>
      </c>
      <c r="B3270" t="s">
        <v>1859</v>
      </c>
      <c r="C3270" t="s">
        <v>1859</v>
      </c>
      <c r="D3270">
        <v>0</v>
      </c>
      <c r="E3270">
        <v>0</v>
      </c>
      <c r="F3270" s="7"/>
    </row>
    <row r="3271" spans="1:6" x14ac:dyDescent="0.25">
      <c r="A3271" s="11">
        <f t="shared" si="51"/>
        <v>8400456</v>
      </c>
      <c r="B3271">
        <v>8400456</v>
      </c>
      <c r="C3271" t="s">
        <v>2531</v>
      </c>
      <c r="D3271">
        <v>0</v>
      </c>
      <c r="E3271">
        <v>0</v>
      </c>
      <c r="F3271" s="7"/>
    </row>
    <row r="3272" spans="1:6" x14ac:dyDescent="0.25">
      <c r="A3272" s="11" t="str">
        <f t="shared" si="51"/>
        <v/>
      </c>
      <c r="B3272" t="s">
        <v>1859</v>
      </c>
      <c r="C3272" t="s">
        <v>1859</v>
      </c>
      <c r="D3272">
        <v>0</v>
      </c>
      <c r="E3272">
        <v>0</v>
      </c>
      <c r="F3272" s="7"/>
    </row>
    <row r="3273" spans="1:6" x14ac:dyDescent="0.25">
      <c r="A3273" s="11">
        <f t="shared" si="51"/>
        <v>8400564</v>
      </c>
      <c r="B3273">
        <v>8400564</v>
      </c>
      <c r="C3273" t="s">
        <v>2532</v>
      </c>
      <c r="D3273">
        <v>0</v>
      </c>
      <c r="E3273">
        <v>0</v>
      </c>
      <c r="F3273" s="7"/>
    </row>
    <row r="3274" spans="1:6" x14ac:dyDescent="0.25">
      <c r="A3274" s="11">
        <f t="shared" si="51"/>
        <v>8400650</v>
      </c>
      <c r="B3274">
        <v>8400650</v>
      </c>
      <c r="C3274" t="s">
        <v>1654</v>
      </c>
      <c r="D3274">
        <v>535.71</v>
      </c>
      <c r="E3274">
        <v>16</v>
      </c>
      <c r="F3274" s="7"/>
    </row>
    <row r="3275" spans="1:6" x14ac:dyDescent="0.25">
      <c r="A3275" s="11" t="str">
        <f t="shared" si="51"/>
        <v/>
      </c>
      <c r="B3275" t="s">
        <v>1859</v>
      </c>
      <c r="C3275" t="s">
        <v>1859</v>
      </c>
      <c r="D3275">
        <v>0</v>
      </c>
      <c r="E3275">
        <v>0</v>
      </c>
      <c r="F3275" s="7"/>
    </row>
    <row r="3276" spans="1:6" x14ac:dyDescent="0.25">
      <c r="A3276" s="11">
        <f t="shared" si="51"/>
        <v>8400651</v>
      </c>
      <c r="B3276">
        <v>8400651</v>
      </c>
      <c r="C3276" t="s">
        <v>2533</v>
      </c>
      <c r="D3276">
        <v>0</v>
      </c>
      <c r="E3276">
        <v>0</v>
      </c>
      <c r="F3276" s="7"/>
    </row>
    <row r="3277" spans="1:6" x14ac:dyDescent="0.25">
      <c r="A3277" s="11">
        <f t="shared" si="51"/>
        <v>8400654</v>
      </c>
      <c r="B3277">
        <v>8400654</v>
      </c>
      <c r="C3277" t="s">
        <v>2534</v>
      </c>
      <c r="D3277">
        <v>172.64</v>
      </c>
      <c r="E3277">
        <v>0</v>
      </c>
      <c r="F3277" s="7"/>
    </row>
    <row r="3278" spans="1:6" x14ac:dyDescent="0.25">
      <c r="A3278" s="11">
        <f t="shared" si="51"/>
        <v>8400661</v>
      </c>
      <c r="B3278">
        <v>8400661</v>
      </c>
      <c r="C3278" t="s">
        <v>1655</v>
      </c>
      <c r="D3278">
        <v>368.91</v>
      </c>
      <c r="E3278">
        <v>1</v>
      </c>
      <c r="F3278" s="7"/>
    </row>
    <row r="3279" spans="1:6" x14ac:dyDescent="0.25">
      <c r="A3279" s="11">
        <f t="shared" si="51"/>
        <v>8400662</v>
      </c>
      <c r="B3279">
        <v>8400662</v>
      </c>
      <c r="C3279" t="s">
        <v>2535</v>
      </c>
      <c r="D3279">
        <v>0</v>
      </c>
      <c r="E3279">
        <v>0</v>
      </c>
      <c r="F3279" s="7"/>
    </row>
    <row r="3280" spans="1:6" x14ac:dyDescent="0.25">
      <c r="A3280" s="11" t="str">
        <f t="shared" si="51"/>
        <v/>
      </c>
      <c r="B3280" t="s">
        <v>1859</v>
      </c>
      <c r="C3280" t="s">
        <v>1859</v>
      </c>
      <c r="D3280">
        <v>0</v>
      </c>
      <c r="E3280">
        <v>0</v>
      </c>
      <c r="F3280" s="7"/>
    </row>
    <row r="3281" spans="1:6" x14ac:dyDescent="0.25">
      <c r="A3281" s="11">
        <f t="shared" si="51"/>
        <v>8400663</v>
      </c>
      <c r="B3281">
        <v>8400663</v>
      </c>
      <c r="C3281" t="s">
        <v>2536</v>
      </c>
      <c r="D3281">
        <v>0</v>
      </c>
      <c r="E3281">
        <v>0</v>
      </c>
      <c r="F3281" s="7"/>
    </row>
    <row r="3282" spans="1:6" x14ac:dyDescent="0.25">
      <c r="A3282" s="11">
        <f t="shared" si="51"/>
        <v>8400664</v>
      </c>
      <c r="B3282">
        <v>8400664</v>
      </c>
      <c r="C3282" t="s">
        <v>2537</v>
      </c>
      <c r="D3282">
        <v>0</v>
      </c>
      <c r="E3282">
        <v>0</v>
      </c>
      <c r="F3282" s="7"/>
    </row>
    <row r="3283" spans="1:6" x14ac:dyDescent="0.25">
      <c r="A3283" s="11">
        <f t="shared" si="51"/>
        <v>8400689</v>
      </c>
      <c r="B3283">
        <v>8400689</v>
      </c>
      <c r="C3283" t="s">
        <v>1853</v>
      </c>
      <c r="D3283">
        <v>400</v>
      </c>
      <c r="E3283">
        <v>603</v>
      </c>
      <c r="F3283" s="7"/>
    </row>
    <row r="3284" spans="1:6" x14ac:dyDescent="0.25">
      <c r="A3284" s="11">
        <f t="shared" si="51"/>
        <v>8400691</v>
      </c>
      <c r="B3284">
        <v>8400691</v>
      </c>
      <c r="C3284" t="s">
        <v>1656</v>
      </c>
      <c r="D3284">
        <v>400</v>
      </c>
      <c r="E3284">
        <v>595</v>
      </c>
      <c r="F3284" s="7"/>
    </row>
    <row r="3285" spans="1:6" x14ac:dyDescent="0.25">
      <c r="A3285" s="11" t="str">
        <f t="shared" si="51"/>
        <v/>
      </c>
      <c r="B3285" t="s">
        <v>1859</v>
      </c>
      <c r="C3285" t="s">
        <v>1859</v>
      </c>
      <c r="D3285">
        <v>0</v>
      </c>
      <c r="E3285">
        <v>0</v>
      </c>
      <c r="F3285" s="7"/>
    </row>
    <row r="3286" spans="1:6" x14ac:dyDescent="0.25">
      <c r="A3286" s="11">
        <f t="shared" si="51"/>
        <v>8400753</v>
      </c>
      <c r="B3286">
        <v>8400753</v>
      </c>
      <c r="C3286" t="s">
        <v>2538</v>
      </c>
      <c r="D3286">
        <v>0</v>
      </c>
      <c r="E3286">
        <v>0</v>
      </c>
      <c r="F3286" s="7"/>
    </row>
    <row r="3287" spans="1:6" x14ac:dyDescent="0.25">
      <c r="A3287" s="11">
        <f t="shared" si="51"/>
        <v>8400852</v>
      </c>
      <c r="B3287">
        <v>8400852</v>
      </c>
      <c r="C3287" t="s">
        <v>686</v>
      </c>
      <c r="D3287">
        <v>535.71</v>
      </c>
      <c r="E3287">
        <v>0</v>
      </c>
      <c r="F3287" s="7"/>
    </row>
    <row r="3288" spans="1:6" x14ac:dyDescent="0.25">
      <c r="A3288" s="11">
        <f t="shared" si="51"/>
        <v>8400907</v>
      </c>
      <c r="B3288">
        <v>8400907</v>
      </c>
      <c r="C3288" t="s">
        <v>2539</v>
      </c>
      <c r="D3288">
        <v>0</v>
      </c>
      <c r="E3288">
        <v>0</v>
      </c>
      <c r="F3288" s="7"/>
    </row>
    <row r="3289" spans="1:6" x14ac:dyDescent="0.25">
      <c r="A3289" s="11">
        <f t="shared" si="51"/>
        <v>8400908</v>
      </c>
      <c r="B3289">
        <v>8400908</v>
      </c>
      <c r="C3289" t="s">
        <v>1657</v>
      </c>
      <c r="D3289">
        <v>700</v>
      </c>
      <c r="E3289">
        <v>17</v>
      </c>
      <c r="F3289" s="7"/>
    </row>
    <row r="3290" spans="1:6" x14ac:dyDescent="0.25">
      <c r="A3290" s="11" t="str">
        <f t="shared" si="51"/>
        <v/>
      </c>
      <c r="B3290" t="s">
        <v>1859</v>
      </c>
      <c r="C3290" t="s">
        <v>1859</v>
      </c>
      <c r="D3290">
        <v>0</v>
      </c>
      <c r="E3290">
        <v>0</v>
      </c>
      <c r="F3290" s="7"/>
    </row>
    <row r="3291" spans="1:6" x14ac:dyDescent="0.25">
      <c r="A3291" s="11">
        <f t="shared" si="51"/>
        <v>8400951</v>
      </c>
      <c r="B3291">
        <v>8400951</v>
      </c>
      <c r="C3291" t="s">
        <v>2540</v>
      </c>
      <c r="D3291">
        <v>0</v>
      </c>
      <c r="E3291">
        <v>0</v>
      </c>
      <c r="F3291" s="7"/>
    </row>
    <row r="3292" spans="1:6" x14ac:dyDescent="0.25">
      <c r="A3292" s="11">
        <f t="shared" si="51"/>
        <v>8401001</v>
      </c>
      <c r="B3292">
        <v>8401001</v>
      </c>
      <c r="C3292" t="s">
        <v>1394</v>
      </c>
      <c r="D3292">
        <v>950</v>
      </c>
      <c r="E3292">
        <v>46</v>
      </c>
      <c r="F3292" s="7"/>
    </row>
    <row r="3293" spans="1:6" x14ac:dyDescent="0.25">
      <c r="A3293" s="11">
        <f t="shared" si="51"/>
        <v>8401002</v>
      </c>
      <c r="B3293">
        <v>8401002</v>
      </c>
      <c r="C3293" t="s">
        <v>859</v>
      </c>
      <c r="D3293">
        <v>726</v>
      </c>
      <c r="E3293">
        <v>0</v>
      </c>
      <c r="F3293" s="7"/>
    </row>
    <row r="3294" spans="1:6" x14ac:dyDescent="0.25">
      <c r="A3294" s="11">
        <f t="shared" si="51"/>
        <v>8401003</v>
      </c>
      <c r="B3294">
        <v>8401003</v>
      </c>
      <c r="C3294" t="s">
        <v>1395</v>
      </c>
      <c r="D3294">
        <v>950</v>
      </c>
      <c r="E3294">
        <v>3</v>
      </c>
      <c r="F3294" s="7"/>
    </row>
    <row r="3295" spans="1:6" x14ac:dyDescent="0.25">
      <c r="A3295" s="11">
        <f t="shared" si="51"/>
        <v>8401004</v>
      </c>
      <c r="B3295">
        <v>8401004</v>
      </c>
      <c r="C3295" t="s">
        <v>1429</v>
      </c>
      <c r="D3295">
        <v>950</v>
      </c>
      <c r="E3295">
        <v>1</v>
      </c>
      <c r="F3295" s="7"/>
    </row>
    <row r="3296" spans="1:6" x14ac:dyDescent="0.25">
      <c r="A3296" s="11">
        <f t="shared" si="51"/>
        <v>8401005</v>
      </c>
      <c r="B3296">
        <v>8401005</v>
      </c>
      <c r="C3296" t="s">
        <v>1658</v>
      </c>
      <c r="D3296">
        <v>950</v>
      </c>
      <c r="E3296">
        <v>11</v>
      </c>
      <c r="F3296" s="7"/>
    </row>
    <row r="3297" spans="1:6" x14ac:dyDescent="0.25">
      <c r="A3297" s="11">
        <f t="shared" si="51"/>
        <v>8401006</v>
      </c>
      <c r="B3297">
        <v>8401006</v>
      </c>
      <c r="C3297" t="s">
        <v>2541</v>
      </c>
      <c r="D3297">
        <v>0</v>
      </c>
      <c r="E3297">
        <v>0</v>
      </c>
      <c r="F3297" s="7"/>
    </row>
    <row r="3298" spans="1:6" x14ac:dyDescent="0.25">
      <c r="A3298" s="11">
        <f t="shared" si="51"/>
        <v>8401007</v>
      </c>
      <c r="B3298">
        <v>8401007</v>
      </c>
      <c r="C3298" t="s">
        <v>2542</v>
      </c>
      <c r="D3298">
        <v>0</v>
      </c>
      <c r="E3298">
        <v>0</v>
      </c>
      <c r="F3298" s="7"/>
    </row>
    <row r="3299" spans="1:6" x14ac:dyDescent="0.25">
      <c r="A3299" s="11">
        <f t="shared" si="51"/>
        <v>8401008</v>
      </c>
      <c r="B3299">
        <v>8401008</v>
      </c>
      <c r="C3299" t="s">
        <v>2543</v>
      </c>
      <c r="D3299">
        <v>0</v>
      </c>
      <c r="E3299">
        <v>0</v>
      </c>
      <c r="F3299" s="7"/>
    </row>
    <row r="3300" spans="1:6" x14ac:dyDescent="0.25">
      <c r="A3300" s="11">
        <f t="shared" si="51"/>
        <v>8401009</v>
      </c>
      <c r="B3300">
        <v>8401009</v>
      </c>
      <c r="C3300" t="s">
        <v>1659</v>
      </c>
      <c r="D3300">
        <v>450</v>
      </c>
      <c r="E3300">
        <v>33</v>
      </c>
      <c r="F3300" s="7"/>
    </row>
    <row r="3301" spans="1:6" x14ac:dyDescent="0.25">
      <c r="A3301" s="11">
        <f t="shared" si="51"/>
        <v>8401010</v>
      </c>
      <c r="B3301">
        <v>8401010</v>
      </c>
      <c r="C3301" t="s">
        <v>1660</v>
      </c>
      <c r="D3301">
        <v>380</v>
      </c>
      <c r="E3301">
        <v>38</v>
      </c>
      <c r="F3301" s="7"/>
    </row>
    <row r="3302" spans="1:6" x14ac:dyDescent="0.25">
      <c r="A3302" s="11">
        <f t="shared" si="51"/>
        <v>8401011</v>
      </c>
      <c r="B3302">
        <v>8401011</v>
      </c>
      <c r="C3302" t="s">
        <v>1661</v>
      </c>
      <c r="D3302">
        <v>450</v>
      </c>
      <c r="E3302">
        <v>0</v>
      </c>
      <c r="F3302" s="7"/>
    </row>
    <row r="3303" spans="1:6" x14ac:dyDescent="0.25">
      <c r="A3303" s="11">
        <f t="shared" si="51"/>
        <v>8401012</v>
      </c>
      <c r="B3303">
        <v>8401012</v>
      </c>
      <c r="C3303" t="s">
        <v>1662</v>
      </c>
      <c r="D3303">
        <v>380</v>
      </c>
      <c r="E3303">
        <v>0</v>
      </c>
      <c r="F3303" s="7"/>
    </row>
    <row r="3304" spans="1:6" x14ac:dyDescent="0.25">
      <c r="A3304" s="11">
        <f t="shared" si="51"/>
        <v>8401232</v>
      </c>
      <c r="B3304">
        <v>8401232</v>
      </c>
      <c r="C3304" t="s">
        <v>667</v>
      </c>
      <c r="D3304">
        <v>370.4</v>
      </c>
      <c r="E3304">
        <v>0</v>
      </c>
      <c r="F3304" s="7"/>
    </row>
    <row r="3305" spans="1:6" x14ac:dyDescent="0.25">
      <c r="A3305" s="11">
        <f t="shared" si="51"/>
        <v>8500001</v>
      </c>
      <c r="B3305">
        <v>8500001</v>
      </c>
      <c r="C3305" t="s">
        <v>1663</v>
      </c>
      <c r="D3305">
        <v>3300</v>
      </c>
      <c r="E3305">
        <v>0</v>
      </c>
      <c r="F3305" s="7"/>
    </row>
    <row r="3306" spans="1:6" x14ac:dyDescent="0.25">
      <c r="A3306" s="11" t="str">
        <f t="shared" si="51"/>
        <v/>
      </c>
      <c r="B3306" t="s">
        <v>1859</v>
      </c>
      <c r="C3306" t="s">
        <v>1859</v>
      </c>
      <c r="D3306">
        <v>0</v>
      </c>
      <c r="E3306">
        <v>0</v>
      </c>
      <c r="F3306" s="7"/>
    </row>
    <row r="3307" spans="1:6" x14ac:dyDescent="0.25">
      <c r="A3307" s="11">
        <f t="shared" si="51"/>
        <v>8500002</v>
      </c>
      <c r="B3307">
        <v>8500002</v>
      </c>
      <c r="C3307" t="s">
        <v>2544</v>
      </c>
      <c r="D3307">
        <v>0</v>
      </c>
      <c r="E3307">
        <v>0</v>
      </c>
      <c r="F3307" s="7"/>
    </row>
    <row r="3308" spans="1:6" x14ac:dyDescent="0.25">
      <c r="A3308" s="11">
        <f t="shared" si="51"/>
        <v>8500003</v>
      </c>
      <c r="B3308">
        <v>8500003</v>
      </c>
      <c r="C3308" t="s">
        <v>1664</v>
      </c>
      <c r="D3308">
        <v>8457.9</v>
      </c>
      <c r="E3308">
        <v>0</v>
      </c>
      <c r="F3308" s="7"/>
    </row>
    <row r="3309" spans="1:6" x14ac:dyDescent="0.25">
      <c r="A3309" s="11" t="str">
        <f t="shared" si="51"/>
        <v/>
      </c>
      <c r="B3309" t="s">
        <v>1859</v>
      </c>
      <c r="C3309" t="s">
        <v>1859</v>
      </c>
      <c r="D3309">
        <v>0</v>
      </c>
      <c r="E3309">
        <v>0</v>
      </c>
      <c r="F3309" s="7"/>
    </row>
    <row r="3310" spans="1:6" x14ac:dyDescent="0.25">
      <c r="A3310" s="11">
        <f t="shared" si="51"/>
        <v>8500300</v>
      </c>
      <c r="B3310">
        <v>8500300</v>
      </c>
      <c r="C3310" t="s">
        <v>2545</v>
      </c>
      <c r="D3310">
        <v>0</v>
      </c>
      <c r="E3310">
        <v>0</v>
      </c>
      <c r="F3310" s="7"/>
    </row>
    <row r="3311" spans="1:6" x14ac:dyDescent="0.25">
      <c r="A3311" s="11">
        <f t="shared" si="51"/>
        <v>8500500</v>
      </c>
      <c r="B3311">
        <v>8500500</v>
      </c>
      <c r="C3311" t="s">
        <v>1331</v>
      </c>
      <c r="D3311">
        <v>137.76</v>
      </c>
      <c r="E3311">
        <v>110</v>
      </c>
      <c r="F3311" s="7"/>
    </row>
    <row r="3312" spans="1:6" x14ac:dyDescent="0.25">
      <c r="A3312" s="11">
        <f t="shared" si="51"/>
        <v>8501001</v>
      </c>
      <c r="B3312">
        <v>8501001</v>
      </c>
      <c r="C3312" t="s">
        <v>1297</v>
      </c>
      <c r="D3312">
        <v>1069.93</v>
      </c>
      <c r="E3312">
        <v>0</v>
      </c>
      <c r="F3312" s="7"/>
    </row>
    <row r="3313" spans="1:6" x14ac:dyDescent="0.25">
      <c r="A3313" s="11">
        <f t="shared" si="51"/>
        <v>8501015</v>
      </c>
      <c r="B3313">
        <v>8501015</v>
      </c>
      <c r="C3313" t="s">
        <v>1268</v>
      </c>
      <c r="D3313">
        <v>1222.99</v>
      </c>
      <c r="E3313">
        <v>0</v>
      </c>
      <c r="F3313" s="7"/>
    </row>
    <row r="3314" spans="1:6" x14ac:dyDescent="0.25">
      <c r="A3314" s="11">
        <f t="shared" si="51"/>
        <v>8501024</v>
      </c>
      <c r="B3314">
        <v>8501024</v>
      </c>
      <c r="C3314" t="s">
        <v>2546</v>
      </c>
      <c r="D3314">
        <v>108.9</v>
      </c>
      <c r="E3314">
        <v>0</v>
      </c>
      <c r="F3314" s="7"/>
    </row>
    <row r="3315" spans="1:6" x14ac:dyDescent="0.25">
      <c r="A3315" s="11">
        <f t="shared" si="51"/>
        <v>8501025</v>
      </c>
      <c r="B3315">
        <v>8501025</v>
      </c>
      <c r="C3315" t="s">
        <v>1294</v>
      </c>
      <c r="D3315">
        <v>1650</v>
      </c>
      <c r="E3315">
        <v>5</v>
      </c>
      <c r="F3315" s="7"/>
    </row>
    <row r="3316" spans="1:6" x14ac:dyDescent="0.25">
      <c r="A3316" s="11">
        <f t="shared" si="51"/>
        <v>8501026</v>
      </c>
      <c r="B3316">
        <v>8501026</v>
      </c>
      <c r="C3316" t="s">
        <v>1296</v>
      </c>
      <c r="D3316">
        <v>1410</v>
      </c>
      <c r="E3316">
        <v>7</v>
      </c>
      <c r="F3316" s="7"/>
    </row>
    <row r="3317" spans="1:6" x14ac:dyDescent="0.25">
      <c r="A3317" s="11">
        <f t="shared" si="51"/>
        <v>8501027</v>
      </c>
      <c r="B3317">
        <v>8501027</v>
      </c>
      <c r="C3317" t="s">
        <v>1295</v>
      </c>
      <c r="D3317">
        <v>1080</v>
      </c>
      <c r="E3317">
        <v>4</v>
      </c>
      <c r="F3317" s="7"/>
    </row>
    <row r="3318" spans="1:6" x14ac:dyDescent="0.25">
      <c r="A3318" s="11" t="str">
        <f t="shared" si="51"/>
        <v/>
      </c>
      <c r="B3318" t="s">
        <v>1859</v>
      </c>
      <c r="C3318" t="s">
        <v>1859</v>
      </c>
      <c r="D3318">
        <v>0</v>
      </c>
      <c r="E3318">
        <v>0</v>
      </c>
      <c r="F3318" s="7"/>
    </row>
    <row r="3319" spans="1:6" x14ac:dyDescent="0.25">
      <c r="A3319" s="11">
        <f t="shared" si="51"/>
        <v>8501034</v>
      </c>
      <c r="B3319">
        <v>8501034</v>
      </c>
      <c r="C3319" t="s">
        <v>2547</v>
      </c>
      <c r="D3319">
        <v>0</v>
      </c>
      <c r="E3319">
        <v>0</v>
      </c>
      <c r="F3319" s="7"/>
    </row>
    <row r="3320" spans="1:6" x14ac:dyDescent="0.25">
      <c r="A3320" s="11" t="str">
        <f t="shared" si="51"/>
        <v/>
      </c>
      <c r="B3320" t="s">
        <v>1859</v>
      </c>
      <c r="C3320" t="s">
        <v>1859</v>
      </c>
      <c r="D3320">
        <v>0</v>
      </c>
      <c r="E3320">
        <v>0</v>
      </c>
      <c r="F3320" s="7"/>
    </row>
    <row r="3321" spans="1:6" x14ac:dyDescent="0.25">
      <c r="A3321" s="11">
        <f t="shared" si="51"/>
        <v>8501228</v>
      </c>
      <c r="B3321">
        <v>8501228</v>
      </c>
      <c r="C3321" t="s">
        <v>2548</v>
      </c>
      <c r="D3321">
        <v>0</v>
      </c>
      <c r="E3321">
        <v>0</v>
      </c>
      <c r="F3321" s="7"/>
    </row>
    <row r="3322" spans="1:6" x14ac:dyDescent="0.25">
      <c r="A3322" s="11">
        <f t="shared" si="51"/>
        <v>8501551</v>
      </c>
      <c r="B3322">
        <v>8501551</v>
      </c>
      <c r="C3322" t="s">
        <v>1298</v>
      </c>
      <c r="D3322">
        <v>534.20000000000005</v>
      </c>
      <c r="E3322">
        <v>0</v>
      </c>
      <c r="F3322" s="7"/>
    </row>
    <row r="3323" spans="1:6" x14ac:dyDescent="0.25">
      <c r="A3323" s="11" t="str">
        <f t="shared" si="51"/>
        <v/>
      </c>
      <c r="B3323" t="s">
        <v>1859</v>
      </c>
      <c r="C3323" t="s">
        <v>1859</v>
      </c>
      <c r="D3323">
        <v>0</v>
      </c>
      <c r="E3323">
        <v>0</v>
      </c>
      <c r="F3323" s="7"/>
    </row>
    <row r="3324" spans="1:6" x14ac:dyDescent="0.25">
      <c r="A3324" s="11">
        <f t="shared" si="51"/>
        <v>8501594</v>
      </c>
      <c r="B3324">
        <v>8501594</v>
      </c>
      <c r="C3324" t="s">
        <v>2549</v>
      </c>
      <c r="D3324">
        <v>0</v>
      </c>
      <c r="E3324">
        <v>0</v>
      </c>
      <c r="F3324" s="7"/>
    </row>
    <row r="3325" spans="1:6" x14ac:dyDescent="0.25">
      <c r="A3325" s="11" t="str">
        <f t="shared" si="51"/>
        <v/>
      </c>
      <c r="B3325" t="s">
        <v>1859</v>
      </c>
      <c r="C3325" t="s">
        <v>1859</v>
      </c>
      <c r="D3325">
        <v>0</v>
      </c>
      <c r="E3325">
        <v>0</v>
      </c>
      <c r="F3325" s="7"/>
    </row>
    <row r="3326" spans="1:6" x14ac:dyDescent="0.25">
      <c r="A3326" s="11">
        <f t="shared" si="51"/>
        <v>8501602</v>
      </c>
      <c r="B3326">
        <v>8501602</v>
      </c>
      <c r="C3326" t="s">
        <v>2550</v>
      </c>
      <c r="D3326">
        <v>0</v>
      </c>
      <c r="E3326">
        <v>0</v>
      </c>
      <c r="F3326" s="7"/>
    </row>
    <row r="3327" spans="1:6" x14ac:dyDescent="0.25">
      <c r="A3327" s="11">
        <f t="shared" si="51"/>
        <v>8501621</v>
      </c>
      <c r="B3327">
        <v>8501621</v>
      </c>
      <c r="C3327" t="s">
        <v>2551</v>
      </c>
      <c r="D3327">
        <v>599.99</v>
      </c>
      <c r="E3327">
        <v>0</v>
      </c>
      <c r="F3327" s="7"/>
    </row>
    <row r="3328" spans="1:6" x14ac:dyDescent="0.25">
      <c r="A3328" s="11" t="str">
        <f t="shared" si="51"/>
        <v/>
      </c>
      <c r="B3328" t="s">
        <v>1859</v>
      </c>
      <c r="C3328" t="s">
        <v>1859</v>
      </c>
      <c r="D3328">
        <v>0</v>
      </c>
      <c r="E3328">
        <v>0</v>
      </c>
      <c r="F3328" s="7"/>
    </row>
    <row r="3329" spans="1:6" x14ac:dyDescent="0.25">
      <c r="A3329" s="11">
        <f t="shared" si="51"/>
        <v>8501654</v>
      </c>
      <c r="B3329">
        <v>8501654</v>
      </c>
      <c r="C3329" t="s">
        <v>2552</v>
      </c>
      <c r="D3329">
        <v>0</v>
      </c>
      <c r="E3329">
        <v>0</v>
      </c>
      <c r="F3329" s="7"/>
    </row>
    <row r="3330" spans="1:6" x14ac:dyDescent="0.25">
      <c r="A3330" s="11" t="str">
        <f t="shared" si="51"/>
        <v/>
      </c>
      <c r="B3330" t="s">
        <v>1859</v>
      </c>
      <c r="C3330" t="s">
        <v>1859</v>
      </c>
      <c r="D3330">
        <v>0</v>
      </c>
      <c r="E3330">
        <v>0</v>
      </c>
      <c r="F3330" s="7"/>
    </row>
    <row r="3331" spans="1:6" x14ac:dyDescent="0.25">
      <c r="A3331" s="11">
        <f t="shared" si="51"/>
        <v>8501655</v>
      </c>
      <c r="B3331">
        <v>8501655</v>
      </c>
      <c r="C3331" t="s">
        <v>2553</v>
      </c>
      <c r="D3331">
        <v>0</v>
      </c>
      <c r="E3331">
        <v>0</v>
      </c>
      <c r="F3331" s="7"/>
    </row>
    <row r="3332" spans="1:6" x14ac:dyDescent="0.25">
      <c r="A3332" s="11">
        <f t="shared" si="51"/>
        <v>8501662</v>
      </c>
      <c r="B3332">
        <v>8501662</v>
      </c>
      <c r="C3332" t="s">
        <v>1299</v>
      </c>
      <c r="D3332">
        <v>1170</v>
      </c>
      <c r="E3332">
        <v>361</v>
      </c>
      <c r="F3332" s="7"/>
    </row>
    <row r="3333" spans="1:6" x14ac:dyDescent="0.25">
      <c r="A3333" s="11">
        <f t="shared" si="51"/>
        <v>8501700</v>
      </c>
      <c r="B3333">
        <v>8501700</v>
      </c>
      <c r="C3333" t="s">
        <v>998</v>
      </c>
      <c r="D3333">
        <v>603.71</v>
      </c>
      <c r="E3333">
        <v>0</v>
      </c>
      <c r="F3333" s="7"/>
    </row>
    <row r="3334" spans="1:6" x14ac:dyDescent="0.25">
      <c r="A3334" s="11">
        <f t="shared" ref="A3334:A3397" si="52">IFERROR(B3334*1,"")</f>
        <v>8503000</v>
      </c>
      <c r="B3334">
        <v>8503000</v>
      </c>
      <c r="C3334" t="s">
        <v>600</v>
      </c>
      <c r="D3334">
        <v>3012.9</v>
      </c>
      <c r="E3334">
        <v>0</v>
      </c>
      <c r="F3334" s="7"/>
    </row>
    <row r="3335" spans="1:6" x14ac:dyDescent="0.25">
      <c r="A3335" s="11">
        <f t="shared" si="52"/>
        <v>8503003</v>
      </c>
      <c r="B3335">
        <v>8503003</v>
      </c>
      <c r="C3335" t="s">
        <v>2554</v>
      </c>
      <c r="D3335">
        <v>0</v>
      </c>
      <c r="E3335">
        <v>0</v>
      </c>
      <c r="F3335" s="7"/>
    </row>
    <row r="3336" spans="1:6" x14ac:dyDescent="0.25">
      <c r="A3336" s="11" t="str">
        <f t="shared" si="52"/>
        <v/>
      </c>
      <c r="B3336" t="s">
        <v>1859</v>
      </c>
      <c r="C3336" t="s">
        <v>1859</v>
      </c>
      <c r="D3336">
        <v>0</v>
      </c>
      <c r="E3336">
        <v>0</v>
      </c>
      <c r="F3336" s="7"/>
    </row>
    <row r="3337" spans="1:6" x14ac:dyDescent="0.25">
      <c r="A3337" s="11">
        <f t="shared" si="52"/>
        <v>8503011</v>
      </c>
      <c r="B3337">
        <v>8503011</v>
      </c>
      <c r="C3337" t="s">
        <v>2555</v>
      </c>
      <c r="D3337">
        <v>0</v>
      </c>
      <c r="E3337">
        <v>0</v>
      </c>
      <c r="F3337" s="7"/>
    </row>
    <row r="3338" spans="1:6" x14ac:dyDescent="0.25">
      <c r="A3338" s="11">
        <f t="shared" si="52"/>
        <v>8503012</v>
      </c>
      <c r="B3338">
        <v>8503012</v>
      </c>
      <c r="C3338" t="s">
        <v>1665</v>
      </c>
      <c r="D3338">
        <v>3300</v>
      </c>
      <c r="E3338">
        <v>244</v>
      </c>
      <c r="F3338" s="7"/>
    </row>
    <row r="3339" spans="1:6" x14ac:dyDescent="0.25">
      <c r="A3339" s="11" t="str">
        <f t="shared" si="52"/>
        <v/>
      </c>
      <c r="B3339" t="s">
        <v>1859</v>
      </c>
      <c r="C3339" t="s">
        <v>1859</v>
      </c>
      <c r="D3339">
        <v>0</v>
      </c>
      <c r="E3339">
        <v>0</v>
      </c>
      <c r="F3339" s="7"/>
    </row>
    <row r="3340" spans="1:6" x14ac:dyDescent="0.25">
      <c r="A3340" s="11">
        <f t="shared" si="52"/>
        <v>8503020</v>
      </c>
      <c r="B3340">
        <v>8503020</v>
      </c>
      <c r="C3340" t="s">
        <v>2556</v>
      </c>
      <c r="D3340">
        <v>0</v>
      </c>
      <c r="E3340">
        <v>0</v>
      </c>
      <c r="F3340" s="7"/>
    </row>
    <row r="3341" spans="1:6" x14ac:dyDescent="0.25">
      <c r="A3341" s="11">
        <f t="shared" si="52"/>
        <v>8503026</v>
      </c>
      <c r="B3341">
        <v>8503026</v>
      </c>
      <c r="C3341" t="s">
        <v>2557</v>
      </c>
      <c r="D3341">
        <v>0</v>
      </c>
      <c r="E3341">
        <v>0</v>
      </c>
      <c r="F3341" s="7"/>
    </row>
    <row r="3342" spans="1:6" x14ac:dyDescent="0.25">
      <c r="A3342" s="11">
        <f t="shared" si="52"/>
        <v>8503045</v>
      </c>
      <c r="B3342">
        <v>8503045</v>
      </c>
      <c r="C3342" t="s">
        <v>601</v>
      </c>
      <c r="D3342">
        <v>3000</v>
      </c>
      <c r="E3342">
        <v>225</v>
      </c>
      <c r="F3342" s="7"/>
    </row>
    <row r="3343" spans="1:6" x14ac:dyDescent="0.25">
      <c r="A3343" s="11" t="str">
        <f t="shared" si="52"/>
        <v/>
      </c>
      <c r="B3343" t="s">
        <v>1859</v>
      </c>
      <c r="C3343" t="s">
        <v>1859</v>
      </c>
      <c r="D3343">
        <v>0</v>
      </c>
      <c r="E3343">
        <v>0</v>
      </c>
      <c r="F3343" s="7"/>
    </row>
    <row r="3344" spans="1:6" x14ac:dyDescent="0.25">
      <c r="A3344" s="11">
        <f t="shared" si="52"/>
        <v>8503046</v>
      </c>
      <c r="B3344">
        <v>8503046</v>
      </c>
      <c r="C3344" t="s">
        <v>2558</v>
      </c>
      <c r="D3344">
        <v>0</v>
      </c>
      <c r="E3344">
        <v>0</v>
      </c>
      <c r="F3344" s="7"/>
    </row>
    <row r="3345" spans="1:6" x14ac:dyDescent="0.25">
      <c r="A3345" s="11" t="str">
        <f t="shared" si="52"/>
        <v/>
      </c>
      <c r="B3345" t="s">
        <v>1859</v>
      </c>
      <c r="C3345" t="s">
        <v>1859</v>
      </c>
      <c r="D3345">
        <v>0</v>
      </c>
      <c r="E3345">
        <v>0</v>
      </c>
      <c r="F3345" s="7"/>
    </row>
    <row r="3346" spans="1:6" x14ac:dyDescent="0.25">
      <c r="A3346" s="11">
        <f t="shared" si="52"/>
        <v>8503060</v>
      </c>
      <c r="B3346">
        <v>8503060</v>
      </c>
      <c r="C3346" t="s">
        <v>2559</v>
      </c>
      <c r="D3346">
        <v>0</v>
      </c>
      <c r="E3346">
        <v>0</v>
      </c>
      <c r="F3346" s="7"/>
    </row>
    <row r="3347" spans="1:6" x14ac:dyDescent="0.25">
      <c r="A3347" s="11">
        <f t="shared" si="52"/>
        <v>8503061</v>
      </c>
      <c r="B3347">
        <v>8503061</v>
      </c>
      <c r="C3347" t="s">
        <v>1666</v>
      </c>
      <c r="D3347">
        <v>2418.79</v>
      </c>
      <c r="E3347">
        <v>569</v>
      </c>
      <c r="F3347" s="7"/>
    </row>
    <row r="3348" spans="1:6" x14ac:dyDescent="0.25">
      <c r="A3348" s="11">
        <f t="shared" si="52"/>
        <v>850306101</v>
      </c>
      <c r="B3348">
        <v>850306101</v>
      </c>
      <c r="C3348" t="s">
        <v>2560</v>
      </c>
      <c r="D3348">
        <v>0</v>
      </c>
      <c r="E3348">
        <v>0</v>
      </c>
      <c r="F3348" s="7"/>
    </row>
    <row r="3349" spans="1:6" x14ac:dyDescent="0.25">
      <c r="A3349" s="11">
        <f t="shared" si="52"/>
        <v>8503063</v>
      </c>
      <c r="B3349">
        <v>8503063</v>
      </c>
      <c r="C3349" t="s">
        <v>2561</v>
      </c>
      <c r="D3349">
        <v>0</v>
      </c>
      <c r="E3349">
        <v>1</v>
      </c>
      <c r="F3349" s="7"/>
    </row>
    <row r="3350" spans="1:6" x14ac:dyDescent="0.25">
      <c r="A3350" s="11">
        <f t="shared" si="52"/>
        <v>8503090</v>
      </c>
      <c r="B3350">
        <v>8503090</v>
      </c>
      <c r="C3350" t="s">
        <v>2562</v>
      </c>
      <c r="D3350">
        <v>0</v>
      </c>
      <c r="E3350">
        <v>0</v>
      </c>
      <c r="F3350" s="7"/>
    </row>
    <row r="3351" spans="1:6" x14ac:dyDescent="0.25">
      <c r="A3351" s="11" t="str">
        <f t="shared" si="52"/>
        <v/>
      </c>
      <c r="B3351" t="s">
        <v>1859</v>
      </c>
      <c r="C3351" t="s">
        <v>1859</v>
      </c>
      <c r="D3351">
        <v>0</v>
      </c>
      <c r="E3351">
        <v>0</v>
      </c>
      <c r="F3351" s="7"/>
    </row>
    <row r="3352" spans="1:6" x14ac:dyDescent="0.25">
      <c r="A3352" s="11">
        <f t="shared" si="52"/>
        <v>8503091</v>
      </c>
      <c r="B3352">
        <v>8503091</v>
      </c>
      <c r="C3352" t="s">
        <v>2563</v>
      </c>
      <c r="D3352">
        <v>0</v>
      </c>
      <c r="E3352">
        <v>0</v>
      </c>
      <c r="F3352" s="7"/>
    </row>
    <row r="3353" spans="1:6" x14ac:dyDescent="0.25">
      <c r="A3353" s="11">
        <f t="shared" si="52"/>
        <v>8503098</v>
      </c>
      <c r="B3353">
        <v>8503098</v>
      </c>
      <c r="C3353" t="s">
        <v>1667</v>
      </c>
      <c r="D3353">
        <v>1899.99</v>
      </c>
      <c r="E3353">
        <v>0</v>
      </c>
      <c r="F3353" s="7"/>
    </row>
    <row r="3354" spans="1:6" x14ac:dyDescent="0.25">
      <c r="A3354" s="11">
        <f t="shared" si="52"/>
        <v>8503100</v>
      </c>
      <c r="B3354">
        <v>8503100</v>
      </c>
      <c r="C3354" t="s">
        <v>23</v>
      </c>
      <c r="D3354">
        <v>845.79</v>
      </c>
      <c r="E3354">
        <v>0</v>
      </c>
      <c r="F3354" s="7"/>
    </row>
    <row r="3355" spans="1:6" x14ac:dyDescent="0.25">
      <c r="A3355" s="11">
        <f t="shared" si="52"/>
        <v>8503111</v>
      </c>
      <c r="B3355">
        <v>8503111</v>
      </c>
      <c r="C3355" t="s">
        <v>1335</v>
      </c>
      <c r="D3355">
        <v>489.43</v>
      </c>
      <c r="E3355">
        <v>0</v>
      </c>
      <c r="F3355" s="7"/>
    </row>
    <row r="3356" spans="1:6" x14ac:dyDescent="0.25">
      <c r="A3356" s="11">
        <f t="shared" si="52"/>
        <v>8503125</v>
      </c>
      <c r="B3356">
        <v>8503125</v>
      </c>
      <c r="C3356" t="s">
        <v>24</v>
      </c>
      <c r="D3356">
        <v>1400</v>
      </c>
      <c r="E3356">
        <v>91</v>
      </c>
      <c r="F3356" s="7"/>
    </row>
    <row r="3357" spans="1:6" x14ac:dyDescent="0.25">
      <c r="A3357" s="11" t="str">
        <f t="shared" si="52"/>
        <v/>
      </c>
      <c r="B3357" t="s">
        <v>1859</v>
      </c>
      <c r="C3357" t="s">
        <v>1859</v>
      </c>
      <c r="D3357">
        <v>0</v>
      </c>
      <c r="E3357">
        <v>0</v>
      </c>
      <c r="F3357" s="7"/>
    </row>
    <row r="3358" spans="1:6" x14ac:dyDescent="0.25">
      <c r="A3358" s="11">
        <f t="shared" si="52"/>
        <v>8503130</v>
      </c>
      <c r="B3358">
        <v>8503130</v>
      </c>
      <c r="C3358" t="s">
        <v>2564</v>
      </c>
      <c r="D3358">
        <v>0</v>
      </c>
      <c r="E3358">
        <v>0</v>
      </c>
      <c r="F3358" s="7"/>
    </row>
    <row r="3359" spans="1:6" x14ac:dyDescent="0.25">
      <c r="A3359" s="11" t="str">
        <f t="shared" si="52"/>
        <v/>
      </c>
      <c r="B3359" t="s">
        <v>1859</v>
      </c>
      <c r="C3359" t="s">
        <v>1859</v>
      </c>
      <c r="D3359">
        <v>0</v>
      </c>
      <c r="E3359">
        <v>0</v>
      </c>
      <c r="F3359" s="7"/>
    </row>
    <row r="3360" spans="1:6" x14ac:dyDescent="0.25">
      <c r="A3360" s="11">
        <f t="shared" si="52"/>
        <v>8503159</v>
      </c>
      <c r="B3360">
        <v>8503159</v>
      </c>
      <c r="C3360" t="s">
        <v>2565</v>
      </c>
      <c r="D3360">
        <v>0</v>
      </c>
      <c r="E3360">
        <v>0</v>
      </c>
      <c r="F3360" s="7"/>
    </row>
    <row r="3361" spans="1:6" x14ac:dyDescent="0.25">
      <c r="A3361" s="11" t="str">
        <f t="shared" si="52"/>
        <v/>
      </c>
      <c r="B3361" t="s">
        <v>1859</v>
      </c>
      <c r="C3361" t="s">
        <v>1859</v>
      </c>
      <c r="D3361">
        <v>0</v>
      </c>
      <c r="E3361">
        <v>0</v>
      </c>
      <c r="F3361" s="7"/>
    </row>
    <row r="3362" spans="1:6" x14ac:dyDescent="0.25">
      <c r="A3362" s="11">
        <f t="shared" si="52"/>
        <v>8503168</v>
      </c>
      <c r="B3362">
        <v>8503168</v>
      </c>
      <c r="C3362" t="s">
        <v>2566</v>
      </c>
      <c r="D3362">
        <v>0</v>
      </c>
      <c r="E3362">
        <v>0</v>
      </c>
      <c r="F3362" s="7"/>
    </row>
    <row r="3363" spans="1:6" x14ac:dyDescent="0.25">
      <c r="A3363" s="11">
        <f t="shared" si="52"/>
        <v>8503201</v>
      </c>
      <c r="B3363">
        <v>8503201</v>
      </c>
      <c r="C3363" t="s">
        <v>1343</v>
      </c>
      <c r="D3363">
        <v>2420</v>
      </c>
      <c r="E3363">
        <v>0</v>
      </c>
      <c r="F3363" s="7"/>
    </row>
    <row r="3364" spans="1:6" x14ac:dyDescent="0.25">
      <c r="A3364" s="11">
        <f t="shared" si="52"/>
        <v>8503202</v>
      </c>
      <c r="B3364">
        <v>8503202</v>
      </c>
      <c r="C3364" t="s">
        <v>1398</v>
      </c>
      <c r="D3364">
        <v>2299</v>
      </c>
      <c r="E3364">
        <v>4</v>
      </c>
      <c r="F3364" s="7"/>
    </row>
    <row r="3365" spans="1:6" x14ac:dyDescent="0.25">
      <c r="A3365" s="11">
        <f t="shared" si="52"/>
        <v>8503209</v>
      </c>
      <c r="B3365">
        <v>8503209</v>
      </c>
      <c r="C3365" t="s">
        <v>27</v>
      </c>
      <c r="D3365">
        <v>2178</v>
      </c>
      <c r="E3365">
        <v>0</v>
      </c>
      <c r="F3365" s="7"/>
    </row>
    <row r="3366" spans="1:6" x14ac:dyDescent="0.25">
      <c r="A3366" s="11">
        <f t="shared" si="52"/>
        <v>8503224</v>
      </c>
      <c r="B3366">
        <v>8503224</v>
      </c>
      <c r="C3366" t="s">
        <v>1334</v>
      </c>
      <c r="D3366">
        <v>918.38</v>
      </c>
      <c r="E3366">
        <v>0</v>
      </c>
      <c r="F3366" s="7"/>
    </row>
    <row r="3367" spans="1:6" x14ac:dyDescent="0.25">
      <c r="A3367" s="11" t="str">
        <f t="shared" si="52"/>
        <v/>
      </c>
      <c r="B3367" t="s">
        <v>1859</v>
      </c>
      <c r="C3367" t="s">
        <v>1859</v>
      </c>
      <c r="D3367">
        <v>0</v>
      </c>
      <c r="E3367">
        <v>0</v>
      </c>
      <c r="F3367" s="7"/>
    </row>
    <row r="3368" spans="1:6" x14ac:dyDescent="0.25">
      <c r="A3368" s="11">
        <f t="shared" si="52"/>
        <v>8503230</v>
      </c>
      <c r="B3368">
        <v>8503230</v>
      </c>
      <c r="C3368" t="s">
        <v>2567</v>
      </c>
      <c r="D3368">
        <v>0</v>
      </c>
      <c r="E3368">
        <v>0</v>
      </c>
      <c r="F3368" s="7"/>
    </row>
    <row r="3369" spans="1:6" x14ac:dyDescent="0.25">
      <c r="A3369" s="11">
        <f t="shared" si="52"/>
        <v>8503234</v>
      </c>
      <c r="B3369">
        <v>8503234</v>
      </c>
      <c r="C3369" t="s">
        <v>1072</v>
      </c>
      <c r="D3369">
        <v>2199.9899999999998</v>
      </c>
      <c r="E3369">
        <v>3</v>
      </c>
      <c r="F3369" s="7"/>
    </row>
    <row r="3370" spans="1:6" x14ac:dyDescent="0.25">
      <c r="A3370" s="11">
        <f t="shared" si="52"/>
        <v>8503235</v>
      </c>
      <c r="B3370">
        <v>8503235</v>
      </c>
      <c r="C3370" t="s">
        <v>1668</v>
      </c>
      <c r="D3370">
        <v>1899.99</v>
      </c>
      <c r="E3370">
        <v>0</v>
      </c>
      <c r="F3370" s="7"/>
    </row>
    <row r="3371" spans="1:6" x14ac:dyDescent="0.25">
      <c r="A3371" s="11" t="str">
        <f t="shared" si="52"/>
        <v/>
      </c>
      <c r="B3371" t="s">
        <v>1859</v>
      </c>
      <c r="C3371" t="s">
        <v>1859</v>
      </c>
      <c r="D3371">
        <v>0</v>
      </c>
      <c r="E3371">
        <v>0</v>
      </c>
      <c r="F3371" s="7"/>
    </row>
    <row r="3372" spans="1:6" x14ac:dyDescent="0.25">
      <c r="A3372" s="11">
        <f t="shared" si="52"/>
        <v>8503236</v>
      </c>
      <c r="B3372">
        <v>8503236</v>
      </c>
      <c r="C3372" t="s">
        <v>2568</v>
      </c>
      <c r="D3372">
        <v>0</v>
      </c>
      <c r="E3372">
        <v>0</v>
      </c>
      <c r="F3372" s="7"/>
    </row>
    <row r="3373" spans="1:6" x14ac:dyDescent="0.25">
      <c r="A3373" s="11" t="str">
        <f t="shared" si="52"/>
        <v/>
      </c>
      <c r="B3373" t="s">
        <v>1859</v>
      </c>
      <c r="C3373" t="s">
        <v>1859</v>
      </c>
      <c r="D3373">
        <v>0</v>
      </c>
      <c r="E3373">
        <v>0</v>
      </c>
      <c r="F3373" s="7"/>
    </row>
    <row r="3374" spans="1:6" x14ac:dyDescent="0.25">
      <c r="A3374" s="11">
        <f t="shared" si="52"/>
        <v>8503238</v>
      </c>
      <c r="B3374">
        <v>8503238</v>
      </c>
      <c r="C3374" t="s">
        <v>2569</v>
      </c>
      <c r="D3374">
        <v>0</v>
      </c>
      <c r="E3374">
        <v>0</v>
      </c>
      <c r="F3374" s="7"/>
    </row>
    <row r="3375" spans="1:6" x14ac:dyDescent="0.25">
      <c r="A3375" s="11" t="str">
        <f t="shared" si="52"/>
        <v/>
      </c>
      <c r="B3375" t="s">
        <v>1859</v>
      </c>
      <c r="C3375" t="s">
        <v>1859</v>
      </c>
      <c r="D3375">
        <v>0</v>
      </c>
      <c r="E3375">
        <v>0</v>
      </c>
      <c r="F3375" s="7"/>
    </row>
    <row r="3376" spans="1:6" x14ac:dyDescent="0.25">
      <c r="A3376" s="11">
        <f t="shared" si="52"/>
        <v>8503250</v>
      </c>
      <c r="B3376">
        <v>8503250</v>
      </c>
      <c r="C3376" t="s">
        <v>2570</v>
      </c>
      <c r="D3376">
        <v>0</v>
      </c>
      <c r="E3376">
        <v>0</v>
      </c>
      <c r="F3376" s="7"/>
    </row>
    <row r="3377" spans="1:6" x14ac:dyDescent="0.25">
      <c r="A3377" s="11">
        <f t="shared" si="52"/>
        <v>8503258</v>
      </c>
      <c r="B3377">
        <v>8503258</v>
      </c>
      <c r="C3377" t="s">
        <v>1669</v>
      </c>
      <c r="D3377">
        <v>35000</v>
      </c>
      <c r="E3377">
        <v>4</v>
      </c>
      <c r="F3377" s="7"/>
    </row>
    <row r="3378" spans="1:6" x14ac:dyDescent="0.25">
      <c r="A3378" s="11">
        <f t="shared" si="52"/>
        <v>8503302</v>
      </c>
      <c r="B3378">
        <v>8503302</v>
      </c>
      <c r="C3378" t="s">
        <v>1345</v>
      </c>
      <c r="D3378">
        <v>3617.9</v>
      </c>
      <c r="E3378">
        <v>0</v>
      </c>
      <c r="F3378" s="7"/>
    </row>
    <row r="3379" spans="1:6" x14ac:dyDescent="0.25">
      <c r="A3379" s="11">
        <f t="shared" si="52"/>
        <v>8503303</v>
      </c>
      <c r="B3379">
        <v>8503303</v>
      </c>
      <c r="C3379" t="s">
        <v>1347</v>
      </c>
      <c r="D3379">
        <v>600</v>
      </c>
      <c r="E3379">
        <v>84</v>
      </c>
      <c r="F3379" s="7"/>
    </row>
    <row r="3380" spans="1:6" x14ac:dyDescent="0.25">
      <c r="A3380" s="11">
        <f t="shared" si="52"/>
        <v>8503304</v>
      </c>
      <c r="B3380">
        <v>8503304</v>
      </c>
      <c r="C3380" t="s">
        <v>2571</v>
      </c>
      <c r="D3380">
        <v>0</v>
      </c>
      <c r="E3380">
        <v>0</v>
      </c>
      <c r="F3380" s="7"/>
    </row>
    <row r="3381" spans="1:6" x14ac:dyDescent="0.25">
      <c r="A3381" s="11">
        <f t="shared" si="52"/>
        <v>8503305</v>
      </c>
      <c r="B3381">
        <v>8503305</v>
      </c>
      <c r="C3381" t="s">
        <v>1670</v>
      </c>
      <c r="D3381">
        <v>450</v>
      </c>
      <c r="E3381">
        <v>549</v>
      </c>
      <c r="F3381" s="7"/>
    </row>
    <row r="3382" spans="1:6" x14ac:dyDescent="0.25">
      <c r="A3382" s="11">
        <f t="shared" si="52"/>
        <v>8503310</v>
      </c>
      <c r="B3382">
        <v>8503310</v>
      </c>
      <c r="C3382" t="s">
        <v>1437</v>
      </c>
      <c r="D3382">
        <v>3000</v>
      </c>
      <c r="E3382">
        <v>0</v>
      </c>
      <c r="F3382" s="7"/>
    </row>
    <row r="3383" spans="1:6" x14ac:dyDescent="0.25">
      <c r="A3383" s="11">
        <f t="shared" si="52"/>
        <v>8503320</v>
      </c>
      <c r="B3383">
        <v>8503320</v>
      </c>
      <c r="C3383" t="s">
        <v>2572</v>
      </c>
      <c r="D3383">
        <v>0</v>
      </c>
      <c r="E3383">
        <v>0</v>
      </c>
      <c r="F3383" s="7"/>
    </row>
    <row r="3384" spans="1:6" x14ac:dyDescent="0.25">
      <c r="A3384" s="11" t="str">
        <f t="shared" si="52"/>
        <v/>
      </c>
      <c r="B3384" t="s">
        <v>1859</v>
      </c>
      <c r="C3384" t="s">
        <v>1859</v>
      </c>
      <c r="D3384">
        <v>0</v>
      </c>
      <c r="E3384">
        <v>0</v>
      </c>
      <c r="F3384" s="7"/>
    </row>
    <row r="3385" spans="1:6" x14ac:dyDescent="0.25">
      <c r="A3385" s="11">
        <f t="shared" si="52"/>
        <v>8503401</v>
      </c>
      <c r="B3385">
        <v>8503401</v>
      </c>
      <c r="C3385" t="s">
        <v>2573</v>
      </c>
      <c r="D3385">
        <v>0</v>
      </c>
      <c r="E3385">
        <v>0</v>
      </c>
      <c r="F3385" s="7"/>
    </row>
    <row r="3386" spans="1:6" x14ac:dyDescent="0.25">
      <c r="A3386" s="11">
        <f t="shared" si="52"/>
        <v>8503402</v>
      </c>
      <c r="B3386">
        <v>8503402</v>
      </c>
      <c r="C3386" t="s">
        <v>25</v>
      </c>
      <c r="D3386">
        <v>650</v>
      </c>
      <c r="E3386">
        <v>210</v>
      </c>
      <c r="F3386" s="7"/>
    </row>
    <row r="3387" spans="1:6" x14ac:dyDescent="0.25">
      <c r="A3387" s="11">
        <f t="shared" si="52"/>
        <v>8503424</v>
      </c>
      <c r="B3387">
        <v>8503424</v>
      </c>
      <c r="C3387" t="s">
        <v>1671</v>
      </c>
      <c r="D3387">
        <v>906.29</v>
      </c>
      <c r="E3387">
        <v>1</v>
      </c>
      <c r="F3387" s="7"/>
    </row>
    <row r="3388" spans="1:6" x14ac:dyDescent="0.25">
      <c r="A3388" s="11" t="str">
        <f t="shared" si="52"/>
        <v/>
      </c>
      <c r="B3388" t="s">
        <v>1859</v>
      </c>
      <c r="C3388" t="s">
        <v>1859</v>
      </c>
      <c r="D3388">
        <v>0</v>
      </c>
      <c r="E3388">
        <v>0</v>
      </c>
      <c r="F3388" s="7"/>
    </row>
    <row r="3389" spans="1:6" x14ac:dyDescent="0.25">
      <c r="A3389" s="11">
        <f t="shared" si="52"/>
        <v>8503425</v>
      </c>
      <c r="B3389">
        <v>8503425</v>
      </c>
      <c r="C3389" t="s">
        <v>2574</v>
      </c>
      <c r="D3389">
        <v>0</v>
      </c>
      <c r="E3389">
        <v>0</v>
      </c>
      <c r="F3389" s="7"/>
    </row>
    <row r="3390" spans="1:6" x14ac:dyDescent="0.25">
      <c r="A3390" s="11">
        <f t="shared" si="52"/>
        <v>8503426</v>
      </c>
      <c r="B3390">
        <v>8503426</v>
      </c>
      <c r="C3390" t="s">
        <v>26</v>
      </c>
      <c r="D3390">
        <v>906.29</v>
      </c>
      <c r="E3390">
        <v>0</v>
      </c>
      <c r="F3390" s="7"/>
    </row>
    <row r="3391" spans="1:6" x14ac:dyDescent="0.25">
      <c r="A3391" s="11" t="str">
        <f t="shared" si="52"/>
        <v/>
      </c>
      <c r="B3391" t="s">
        <v>1859</v>
      </c>
      <c r="C3391" t="s">
        <v>1859</v>
      </c>
      <c r="D3391">
        <v>0</v>
      </c>
      <c r="E3391">
        <v>0</v>
      </c>
      <c r="F3391" s="7"/>
    </row>
    <row r="3392" spans="1:6" x14ac:dyDescent="0.25">
      <c r="A3392" s="11">
        <f t="shared" si="52"/>
        <v>8503427</v>
      </c>
      <c r="B3392">
        <v>8503427</v>
      </c>
      <c r="C3392" t="s">
        <v>2575</v>
      </c>
      <c r="D3392">
        <v>0</v>
      </c>
      <c r="E3392">
        <v>0</v>
      </c>
      <c r="F3392" s="7"/>
    </row>
    <row r="3393" spans="1:6" x14ac:dyDescent="0.25">
      <c r="A3393" s="11" t="str">
        <f t="shared" si="52"/>
        <v/>
      </c>
      <c r="B3393" t="s">
        <v>1859</v>
      </c>
      <c r="C3393" t="s">
        <v>1859</v>
      </c>
      <c r="D3393">
        <v>0</v>
      </c>
      <c r="E3393">
        <v>0</v>
      </c>
      <c r="F3393" s="7"/>
    </row>
    <row r="3394" spans="1:6" x14ac:dyDescent="0.25">
      <c r="A3394" s="11">
        <f t="shared" si="52"/>
        <v>8503428</v>
      </c>
      <c r="B3394">
        <v>8503428</v>
      </c>
      <c r="C3394" t="s">
        <v>2576</v>
      </c>
      <c r="D3394">
        <v>0</v>
      </c>
      <c r="E3394">
        <v>0</v>
      </c>
      <c r="F3394" s="7"/>
    </row>
    <row r="3395" spans="1:6" x14ac:dyDescent="0.25">
      <c r="A3395" s="11">
        <f t="shared" si="52"/>
        <v>8503429</v>
      </c>
      <c r="B3395">
        <v>8503429</v>
      </c>
      <c r="C3395" t="s">
        <v>2577</v>
      </c>
      <c r="D3395">
        <v>0</v>
      </c>
      <c r="E3395">
        <v>0</v>
      </c>
      <c r="F3395" s="7"/>
    </row>
    <row r="3396" spans="1:6" x14ac:dyDescent="0.25">
      <c r="A3396" s="11">
        <f t="shared" si="52"/>
        <v>8503450</v>
      </c>
      <c r="B3396">
        <v>8503450</v>
      </c>
      <c r="C3396" t="s">
        <v>2578</v>
      </c>
      <c r="D3396">
        <v>0</v>
      </c>
      <c r="E3396">
        <v>0</v>
      </c>
      <c r="F3396" s="7"/>
    </row>
    <row r="3397" spans="1:6" x14ac:dyDescent="0.25">
      <c r="A3397" s="11">
        <f t="shared" si="52"/>
        <v>8503451</v>
      </c>
      <c r="B3397">
        <v>8503451</v>
      </c>
      <c r="C3397" t="s">
        <v>2579</v>
      </c>
      <c r="D3397">
        <v>0</v>
      </c>
      <c r="E3397">
        <v>0</v>
      </c>
      <c r="F3397" s="7"/>
    </row>
    <row r="3398" spans="1:6" x14ac:dyDescent="0.25">
      <c r="A3398" s="11" t="str">
        <f t="shared" ref="A3398:A3461" si="53">IFERROR(B3398*1,"")</f>
        <v/>
      </c>
      <c r="B3398" t="s">
        <v>1859</v>
      </c>
      <c r="C3398" t="s">
        <v>1859</v>
      </c>
      <c r="D3398">
        <v>0</v>
      </c>
      <c r="E3398">
        <v>0</v>
      </c>
      <c r="F3398" s="7"/>
    </row>
    <row r="3399" spans="1:6" x14ac:dyDescent="0.25">
      <c r="A3399" s="11">
        <f t="shared" si="53"/>
        <v>8503456</v>
      </c>
      <c r="B3399">
        <v>8503456</v>
      </c>
      <c r="C3399" t="s">
        <v>2558</v>
      </c>
      <c r="D3399">
        <v>0</v>
      </c>
      <c r="E3399">
        <v>0</v>
      </c>
      <c r="F3399" s="7"/>
    </row>
    <row r="3400" spans="1:6" x14ac:dyDescent="0.25">
      <c r="A3400" s="11" t="str">
        <f t="shared" si="53"/>
        <v/>
      </c>
      <c r="B3400" t="s">
        <v>1859</v>
      </c>
      <c r="C3400" t="s">
        <v>1859</v>
      </c>
      <c r="D3400">
        <v>0</v>
      </c>
      <c r="E3400">
        <v>0</v>
      </c>
      <c r="F3400" s="7"/>
    </row>
    <row r="3401" spans="1:6" x14ac:dyDescent="0.25">
      <c r="A3401" s="11">
        <f t="shared" si="53"/>
        <v>8503457</v>
      </c>
      <c r="B3401">
        <v>8503457</v>
      </c>
      <c r="C3401" t="s">
        <v>2580</v>
      </c>
      <c r="D3401">
        <v>0</v>
      </c>
      <c r="E3401">
        <v>1</v>
      </c>
      <c r="F3401" s="7"/>
    </row>
    <row r="3402" spans="1:6" x14ac:dyDescent="0.25">
      <c r="A3402" s="11" t="str">
        <f t="shared" si="53"/>
        <v/>
      </c>
      <c r="B3402" t="s">
        <v>1859</v>
      </c>
      <c r="C3402" t="s">
        <v>1859</v>
      </c>
      <c r="D3402">
        <v>0</v>
      </c>
      <c r="E3402">
        <v>0</v>
      </c>
      <c r="F3402" s="7"/>
    </row>
    <row r="3403" spans="1:6" x14ac:dyDescent="0.25">
      <c r="A3403" s="11">
        <f t="shared" si="53"/>
        <v>8503458</v>
      </c>
      <c r="B3403">
        <v>8503458</v>
      </c>
      <c r="C3403" t="s">
        <v>2581</v>
      </c>
      <c r="D3403">
        <v>0</v>
      </c>
      <c r="E3403">
        <v>0</v>
      </c>
      <c r="F3403" s="7"/>
    </row>
    <row r="3404" spans="1:6" x14ac:dyDescent="0.25">
      <c r="A3404" s="11">
        <f t="shared" si="53"/>
        <v>8503500</v>
      </c>
      <c r="B3404">
        <v>8503500</v>
      </c>
      <c r="C3404" t="s">
        <v>2582</v>
      </c>
      <c r="D3404">
        <v>0</v>
      </c>
      <c r="E3404">
        <v>1</v>
      </c>
      <c r="F3404" s="7"/>
    </row>
    <row r="3405" spans="1:6" x14ac:dyDescent="0.25">
      <c r="A3405" s="11">
        <f t="shared" si="53"/>
        <v>8503505</v>
      </c>
      <c r="B3405">
        <v>8503505</v>
      </c>
      <c r="C3405" t="s">
        <v>847</v>
      </c>
      <c r="D3405">
        <v>240.79</v>
      </c>
      <c r="E3405">
        <v>0</v>
      </c>
      <c r="F3405" s="7"/>
    </row>
    <row r="3406" spans="1:6" x14ac:dyDescent="0.25">
      <c r="A3406" s="11">
        <f t="shared" si="53"/>
        <v>8503600</v>
      </c>
      <c r="B3406">
        <v>8503600</v>
      </c>
      <c r="C3406" t="s">
        <v>829</v>
      </c>
      <c r="D3406">
        <v>1300</v>
      </c>
      <c r="E3406">
        <v>276</v>
      </c>
      <c r="F3406" s="7"/>
    </row>
    <row r="3407" spans="1:6" x14ac:dyDescent="0.25">
      <c r="A3407" s="11">
        <f t="shared" si="53"/>
        <v>8503638</v>
      </c>
      <c r="B3407">
        <v>8503638</v>
      </c>
      <c r="C3407" t="s">
        <v>1333</v>
      </c>
      <c r="D3407">
        <v>2800</v>
      </c>
      <c r="E3407">
        <v>0</v>
      </c>
      <c r="F3407" s="7"/>
    </row>
    <row r="3408" spans="1:6" x14ac:dyDescent="0.25">
      <c r="A3408" s="11">
        <f t="shared" si="53"/>
        <v>8503639</v>
      </c>
      <c r="B3408">
        <v>8503639</v>
      </c>
      <c r="C3408" t="s">
        <v>1332</v>
      </c>
      <c r="D3408">
        <v>2800</v>
      </c>
      <c r="E3408">
        <v>2</v>
      </c>
      <c r="F3408" s="7"/>
    </row>
    <row r="3409" spans="1:6" x14ac:dyDescent="0.25">
      <c r="A3409" s="11" t="str">
        <f t="shared" si="53"/>
        <v/>
      </c>
      <c r="B3409" t="s">
        <v>1859</v>
      </c>
      <c r="C3409" t="s">
        <v>1859</v>
      </c>
      <c r="D3409">
        <v>0</v>
      </c>
      <c r="E3409">
        <v>0</v>
      </c>
      <c r="F3409" s="7"/>
    </row>
    <row r="3410" spans="1:6" x14ac:dyDescent="0.25">
      <c r="A3410" s="11">
        <f t="shared" si="53"/>
        <v>8503712</v>
      </c>
      <c r="B3410">
        <v>8503712</v>
      </c>
      <c r="C3410" t="s">
        <v>2583</v>
      </c>
      <c r="D3410">
        <v>0</v>
      </c>
      <c r="E3410">
        <v>0</v>
      </c>
      <c r="F3410" s="7"/>
    </row>
    <row r="3411" spans="1:6" x14ac:dyDescent="0.25">
      <c r="A3411" s="11">
        <f t="shared" si="53"/>
        <v>8503716</v>
      </c>
      <c r="B3411">
        <v>8503716</v>
      </c>
      <c r="C3411" t="s">
        <v>1672</v>
      </c>
      <c r="D3411">
        <v>1222.99</v>
      </c>
      <c r="E3411">
        <v>0</v>
      </c>
      <c r="F3411" s="7"/>
    </row>
    <row r="3412" spans="1:6" x14ac:dyDescent="0.25">
      <c r="A3412" s="11">
        <f t="shared" si="53"/>
        <v>8503750</v>
      </c>
      <c r="B3412">
        <v>8503750</v>
      </c>
      <c r="C3412" t="s">
        <v>1337</v>
      </c>
      <c r="D3412">
        <v>2176.79</v>
      </c>
      <c r="E3412">
        <v>5</v>
      </c>
      <c r="F3412" s="7"/>
    </row>
    <row r="3413" spans="1:6" x14ac:dyDescent="0.25">
      <c r="A3413" s="11">
        <f t="shared" si="53"/>
        <v>8503760</v>
      </c>
      <c r="B3413">
        <v>8503760</v>
      </c>
      <c r="C3413" t="s">
        <v>1336</v>
      </c>
      <c r="D3413">
        <v>2176.79</v>
      </c>
      <c r="E3413">
        <v>6</v>
      </c>
      <c r="F3413" s="7"/>
    </row>
    <row r="3414" spans="1:6" x14ac:dyDescent="0.25">
      <c r="A3414" s="11" t="str">
        <f t="shared" si="53"/>
        <v/>
      </c>
      <c r="B3414" t="s">
        <v>1859</v>
      </c>
      <c r="C3414" t="s">
        <v>1859</v>
      </c>
      <c r="D3414">
        <v>0</v>
      </c>
      <c r="E3414">
        <v>0</v>
      </c>
      <c r="F3414" s="7"/>
    </row>
    <row r="3415" spans="1:6" x14ac:dyDescent="0.25">
      <c r="A3415" s="11">
        <f t="shared" si="53"/>
        <v>8503800</v>
      </c>
      <c r="B3415">
        <v>8503800</v>
      </c>
      <c r="C3415" t="s">
        <v>2584</v>
      </c>
      <c r="D3415">
        <v>0</v>
      </c>
      <c r="E3415">
        <v>0</v>
      </c>
      <c r="F3415" s="7"/>
    </row>
    <row r="3416" spans="1:6" x14ac:dyDescent="0.25">
      <c r="A3416" s="11">
        <f t="shared" si="53"/>
        <v>8503801</v>
      </c>
      <c r="B3416">
        <v>8503801</v>
      </c>
      <c r="C3416" t="s">
        <v>1673</v>
      </c>
      <c r="D3416">
        <v>979</v>
      </c>
      <c r="E3416">
        <v>0</v>
      </c>
      <c r="F3416" s="7"/>
    </row>
    <row r="3417" spans="1:6" x14ac:dyDescent="0.25">
      <c r="A3417" s="11">
        <f t="shared" si="53"/>
        <v>8503802</v>
      </c>
      <c r="B3417">
        <v>8503802</v>
      </c>
      <c r="C3417" t="s">
        <v>2585</v>
      </c>
      <c r="D3417">
        <v>0</v>
      </c>
      <c r="E3417">
        <v>0</v>
      </c>
      <c r="F3417" s="7"/>
    </row>
    <row r="3418" spans="1:6" x14ac:dyDescent="0.25">
      <c r="A3418" s="11">
        <f t="shared" si="53"/>
        <v>8503803</v>
      </c>
      <c r="B3418">
        <v>8503803</v>
      </c>
      <c r="C3418" t="s">
        <v>1674</v>
      </c>
      <c r="D3418">
        <v>1342</v>
      </c>
      <c r="E3418">
        <v>0</v>
      </c>
      <c r="F3418" s="7"/>
    </row>
    <row r="3419" spans="1:6" x14ac:dyDescent="0.25">
      <c r="A3419" s="11">
        <f t="shared" si="53"/>
        <v>8503804</v>
      </c>
      <c r="B3419">
        <v>8503804</v>
      </c>
      <c r="C3419" t="s">
        <v>2586</v>
      </c>
      <c r="D3419">
        <v>0</v>
      </c>
      <c r="E3419">
        <v>0</v>
      </c>
      <c r="F3419" s="7"/>
    </row>
    <row r="3420" spans="1:6" x14ac:dyDescent="0.25">
      <c r="A3420" s="11" t="str">
        <f t="shared" si="53"/>
        <v/>
      </c>
      <c r="B3420" t="s">
        <v>1859</v>
      </c>
      <c r="C3420" t="s">
        <v>1859</v>
      </c>
      <c r="D3420">
        <v>0</v>
      </c>
      <c r="E3420">
        <v>0</v>
      </c>
      <c r="F3420" s="7"/>
    </row>
    <row r="3421" spans="1:6" x14ac:dyDescent="0.25">
      <c r="A3421" s="11">
        <f t="shared" si="53"/>
        <v>8503808</v>
      </c>
      <c r="B3421">
        <v>8503808</v>
      </c>
      <c r="C3421" t="s">
        <v>2587</v>
      </c>
      <c r="D3421">
        <v>0</v>
      </c>
      <c r="E3421">
        <v>0</v>
      </c>
      <c r="F3421" s="7"/>
    </row>
    <row r="3422" spans="1:6" x14ac:dyDescent="0.25">
      <c r="A3422" s="11">
        <f t="shared" si="53"/>
        <v>8503820</v>
      </c>
      <c r="B3422">
        <v>8503820</v>
      </c>
      <c r="C3422" t="s">
        <v>1338</v>
      </c>
      <c r="D3422">
        <v>328.9</v>
      </c>
      <c r="E3422">
        <v>3</v>
      </c>
      <c r="F3422" s="7"/>
    </row>
    <row r="3423" spans="1:6" x14ac:dyDescent="0.25">
      <c r="A3423" s="11" t="str">
        <f t="shared" si="53"/>
        <v/>
      </c>
      <c r="B3423" t="s">
        <v>1859</v>
      </c>
      <c r="C3423" t="s">
        <v>1859</v>
      </c>
      <c r="D3423">
        <v>0</v>
      </c>
      <c r="E3423">
        <v>0</v>
      </c>
      <c r="F3423" s="7"/>
    </row>
    <row r="3424" spans="1:6" x14ac:dyDescent="0.25">
      <c r="A3424" s="11">
        <f t="shared" si="53"/>
        <v>8503821</v>
      </c>
      <c r="B3424">
        <v>8503821</v>
      </c>
      <c r="C3424" t="s">
        <v>2588</v>
      </c>
      <c r="D3424">
        <v>0</v>
      </c>
      <c r="E3424">
        <v>0</v>
      </c>
      <c r="F3424" s="7"/>
    </row>
    <row r="3425" spans="1:6" x14ac:dyDescent="0.25">
      <c r="A3425" s="11">
        <f t="shared" si="53"/>
        <v>8503822</v>
      </c>
      <c r="B3425">
        <v>8503822</v>
      </c>
      <c r="C3425" t="s">
        <v>12</v>
      </c>
      <c r="D3425">
        <v>2906.71</v>
      </c>
      <c r="E3425">
        <v>1</v>
      </c>
      <c r="F3425" s="7"/>
    </row>
    <row r="3426" spans="1:6" x14ac:dyDescent="0.25">
      <c r="A3426" s="11">
        <f t="shared" si="53"/>
        <v>8503823</v>
      </c>
      <c r="B3426">
        <v>8503823</v>
      </c>
      <c r="C3426" t="s">
        <v>10</v>
      </c>
      <c r="D3426">
        <v>2906.71</v>
      </c>
      <c r="E3426">
        <v>1</v>
      </c>
      <c r="F3426" s="7"/>
    </row>
    <row r="3427" spans="1:6" x14ac:dyDescent="0.25">
      <c r="A3427" s="11">
        <f t="shared" si="53"/>
        <v>8503824</v>
      </c>
      <c r="B3427">
        <v>8503824</v>
      </c>
      <c r="C3427" t="s">
        <v>11</v>
      </c>
      <c r="D3427">
        <v>2889.87</v>
      </c>
      <c r="E3427">
        <v>1</v>
      </c>
      <c r="F3427" s="7"/>
    </row>
    <row r="3428" spans="1:6" x14ac:dyDescent="0.25">
      <c r="A3428" s="11" t="str">
        <f t="shared" si="53"/>
        <v/>
      </c>
      <c r="B3428" t="s">
        <v>1859</v>
      </c>
      <c r="C3428" t="s">
        <v>1859</v>
      </c>
      <c r="D3428">
        <v>0</v>
      </c>
      <c r="E3428">
        <v>0</v>
      </c>
      <c r="F3428" s="7"/>
    </row>
    <row r="3429" spans="1:6" x14ac:dyDescent="0.25">
      <c r="A3429" s="11">
        <f t="shared" si="53"/>
        <v>8503825</v>
      </c>
      <c r="B3429">
        <v>8503825</v>
      </c>
      <c r="C3429" t="s">
        <v>2589</v>
      </c>
      <c r="D3429">
        <v>0</v>
      </c>
      <c r="E3429">
        <v>0</v>
      </c>
      <c r="F3429" s="7"/>
    </row>
    <row r="3430" spans="1:6" x14ac:dyDescent="0.25">
      <c r="A3430" s="11" t="str">
        <f t="shared" si="53"/>
        <v/>
      </c>
      <c r="B3430" t="s">
        <v>1859</v>
      </c>
      <c r="C3430" t="s">
        <v>1859</v>
      </c>
      <c r="D3430">
        <v>0</v>
      </c>
      <c r="E3430">
        <v>0</v>
      </c>
      <c r="F3430" s="7"/>
    </row>
    <row r="3431" spans="1:6" x14ac:dyDescent="0.25">
      <c r="A3431" s="11">
        <f t="shared" si="53"/>
        <v>8503826</v>
      </c>
      <c r="B3431">
        <v>8503826</v>
      </c>
      <c r="C3431" t="s">
        <v>2590</v>
      </c>
      <c r="D3431">
        <v>0</v>
      </c>
      <c r="E3431">
        <v>0</v>
      </c>
      <c r="F3431" s="7"/>
    </row>
    <row r="3432" spans="1:6" x14ac:dyDescent="0.25">
      <c r="A3432" s="11" t="str">
        <f t="shared" si="53"/>
        <v/>
      </c>
      <c r="B3432" t="s">
        <v>1859</v>
      </c>
      <c r="C3432" t="s">
        <v>1859</v>
      </c>
      <c r="D3432">
        <v>0</v>
      </c>
      <c r="E3432">
        <v>0</v>
      </c>
      <c r="F3432" s="7"/>
    </row>
    <row r="3433" spans="1:6" x14ac:dyDescent="0.25">
      <c r="A3433" s="11">
        <f t="shared" si="53"/>
        <v>8503827</v>
      </c>
      <c r="B3433">
        <v>8503827</v>
      </c>
      <c r="C3433" t="s">
        <v>2591</v>
      </c>
      <c r="D3433">
        <v>0</v>
      </c>
      <c r="E3433">
        <v>0</v>
      </c>
      <c r="F3433" s="7"/>
    </row>
    <row r="3434" spans="1:6" x14ac:dyDescent="0.25">
      <c r="A3434" s="11" t="str">
        <f t="shared" si="53"/>
        <v/>
      </c>
      <c r="B3434" t="s">
        <v>1859</v>
      </c>
      <c r="C3434" t="s">
        <v>1859</v>
      </c>
      <c r="D3434">
        <v>0</v>
      </c>
      <c r="E3434">
        <v>0</v>
      </c>
      <c r="F3434" s="7"/>
    </row>
    <row r="3435" spans="1:6" x14ac:dyDescent="0.25">
      <c r="A3435" s="11">
        <f t="shared" si="53"/>
        <v>8503828</v>
      </c>
      <c r="B3435">
        <v>8503828</v>
      </c>
      <c r="C3435" t="s">
        <v>2592</v>
      </c>
      <c r="D3435">
        <v>0</v>
      </c>
      <c r="E3435">
        <v>0</v>
      </c>
      <c r="F3435" s="7"/>
    </row>
    <row r="3436" spans="1:6" x14ac:dyDescent="0.25">
      <c r="A3436" s="11" t="str">
        <f t="shared" si="53"/>
        <v/>
      </c>
      <c r="B3436" t="s">
        <v>1859</v>
      </c>
      <c r="C3436" t="s">
        <v>1859</v>
      </c>
      <c r="D3436">
        <v>0</v>
      </c>
      <c r="E3436">
        <v>0</v>
      </c>
      <c r="F3436" s="7"/>
    </row>
    <row r="3437" spans="1:6" x14ac:dyDescent="0.25">
      <c r="A3437" s="11">
        <f t="shared" si="53"/>
        <v>8503829</v>
      </c>
      <c r="B3437">
        <v>8503829</v>
      </c>
      <c r="C3437" t="s">
        <v>2593</v>
      </c>
      <c r="D3437">
        <v>0</v>
      </c>
      <c r="E3437">
        <v>0</v>
      </c>
      <c r="F3437" s="7"/>
    </row>
    <row r="3438" spans="1:6" x14ac:dyDescent="0.25">
      <c r="A3438" s="11" t="str">
        <f t="shared" si="53"/>
        <v/>
      </c>
      <c r="B3438" t="s">
        <v>1859</v>
      </c>
      <c r="C3438" t="s">
        <v>1859</v>
      </c>
      <c r="D3438">
        <v>0</v>
      </c>
      <c r="E3438">
        <v>0</v>
      </c>
      <c r="F3438" s="7"/>
    </row>
    <row r="3439" spans="1:6" x14ac:dyDescent="0.25">
      <c r="A3439" s="11">
        <f t="shared" si="53"/>
        <v>8503830</v>
      </c>
      <c r="B3439">
        <v>8503830</v>
      </c>
      <c r="C3439" t="s">
        <v>2594</v>
      </c>
      <c r="D3439">
        <v>0</v>
      </c>
      <c r="E3439">
        <v>0</v>
      </c>
      <c r="F3439" s="7"/>
    </row>
    <row r="3440" spans="1:6" x14ac:dyDescent="0.25">
      <c r="A3440" s="11" t="str">
        <f t="shared" si="53"/>
        <v/>
      </c>
      <c r="B3440" t="s">
        <v>1859</v>
      </c>
      <c r="C3440" t="s">
        <v>1859</v>
      </c>
      <c r="D3440">
        <v>0</v>
      </c>
      <c r="E3440">
        <v>0</v>
      </c>
      <c r="F3440" s="7"/>
    </row>
    <row r="3441" spans="1:6" x14ac:dyDescent="0.25">
      <c r="A3441" s="11">
        <f t="shared" si="53"/>
        <v>8503831</v>
      </c>
      <c r="B3441">
        <v>8503831</v>
      </c>
      <c r="C3441" t="s">
        <v>2595</v>
      </c>
      <c r="D3441">
        <v>0</v>
      </c>
      <c r="E3441">
        <v>0</v>
      </c>
      <c r="F3441" s="7"/>
    </row>
    <row r="3442" spans="1:6" x14ac:dyDescent="0.25">
      <c r="A3442" s="11">
        <f t="shared" si="53"/>
        <v>8503832</v>
      </c>
      <c r="B3442">
        <v>8503832</v>
      </c>
      <c r="C3442" t="s">
        <v>1675</v>
      </c>
      <c r="D3442">
        <v>1988.32</v>
      </c>
      <c r="E3442">
        <v>1</v>
      </c>
      <c r="F3442" s="7"/>
    </row>
    <row r="3443" spans="1:6" x14ac:dyDescent="0.25">
      <c r="A3443" s="11" t="str">
        <f t="shared" si="53"/>
        <v/>
      </c>
      <c r="B3443" t="s">
        <v>1859</v>
      </c>
      <c r="C3443" t="s">
        <v>1859</v>
      </c>
      <c r="D3443">
        <v>0</v>
      </c>
      <c r="E3443">
        <v>0</v>
      </c>
      <c r="F3443" s="7"/>
    </row>
    <row r="3444" spans="1:6" x14ac:dyDescent="0.25">
      <c r="A3444" s="11">
        <f t="shared" si="53"/>
        <v>8503833</v>
      </c>
      <c r="B3444">
        <v>8503833</v>
      </c>
      <c r="C3444" t="s">
        <v>2596</v>
      </c>
      <c r="D3444">
        <v>0</v>
      </c>
      <c r="E3444">
        <v>0</v>
      </c>
      <c r="F3444" s="7"/>
    </row>
    <row r="3445" spans="1:6" x14ac:dyDescent="0.25">
      <c r="A3445" s="11" t="str">
        <f t="shared" si="53"/>
        <v/>
      </c>
      <c r="B3445" t="s">
        <v>1859</v>
      </c>
      <c r="C3445" t="s">
        <v>1859</v>
      </c>
      <c r="D3445">
        <v>0</v>
      </c>
      <c r="E3445">
        <v>0</v>
      </c>
      <c r="F3445" s="7"/>
    </row>
    <row r="3446" spans="1:6" x14ac:dyDescent="0.25">
      <c r="A3446" s="11">
        <f t="shared" si="53"/>
        <v>8503834</v>
      </c>
      <c r="B3446">
        <v>8503834</v>
      </c>
      <c r="C3446" t="s">
        <v>2597</v>
      </c>
      <c r="D3446">
        <v>0</v>
      </c>
      <c r="E3446">
        <v>0</v>
      </c>
      <c r="F3446" s="7"/>
    </row>
    <row r="3447" spans="1:6" x14ac:dyDescent="0.25">
      <c r="A3447" s="11" t="str">
        <f t="shared" si="53"/>
        <v/>
      </c>
      <c r="B3447" t="s">
        <v>1859</v>
      </c>
      <c r="C3447" t="s">
        <v>1859</v>
      </c>
      <c r="D3447">
        <v>0</v>
      </c>
      <c r="E3447">
        <v>0</v>
      </c>
      <c r="F3447" s="7"/>
    </row>
    <row r="3448" spans="1:6" x14ac:dyDescent="0.25">
      <c r="A3448" s="11">
        <f t="shared" si="53"/>
        <v>8503835</v>
      </c>
      <c r="B3448">
        <v>8503835</v>
      </c>
      <c r="C3448" t="s">
        <v>2598</v>
      </c>
      <c r="D3448">
        <v>0</v>
      </c>
      <c r="E3448">
        <v>0</v>
      </c>
      <c r="F3448" s="7"/>
    </row>
    <row r="3449" spans="1:6" x14ac:dyDescent="0.25">
      <c r="A3449" s="11" t="str">
        <f t="shared" si="53"/>
        <v/>
      </c>
      <c r="B3449" t="s">
        <v>1859</v>
      </c>
      <c r="C3449" t="s">
        <v>1859</v>
      </c>
      <c r="D3449">
        <v>0</v>
      </c>
      <c r="E3449">
        <v>0</v>
      </c>
      <c r="F3449" s="7"/>
    </row>
    <row r="3450" spans="1:6" x14ac:dyDescent="0.25">
      <c r="A3450" s="11">
        <f t="shared" si="53"/>
        <v>8503836</v>
      </c>
      <c r="B3450">
        <v>8503836</v>
      </c>
      <c r="C3450" t="s">
        <v>2599</v>
      </c>
      <c r="D3450">
        <v>0</v>
      </c>
      <c r="E3450">
        <v>0</v>
      </c>
      <c r="F3450" s="7"/>
    </row>
    <row r="3451" spans="1:6" x14ac:dyDescent="0.25">
      <c r="A3451" s="11" t="str">
        <f t="shared" si="53"/>
        <v/>
      </c>
      <c r="B3451" t="s">
        <v>1859</v>
      </c>
      <c r="C3451" t="s">
        <v>1859</v>
      </c>
      <c r="D3451">
        <v>0</v>
      </c>
      <c r="E3451">
        <v>0</v>
      </c>
      <c r="F3451" s="7"/>
    </row>
    <row r="3452" spans="1:6" x14ac:dyDescent="0.25">
      <c r="A3452" s="11">
        <f t="shared" si="53"/>
        <v>8503837</v>
      </c>
      <c r="B3452">
        <v>8503837</v>
      </c>
      <c r="C3452" t="s">
        <v>2600</v>
      </c>
      <c r="D3452">
        <v>0</v>
      </c>
      <c r="E3452">
        <v>0</v>
      </c>
      <c r="F3452" s="7"/>
    </row>
    <row r="3453" spans="1:6" x14ac:dyDescent="0.25">
      <c r="A3453" s="11" t="str">
        <f t="shared" si="53"/>
        <v/>
      </c>
      <c r="B3453" t="s">
        <v>1859</v>
      </c>
      <c r="C3453" t="s">
        <v>1859</v>
      </c>
      <c r="D3453">
        <v>0</v>
      </c>
      <c r="E3453">
        <v>0</v>
      </c>
      <c r="F3453" s="7"/>
    </row>
    <row r="3454" spans="1:6" x14ac:dyDescent="0.25">
      <c r="A3454" s="11">
        <f t="shared" si="53"/>
        <v>8503853</v>
      </c>
      <c r="B3454">
        <v>8503853</v>
      </c>
      <c r="C3454" t="s">
        <v>2601</v>
      </c>
      <c r="D3454">
        <v>0</v>
      </c>
      <c r="E3454">
        <v>0</v>
      </c>
      <c r="F3454" s="7"/>
    </row>
    <row r="3455" spans="1:6" x14ac:dyDescent="0.25">
      <c r="A3455" s="11" t="str">
        <f t="shared" si="53"/>
        <v/>
      </c>
      <c r="B3455" t="s">
        <v>1859</v>
      </c>
      <c r="C3455" t="s">
        <v>1859</v>
      </c>
      <c r="D3455">
        <v>0</v>
      </c>
      <c r="E3455">
        <v>0</v>
      </c>
      <c r="F3455" s="7"/>
    </row>
    <row r="3456" spans="1:6" x14ac:dyDescent="0.25">
      <c r="A3456" s="11">
        <f t="shared" si="53"/>
        <v>8503888</v>
      </c>
      <c r="B3456">
        <v>8503888</v>
      </c>
      <c r="C3456" t="s">
        <v>2602</v>
      </c>
      <c r="D3456">
        <v>0</v>
      </c>
      <c r="E3456">
        <v>0</v>
      </c>
      <c r="F3456" s="7"/>
    </row>
    <row r="3457" spans="1:6" x14ac:dyDescent="0.25">
      <c r="A3457" s="11">
        <f t="shared" si="53"/>
        <v>8503901</v>
      </c>
      <c r="B3457">
        <v>8503901</v>
      </c>
      <c r="C3457" t="s">
        <v>1397</v>
      </c>
      <c r="D3457">
        <v>2662</v>
      </c>
      <c r="E3457">
        <v>2</v>
      </c>
      <c r="F3457" s="7"/>
    </row>
    <row r="3458" spans="1:6" x14ac:dyDescent="0.25">
      <c r="A3458" s="11">
        <f t="shared" si="53"/>
        <v>8503983</v>
      </c>
      <c r="B3458">
        <v>8503983</v>
      </c>
      <c r="C3458" t="s">
        <v>1073</v>
      </c>
      <c r="D3458">
        <v>2099.9899999999998</v>
      </c>
      <c r="E3458">
        <v>0</v>
      </c>
      <c r="F3458" s="7"/>
    </row>
    <row r="3459" spans="1:6" x14ac:dyDescent="0.25">
      <c r="A3459" s="11">
        <f t="shared" si="53"/>
        <v>8503984</v>
      </c>
      <c r="B3459">
        <v>8503984</v>
      </c>
      <c r="C3459" t="s">
        <v>1071</v>
      </c>
      <c r="D3459">
        <v>2399.9899999999998</v>
      </c>
      <c r="E3459">
        <v>0</v>
      </c>
      <c r="F3459" s="7"/>
    </row>
    <row r="3460" spans="1:6" x14ac:dyDescent="0.25">
      <c r="A3460" s="11" t="str">
        <f t="shared" si="53"/>
        <v/>
      </c>
      <c r="B3460" t="s">
        <v>1859</v>
      </c>
      <c r="C3460" t="s">
        <v>1859</v>
      </c>
      <c r="D3460">
        <v>0</v>
      </c>
      <c r="E3460">
        <v>0</v>
      </c>
      <c r="F3460" s="7"/>
    </row>
    <row r="3461" spans="1:6" x14ac:dyDescent="0.25">
      <c r="A3461" s="11">
        <f t="shared" si="53"/>
        <v>8503999</v>
      </c>
      <c r="B3461">
        <v>8503999</v>
      </c>
      <c r="C3461" t="s">
        <v>2603</v>
      </c>
      <c r="D3461">
        <v>0</v>
      </c>
      <c r="E3461">
        <v>0</v>
      </c>
      <c r="F3461" s="7"/>
    </row>
    <row r="3462" spans="1:6" x14ac:dyDescent="0.25">
      <c r="A3462" s="11" t="str">
        <f t="shared" ref="A3462:A3525" si="54">IFERROR(B3462*1,"")</f>
        <v/>
      </c>
      <c r="B3462" t="s">
        <v>1859</v>
      </c>
      <c r="C3462" t="s">
        <v>1859</v>
      </c>
      <c r="D3462">
        <v>0</v>
      </c>
      <c r="E3462">
        <v>0</v>
      </c>
      <c r="F3462" s="7"/>
    </row>
    <row r="3463" spans="1:6" x14ac:dyDescent="0.25">
      <c r="A3463" s="11">
        <f t="shared" si="54"/>
        <v>8505000</v>
      </c>
      <c r="B3463">
        <v>8505000</v>
      </c>
      <c r="C3463" t="s">
        <v>2604</v>
      </c>
      <c r="D3463">
        <v>0</v>
      </c>
      <c r="E3463">
        <v>0</v>
      </c>
      <c r="F3463" s="7"/>
    </row>
    <row r="3464" spans="1:6" x14ac:dyDescent="0.25">
      <c r="A3464" s="11">
        <f t="shared" si="54"/>
        <v>8505001</v>
      </c>
      <c r="B3464">
        <v>8505001</v>
      </c>
      <c r="C3464" t="s">
        <v>1123</v>
      </c>
      <c r="D3464">
        <v>183.68</v>
      </c>
      <c r="E3464">
        <v>0</v>
      </c>
      <c r="F3464" s="7"/>
    </row>
    <row r="3465" spans="1:6" x14ac:dyDescent="0.25">
      <c r="A3465" s="11">
        <f t="shared" si="54"/>
        <v>8505002</v>
      </c>
      <c r="B3465">
        <v>8505002</v>
      </c>
      <c r="C3465" t="s">
        <v>1124</v>
      </c>
      <c r="D3465">
        <v>119.87</v>
      </c>
      <c r="E3465">
        <v>0</v>
      </c>
      <c r="F3465" s="7"/>
    </row>
    <row r="3466" spans="1:6" x14ac:dyDescent="0.25">
      <c r="A3466" s="11">
        <f t="shared" si="54"/>
        <v>8505003</v>
      </c>
      <c r="B3466">
        <v>8505003</v>
      </c>
      <c r="C3466" t="s">
        <v>22</v>
      </c>
      <c r="D3466">
        <v>122.44</v>
      </c>
      <c r="E3466">
        <v>10</v>
      </c>
      <c r="F3466" s="7"/>
    </row>
    <row r="3467" spans="1:6" x14ac:dyDescent="0.25">
      <c r="A3467" s="11" t="str">
        <f t="shared" si="54"/>
        <v/>
      </c>
      <c r="B3467" t="s">
        <v>1859</v>
      </c>
      <c r="C3467" t="s">
        <v>1859</v>
      </c>
      <c r="D3467">
        <v>0</v>
      </c>
      <c r="E3467">
        <v>0</v>
      </c>
      <c r="F3467" s="7"/>
    </row>
    <row r="3468" spans="1:6" x14ac:dyDescent="0.25">
      <c r="A3468" s="11">
        <f t="shared" si="54"/>
        <v>8505004</v>
      </c>
      <c r="B3468">
        <v>8505004</v>
      </c>
      <c r="C3468" t="s">
        <v>2605</v>
      </c>
      <c r="D3468">
        <v>0</v>
      </c>
      <c r="E3468">
        <v>0</v>
      </c>
      <c r="F3468" s="7"/>
    </row>
    <row r="3469" spans="1:6" x14ac:dyDescent="0.25">
      <c r="A3469" s="11" t="str">
        <f t="shared" si="54"/>
        <v/>
      </c>
      <c r="B3469" t="s">
        <v>1859</v>
      </c>
      <c r="C3469" t="s">
        <v>1859</v>
      </c>
      <c r="D3469">
        <v>0</v>
      </c>
      <c r="E3469">
        <v>0</v>
      </c>
      <c r="F3469" s="7"/>
    </row>
    <row r="3470" spans="1:6" x14ac:dyDescent="0.25">
      <c r="A3470" s="11">
        <f t="shared" si="54"/>
        <v>8505005</v>
      </c>
      <c r="B3470">
        <v>8505005</v>
      </c>
      <c r="C3470" t="s">
        <v>2606</v>
      </c>
      <c r="D3470">
        <v>0</v>
      </c>
      <c r="E3470">
        <v>0</v>
      </c>
      <c r="F3470" s="7"/>
    </row>
    <row r="3471" spans="1:6" x14ac:dyDescent="0.25">
      <c r="A3471" s="11">
        <f t="shared" si="54"/>
        <v>8505006</v>
      </c>
      <c r="B3471">
        <v>8505006</v>
      </c>
      <c r="C3471" t="s">
        <v>1676</v>
      </c>
      <c r="D3471">
        <v>111.77</v>
      </c>
      <c r="E3471">
        <v>0</v>
      </c>
      <c r="F3471" s="7"/>
    </row>
    <row r="3472" spans="1:6" x14ac:dyDescent="0.25">
      <c r="A3472" s="11" t="str">
        <f t="shared" si="54"/>
        <v/>
      </c>
      <c r="B3472" t="s">
        <v>1859</v>
      </c>
      <c r="C3472" t="s">
        <v>1859</v>
      </c>
      <c r="D3472">
        <v>0</v>
      </c>
      <c r="E3472">
        <v>0</v>
      </c>
      <c r="F3472" s="7"/>
    </row>
    <row r="3473" spans="1:6" x14ac:dyDescent="0.25">
      <c r="A3473" s="11">
        <f t="shared" si="54"/>
        <v>8505007</v>
      </c>
      <c r="B3473">
        <v>8505007</v>
      </c>
      <c r="C3473" t="s">
        <v>2607</v>
      </c>
      <c r="D3473">
        <v>0</v>
      </c>
      <c r="E3473">
        <v>0</v>
      </c>
      <c r="F3473" s="7"/>
    </row>
    <row r="3474" spans="1:6" x14ac:dyDescent="0.25">
      <c r="A3474" s="11" t="str">
        <f t="shared" si="54"/>
        <v/>
      </c>
      <c r="B3474" t="s">
        <v>1859</v>
      </c>
      <c r="C3474" t="s">
        <v>1859</v>
      </c>
      <c r="D3474">
        <v>0</v>
      </c>
      <c r="E3474">
        <v>0</v>
      </c>
      <c r="F3474" s="7"/>
    </row>
    <row r="3475" spans="1:6" x14ac:dyDescent="0.25">
      <c r="A3475" s="11">
        <f t="shared" si="54"/>
        <v>8505008</v>
      </c>
      <c r="B3475">
        <v>8505008</v>
      </c>
      <c r="C3475" t="s">
        <v>2608</v>
      </c>
      <c r="D3475">
        <v>0</v>
      </c>
      <c r="E3475">
        <v>0</v>
      </c>
      <c r="F3475" s="7"/>
    </row>
    <row r="3476" spans="1:6" x14ac:dyDescent="0.25">
      <c r="A3476" s="11" t="str">
        <f t="shared" si="54"/>
        <v/>
      </c>
      <c r="B3476" t="s">
        <v>1859</v>
      </c>
      <c r="C3476" t="s">
        <v>1859</v>
      </c>
      <c r="D3476">
        <v>0</v>
      </c>
      <c r="E3476">
        <v>0</v>
      </c>
      <c r="F3476" s="7"/>
    </row>
    <row r="3477" spans="1:6" x14ac:dyDescent="0.25">
      <c r="A3477" s="11">
        <f t="shared" si="54"/>
        <v>8505009</v>
      </c>
      <c r="B3477">
        <v>8505009</v>
      </c>
      <c r="C3477" t="s">
        <v>2609</v>
      </c>
      <c r="D3477">
        <v>0</v>
      </c>
      <c r="E3477">
        <v>0</v>
      </c>
      <c r="F3477" s="7"/>
    </row>
    <row r="3478" spans="1:6" x14ac:dyDescent="0.25">
      <c r="A3478" s="11" t="str">
        <f t="shared" si="54"/>
        <v/>
      </c>
      <c r="B3478" t="s">
        <v>1859</v>
      </c>
      <c r="C3478" t="s">
        <v>1859</v>
      </c>
      <c r="D3478">
        <v>0</v>
      </c>
      <c r="E3478">
        <v>0</v>
      </c>
      <c r="F3478" s="7"/>
    </row>
    <row r="3479" spans="1:6" x14ac:dyDescent="0.25">
      <c r="A3479" s="11">
        <f t="shared" si="54"/>
        <v>8505010</v>
      </c>
      <c r="B3479">
        <v>8505010</v>
      </c>
      <c r="C3479" t="s">
        <v>2610</v>
      </c>
      <c r="D3479">
        <v>0</v>
      </c>
      <c r="E3479">
        <v>0</v>
      </c>
      <c r="F3479" s="7"/>
    </row>
    <row r="3480" spans="1:6" x14ac:dyDescent="0.25">
      <c r="A3480" s="11" t="str">
        <f t="shared" si="54"/>
        <v/>
      </c>
      <c r="B3480" t="s">
        <v>1859</v>
      </c>
      <c r="C3480" t="s">
        <v>1859</v>
      </c>
      <c r="D3480">
        <v>0</v>
      </c>
      <c r="E3480">
        <v>0</v>
      </c>
      <c r="F3480" s="7"/>
    </row>
    <row r="3481" spans="1:6" x14ac:dyDescent="0.25">
      <c r="A3481" s="11">
        <f t="shared" si="54"/>
        <v>8505011</v>
      </c>
      <c r="B3481">
        <v>8505011</v>
      </c>
      <c r="C3481" t="s">
        <v>2611</v>
      </c>
      <c r="D3481">
        <v>0</v>
      </c>
      <c r="E3481">
        <v>0</v>
      </c>
      <c r="F3481" s="7"/>
    </row>
    <row r="3482" spans="1:6" x14ac:dyDescent="0.25">
      <c r="A3482" s="11">
        <f t="shared" si="54"/>
        <v>8505012</v>
      </c>
      <c r="B3482">
        <v>8505012</v>
      </c>
      <c r="C3482" t="s">
        <v>1677</v>
      </c>
      <c r="D3482">
        <v>188.56</v>
      </c>
      <c r="E3482">
        <v>0</v>
      </c>
      <c r="F3482" s="7"/>
    </row>
    <row r="3483" spans="1:6" x14ac:dyDescent="0.25">
      <c r="A3483" s="11" t="str">
        <f t="shared" si="54"/>
        <v/>
      </c>
      <c r="B3483" t="s">
        <v>1859</v>
      </c>
      <c r="C3483" t="s">
        <v>1859</v>
      </c>
      <c r="D3483">
        <v>0</v>
      </c>
      <c r="E3483">
        <v>0</v>
      </c>
      <c r="F3483" s="7"/>
    </row>
    <row r="3484" spans="1:6" x14ac:dyDescent="0.25">
      <c r="A3484" s="11">
        <f t="shared" si="54"/>
        <v>8505013</v>
      </c>
      <c r="B3484">
        <v>8505013</v>
      </c>
      <c r="C3484" t="s">
        <v>2612</v>
      </c>
      <c r="D3484">
        <v>0</v>
      </c>
      <c r="E3484">
        <v>0</v>
      </c>
      <c r="F3484" s="7"/>
    </row>
    <row r="3485" spans="1:6" x14ac:dyDescent="0.25">
      <c r="A3485" s="11">
        <f t="shared" si="54"/>
        <v>8505014</v>
      </c>
      <c r="B3485">
        <v>8505014</v>
      </c>
      <c r="C3485" t="s">
        <v>1148</v>
      </c>
      <c r="D3485">
        <v>110</v>
      </c>
      <c r="E3485">
        <v>191</v>
      </c>
      <c r="F3485" s="7"/>
    </row>
    <row r="3486" spans="1:6" x14ac:dyDescent="0.25">
      <c r="A3486" s="11">
        <f t="shared" si="54"/>
        <v>8505015</v>
      </c>
      <c r="B3486">
        <v>8505015</v>
      </c>
      <c r="C3486" t="s">
        <v>2613</v>
      </c>
      <c r="D3486">
        <v>30.61</v>
      </c>
      <c r="E3486">
        <v>0</v>
      </c>
      <c r="F3486" s="7"/>
    </row>
    <row r="3487" spans="1:6" x14ac:dyDescent="0.25">
      <c r="A3487" s="11">
        <f t="shared" si="54"/>
        <v>8505016</v>
      </c>
      <c r="B3487">
        <v>8505016</v>
      </c>
      <c r="C3487" t="s">
        <v>701</v>
      </c>
      <c r="D3487">
        <v>110</v>
      </c>
      <c r="E3487">
        <v>28</v>
      </c>
      <c r="F3487" s="7"/>
    </row>
    <row r="3488" spans="1:6" x14ac:dyDescent="0.25">
      <c r="A3488" s="11">
        <f t="shared" si="54"/>
        <v>8505017</v>
      </c>
      <c r="B3488">
        <v>8505017</v>
      </c>
      <c r="C3488" t="s">
        <v>700</v>
      </c>
      <c r="D3488">
        <v>30.61</v>
      </c>
      <c r="E3488">
        <v>0</v>
      </c>
      <c r="F3488" s="7"/>
    </row>
    <row r="3489" spans="1:6" x14ac:dyDescent="0.25">
      <c r="A3489" s="11" t="str">
        <f t="shared" si="54"/>
        <v/>
      </c>
      <c r="B3489" t="s">
        <v>1859</v>
      </c>
      <c r="C3489" t="s">
        <v>1859</v>
      </c>
      <c r="D3489">
        <v>0</v>
      </c>
      <c r="E3489">
        <v>0</v>
      </c>
      <c r="F3489" s="7"/>
    </row>
    <row r="3490" spans="1:6" x14ac:dyDescent="0.25">
      <c r="A3490" s="11">
        <f t="shared" si="54"/>
        <v>8505018</v>
      </c>
      <c r="B3490">
        <v>8505018</v>
      </c>
      <c r="C3490" t="s">
        <v>2614</v>
      </c>
      <c r="D3490">
        <v>0</v>
      </c>
      <c r="E3490">
        <v>0</v>
      </c>
      <c r="F3490" s="7"/>
    </row>
    <row r="3491" spans="1:6" x14ac:dyDescent="0.25">
      <c r="A3491" s="11">
        <f t="shared" si="54"/>
        <v>8505019</v>
      </c>
      <c r="B3491">
        <v>8505019</v>
      </c>
      <c r="C3491" t="s">
        <v>699</v>
      </c>
      <c r="D3491">
        <v>30.61</v>
      </c>
      <c r="E3491">
        <v>0</v>
      </c>
      <c r="F3491" s="7"/>
    </row>
    <row r="3492" spans="1:6" x14ac:dyDescent="0.25">
      <c r="A3492" s="11" t="str">
        <f t="shared" si="54"/>
        <v/>
      </c>
      <c r="B3492" t="s">
        <v>1859</v>
      </c>
      <c r="C3492" t="s">
        <v>1859</v>
      </c>
      <c r="D3492">
        <v>0</v>
      </c>
      <c r="E3492">
        <v>0</v>
      </c>
      <c r="F3492" s="7"/>
    </row>
    <row r="3493" spans="1:6" x14ac:dyDescent="0.25">
      <c r="A3493" s="11">
        <f t="shared" si="54"/>
        <v>8505020</v>
      </c>
      <c r="B3493">
        <v>8505020</v>
      </c>
      <c r="C3493" t="s">
        <v>2615</v>
      </c>
      <c r="D3493">
        <v>0</v>
      </c>
      <c r="E3493">
        <v>0</v>
      </c>
      <c r="F3493" s="7"/>
    </row>
    <row r="3494" spans="1:6" x14ac:dyDescent="0.25">
      <c r="A3494" s="11">
        <f t="shared" si="54"/>
        <v>8505021</v>
      </c>
      <c r="B3494">
        <v>8505021</v>
      </c>
      <c r="C3494" t="s">
        <v>1118</v>
      </c>
      <c r="D3494">
        <v>157.29</v>
      </c>
      <c r="E3494">
        <v>33</v>
      </c>
      <c r="F3494" s="7"/>
    </row>
    <row r="3495" spans="1:6" x14ac:dyDescent="0.25">
      <c r="A3495" s="11">
        <f t="shared" si="54"/>
        <v>8505022</v>
      </c>
      <c r="B3495">
        <v>8505022</v>
      </c>
      <c r="C3495" t="s">
        <v>1678</v>
      </c>
      <c r="D3495">
        <v>119.87</v>
      </c>
      <c r="E3495">
        <v>16</v>
      </c>
      <c r="F3495" s="7"/>
    </row>
    <row r="3496" spans="1:6" x14ac:dyDescent="0.25">
      <c r="A3496" s="11">
        <f t="shared" si="54"/>
        <v>850502201</v>
      </c>
      <c r="B3496">
        <v>850502201</v>
      </c>
      <c r="C3496" t="s">
        <v>2616</v>
      </c>
      <c r="D3496">
        <v>436.79</v>
      </c>
      <c r="E3496">
        <v>0</v>
      </c>
      <c r="F3496" s="7"/>
    </row>
    <row r="3497" spans="1:6" x14ac:dyDescent="0.25">
      <c r="A3497" s="11">
        <f t="shared" si="54"/>
        <v>8505023</v>
      </c>
      <c r="B3497">
        <v>8505023</v>
      </c>
      <c r="C3497" t="s">
        <v>1117</v>
      </c>
      <c r="D3497">
        <v>122.44</v>
      </c>
      <c r="E3497">
        <v>5</v>
      </c>
      <c r="F3497" s="7"/>
    </row>
    <row r="3498" spans="1:6" x14ac:dyDescent="0.25">
      <c r="A3498" s="11">
        <f t="shared" si="54"/>
        <v>850502302</v>
      </c>
      <c r="B3498">
        <v>850502302</v>
      </c>
      <c r="C3498" t="s">
        <v>2617</v>
      </c>
      <c r="D3498">
        <v>545.99</v>
      </c>
      <c r="E3498">
        <v>0</v>
      </c>
      <c r="F3498" s="7"/>
    </row>
    <row r="3499" spans="1:6" x14ac:dyDescent="0.25">
      <c r="A3499" s="11">
        <f t="shared" si="54"/>
        <v>8505024</v>
      </c>
      <c r="B3499">
        <v>8505024</v>
      </c>
      <c r="C3499" t="s">
        <v>1679</v>
      </c>
      <c r="D3499">
        <v>119.87</v>
      </c>
      <c r="E3499">
        <v>21</v>
      </c>
      <c r="F3499" s="7"/>
    </row>
    <row r="3500" spans="1:6" x14ac:dyDescent="0.25">
      <c r="A3500" s="11">
        <f t="shared" si="54"/>
        <v>850502403</v>
      </c>
      <c r="B3500">
        <v>850502403</v>
      </c>
      <c r="C3500" t="s">
        <v>2618</v>
      </c>
      <c r="D3500">
        <v>709.79</v>
      </c>
      <c r="E3500">
        <v>0</v>
      </c>
      <c r="F3500" s="7"/>
    </row>
    <row r="3501" spans="1:6" x14ac:dyDescent="0.25">
      <c r="A3501" s="11" t="str">
        <f t="shared" si="54"/>
        <v/>
      </c>
      <c r="B3501" t="s">
        <v>1859</v>
      </c>
      <c r="C3501" t="s">
        <v>1859</v>
      </c>
      <c r="D3501">
        <v>0</v>
      </c>
      <c r="E3501">
        <v>0</v>
      </c>
      <c r="F3501" s="7"/>
    </row>
    <row r="3502" spans="1:6" x14ac:dyDescent="0.25">
      <c r="A3502" s="11">
        <f t="shared" si="54"/>
        <v>8505025</v>
      </c>
      <c r="B3502">
        <v>8505025</v>
      </c>
      <c r="C3502" t="s">
        <v>2619</v>
      </c>
      <c r="D3502">
        <v>0</v>
      </c>
      <c r="E3502">
        <v>0</v>
      </c>
      <c r="F3502" s="7"/>
    </row>
    <row r="3503" spans="1:6" x14ac:dyDescent="0.25">
      <c r="A3503" s="11">
        <f t="shared" si="54"/>
        <v>8505026</v>
      </c>
      <c r="B3503">
        <v>8505026</v>
      </c>
      <c r="C3503" t="s">
        <v>1145</v>
      </c>
      <c r="D3503">
        <v>112.68</v>
      </c>
      <c r="E3503">
        <v>0</v>
      </c>
      <c r="F3503" s="7"/>
    </row>
    <row r="3504" spans="1:6" x14ac:dyDescent="0.25">
      <c r="A3504" s="11" t="str">
        <f t="shared" si="54"/>
        <v/>
      </c>
      <c r="B3504" t="s">
        <v>1859</v>
      </c>
      <c r="C3504" t="s">
        <v>1859</v>
      </c>
      <c r="D3504">
        <v>0</v>
      </c>
      <c r="E3504">
        <v>0</v>
      </c>
      <c r="F3504" s="7"/>
    </row>
    <row r="3505" spans="1:6" x14ac:dyDescent="0.25">
      <c r="A3505" s="11">
        <f t="shared" si="54"/>
        <v>8505027</v>
      </c>
      <c r="B3505">
        <v>8505027</v>
      </c>
      <c r="C3505" t="s">
        <v>2620</v>
      </c>
      <c r="D3505">
        <v>0</v>
      </c>
      <c r="E3505">
        <v>0</v>
      </c>
      <c r="F3505" s="7"/>
    </row>
    <row r="3506" spans="1:6" x14ac:dyDescent="0.25">
      <c r="A3506" s="11">
        <f t="shared" si="54"/>
        <v>8505028</v>
      </c>
      <c r="B3506">
        <v>8505028</v>
      </c>
      <c r="C3506" t="s">
        <v>1110</v>
      </c>
      <c r="D3506">
        <v>2399.9899999999998</v>
      </c>
      <c r="E3506">
        <v>0</v>
      </c>
      <c r="F3506" s="7"/>
    </row>
    <row r="3507" spans="1:6" x14ac:dyDescent="0.25">
      <c r="A3507" s="11">
        <f t="shared" si="54"/>
        <v>8505029</v>
      </c>
      <c r="B3507">
        <v>8505029</v>
      </c>
      <c r="C3507" t="s">
        <v>1112</v>
      </c>
      <c r="D3507">
        <v>1999.99</v>
      </c>
      <c r="E3507">
        <v>0</v>
      </c>
      <c r="F3507" s="7"/>
    </row>
    <row r="3508" spans="1:6" x14ac:dyDescent="0.25">
      <c r="A3508" s="11">
        <f t="shared" si="54"/>
        <v>8505030</v>
      </c>
      <c r="B3508">
        <v>8505030</v>
      </c>
      <c r="C3508" t="s">
        <v>1111</v>
      </c>
      <c r="D3508">
        <v>1499.99</v>
      </c>
      <c r="E3508">
        <v>0</v>
      </c>
      <c r="F3508" s="7"/>
    </row>
    <row r="3509" spans="1:6" x14ac:dyDescent="0.25">
      <c r="A3509" s="11">
        <f t="shared" si="54"/>
        <v>8505031</v>
      </c>
      <c r="B3509">
        <v>8505031</v>
      </c>
      <c r="C3509" t="s">
        <v>1119</v>
      </c>
      <c r="D3509">
        <v>119.87</v>
      </c>
      <c r="E3509">
        <v>0</v>
      </c>
      <c r="F3509" s="7"/>
    </row>
    <row r="3510" spans="1:6" x14ac:dyDescent="0.25">
      <c r="A3510" s="11">
        <f t="shared" si="54"/>
        <v>8505032</v>
      </c>
      <c r="B3510">
        <v>8505032</v>
      </c>
      <c r="C3510" t="s">
        <v>1680</v>
      </c>
      <c r="D3510">
        <v>119.87</v>
      </c>
      <c r="E3510">
        <v>0</v>
      </c>
      <c r="F3510" s="7"/>
    </row>
    <row r="3511" spans="1:6" x14ac:dyDescent="0.25">
      <c r="A3511" s="11">
        <f t="shared" si="54"/>
        <v>8505033</v>
      </c>
      <c r="B3511">
        <v>8505033</v>
      </c>
      <c r="C3511" t="s">
        <v>1094</v>
      </c>
      <c r="D3511">
        <v>229.58</v>
      </c>
      <c r="E3511">
        <v>0</v>
      </c>
      <c r="F3511" s="7"/>
    </row>
    <row r="3512" spans="1:6" x14ac:dyDescent="0.25">
      <c r="A3512" s="11">
        <f t="shared" si="54"/>
        <v>8505063</v>
      </c>
      <c r="B3512">
        <v>8505063</v>
      </c>
      <c r="C3512" t="s">
        <v>2621</v>
      </c>
      <c r="D3512">
        <v>149.08000000000001</v>
      </c>
      <c r="E3512">
        <v>0</v>
      </c>
      <c r="F3512" s="7"/>
    </row>
    <row r="3513" spans="1:6" x14ac:dyDescent="0.25">
      <c r="A3513" s="11" t="str">
        <f t="shared" si="54"/>
        <v/>
      </c>
      <c r="B3513" t="s">
        <v>1859</v>
      </c>
      <c r="C3513" t="s">
        <v>1859</v>
      </c>
      <c r="D3513">
        <v>0</v>
      </c>
      <c r="E3513">
        <v>0</v>
      </c>
      <c r="F3513" s="7"/>
    </row>
    <row r="3514" spans="1:6" x14ac:dyDescent="0.25">
      <c r="A3514" s="11">
        <f t="shared" si="54"/>
        <v>8505068</v>
      </c>
      <c r="B3514">
        <v>8505068</v>
      </c>
      <c r="C3514" t="s">
        <v>2622</v>
      </c>
      <c r="D3514">
        <v>0</v>
      </c>
      <c r="E3514">
        <v>0</v>
      </c>
      <c r="F3514" s="7"/>
    </row>
    <row r="3515" spans="1:6" x14ac:dyDescent="0.25">
      <c r="A3515" s="11" t="str">
        <f t="shared" si="54"/>
        <v/>
      </c>
      <c r="B3515" t="s">
        <v>1859</v>
      </c>
      <c r="C3515" t="s">
        <v>1859</v>
      </c>
      <c r="D3515">
        <v>0</v>
      </c>
      <c r="E3515">
        <v>0</v>
      </c>
      <c r="F3515" s="7"/>
    </row>
    <row r="3516" spans="1:6" x14ac:dyDescent="0.25">
      <c r="A3516" s="11">
        <f t="shared" si="54"/>
        <v>8505069</v>
      </c>
      <c r="B3516">
        <v>8505069</v>
      </c>
      <c r="C3516" t="s">
        <v>2623</v>
      </c>
      <c r="D3516">
        <v>0</v>
      </c>
      <c r="E3516">
        <v>0</v>
      </c>
      <c r="F3516" s="7"/>
    </row>
    <row r="3517" spans="1:6" x14ac:dyDescent="0.25">
      <c r="A3517" s="11">
        <f t="shared" si="54"/>
        <v>8505070</v>
      </c>
      <c r="B3517">
        <v>8505070</v>
      </c>
      <c r="C3517" t="s">
        <v>1681</v>
      </c>
      <c r="D3517">
        <v>190</v>
      </c>
      <c r="E3517">
        <v>24</v>
      </c>
      <c r="F3517" s="7"/>
    </row>
    <row r="3518" spans="1:6" x14ac:dyDescent="0.25">
      <c r="A3518" s="11" t="str">
        <f t="shared" si="54"/>
        <v/>
      </c>
      <c r="B3518" t="s">
        <v>1859</v>
      </c>
      <c r="C3518" t="s">
        <v>1859</v>
      </c>
      <c r="D3518">
        <v>0</v>
      </c>
      <c r="E3518">
        <v>0</v>
      </c>
      <c r="F3518" s="7"/>
    </row>
    <row r="3519" spans="1:6" x14ac:dyDescent="0.25">
      <c r="A3519" s="11">
        <f t="shared" si="54"/>
        <v>8505071</v>
      </c>
      <c r="B3519">
        <v>8505071</v>
      </c>
      <c r="C3519" t="s">
        <v>2624</v>
      </c>
      <c r="D3519">
        <v>0</v>
      </c>
      <c r="E3519">
        <v>0</v>
      </c>
      <c r="F3519" s="7"/>
    </row>
    <row r="3520" spans="1:6" x14ac:dyDescent="0.25">
      <c r="A3520" s="11" t="str">
        <f t="shared" si="54"/>
        <v/>
      </c>
      <c r="B3520" t="s">
        <v>1859</v>
      </c>
      <c r="C3520" t="s">
        <v>1859</v>
      </c>
      <c r="D3520">
        <v>0</v>
      </c>
      <c r="E3520">
        <v>0</v>
      </c>
      <c r="F3520" s="7"/>
    </row>
    <row r="3521" spans="1:6" x14ac:dyDescent="0.25">
      <c r="A3521" s="11">
        <f t="shared" si="54"/>
        <v>8505072</v>
      </c>
      <c r="B3521">
        <v>8505072</v>
      </c>
      <c r="C3521" t="s">
        <v>2625</v>
      </c>
      <c r="D3521">
        <v>0</v>
      </c>
      <c r="E3521">
        <v>0</v>
      </c>
      <c r="F3521" s="7"/>
    </row>
    <row r="3522" spans="1:6" x14ac:dyDescent="0.25">
      <c r="A3522" s="11" t="str">
        <f t="shared" si="54"/>
        <v/>
      </c>
      <c r="B3522" t="s">
        <v>1859</v>
      </c>
      <c r="C3522" t="s">
        <v>1859</v>
      </c>
      <c r="D3522">
        <v>0</v>
      </c>
      <c r="E3522">
        <v>0</v>
      </c>
      <c r="F3522" s="7"/>
    </row>
    <row r="3523" spans="1:6" x14ac:dyDescent="0.25">
      <c r="A3523" s="11">
        <f t="shared" si="54"/>
        <v>8505073</v>
      </c>
      <c r="B3523">
        <v>8505073</v>
      </c>
      <c r="C3523" t="s">
        <v>2626</v>
      </c>
      <c r="D3523">
        <v>0</v>
      </c>
      <c r="E3523">
        <v>0</v>
      </c>
      <c r="F3523" s="7"/>
    </row>
    <row r="3524" spans="1:6" x14ac:dyDescent="0.25">
      <c r="A3524" s="11">
        <f t="shared" si="54"/>
        <v>8505074</v>
      </c>
      <c r="B3524">
        <v>8505074</v>
      </c>
      <c r="C3524" t="s">
        <v>1442</v>
      </c>
      <c r="D3524">
        <v>160</v>
      </c>
      <c r="E3524">
        <v>0</v>
      </c>
      <c r="F3524" s="7"/>
    </row>
    <row r="3525" spans="1:6" x14ac:dyDescent="0.25">
      <c r="A3525" s="11">
        <f t="shared" si="54"/>
        <v>8505075</v>
      </c>
      <c r="B3525">
        <v>8505075</v>
      </c>
      <c r="C3525" t="s">
        <v>1061</v>
      </c>
      <c r="D3525">
        <v>75.11</v>
      </c>
      <c r="E3525">
        <v>4</v>
      </c>
      <c r="F3525" s="7"/>
    </row>
    <row r="3526" spans="1:6" x14ac:dyDescent="0.25">
      <c r="A3526" s="11" t="str">
        <f t="shared" ref="A3526:A3589" si="55">IFERROR(B3526*1,"")</f>
        <v/>
      </c>
      <c r="B3526" t="s">
        <v>1859</v>
      </c>
      <c r="C3526" t="s">
        <v>1859</v>
      </c>
      <c r="D3526">
        <v>0</v>
      </c>
      <c r="E3526">
        <v>0</v>
      </c>
      <c r="F3526" s="7"/>
    </row>
    <row r="3527" spans="1:6" x14ac:dyDescent="0.25">
      <c r="A3527" s="11">
        <f t="shared" si="55"/>
        <v>8505076</v>
      </c>
      <c r="B3527">
        <v>8505076</v>
      </c>
      <c r="C3527" t="s">
        <v>2627</v>
      </c>
      <c r="D3527">
        <v>0</v>
      </c>
      <c r="E3527">
        <v>0</v>
      </c>
      <c r="F3527" s="7"/>
    </row>
    <row r="3528" spans="1:6" x14ac:dyDescent="0.25">
      <c r="A3528" s="11">
        <f t="shared" si="55"/>
        <v>8505100</v>
      </c>
      <c r="B3528">
        <v>8505100</v>
      </c>
      <c r="C3528" t="s">
        <v>2628</v>
      </c>
      <c r="D3528">
        <v>10</v>
      </c>
      <c r="E3528">
        <v>870</v>
      </c>
      <c r="F3528" s="7"/>
    </row>
    <row r="3529" spans="1:6" x14ac:dyDescent="0.25">
      <c r="A3529" s="11">
        <f t="shared" si="55"/>
        <v>850510012</v>
      </c>
      <c r="B3529">
        <v>850510012</v>
      </c>
      <c r="C3529" t="s">
        <v>498</v>
      </c>
      <c r="D3529">
        <v>459.8</v>
      </c>
      <c r="E3529">
        <v>0</v>
      </c>
      <c r="F3529" s="7"/>
    </row>
    <row r="3530" spans="1:6" x14ac:dyDescent="0.25">
      <c r="A3530" s="11">
        <f t="shared" si="55"/>
        <v>8505101</v>
      </c>
      <c r="B3530">
        <v>8505101</v>
      </c>
      <c r="C3530" t="s">
        <v>1113</v>
      </c>
      <c r="D3530">
        <v>150.27000000000001</v>
      </c>
      <c r="E3530">
        <v>108</v>
      </c>
      <c r="F3530" s="7"/>
    </row>
    <row r="3531" spans="1:6" x14ac:dyDescent="0.25">
      <c r="A3531" s="11">
        <f t="shared" si="55"/>
        <v>8505109</v>
      </c>
      <c r="B3531">
        <v>8505109</v>
      </c>
      <c r="C3531" t="s">
        <v>1114</v>
      </c>
      <c r="D3531">
        <v>150.27000000000001</v>
      </c>
      <c r="E3531">
        <v>0</v>
      </c>
      <c r="F3531" s="7"/>
    </row>
    <row r="3532" spans="1:6" x14ac:dyDescent="0.25">
      <c r="A3532" s="11" t="str">
        <f t="shared" si="55"/>
        <v/>
      </c>
      <c r="B3532" t="s">
        <v>1859</v>
      </c>
      <c r="C3532" t="s">
        <v>1859</v>
      </c>
      <c r="D3532">
        <v>0</v>
      </c>
      <c r="E3532">
        <v>0</v>
      </c>
      <c r="F3532" s="7"/>
    </row>
    <row r="3533" spans="1:6" x14ac:dyDescent="0.25">
      <c r="A3533" s="11">
        <f t="shared" si="55"/>
        <v>8505110</v>
      </c>
      <c r="B3533">
        <v>8505110</v>
      </c>
      <c r="C3533" t="s">
        <v>2629</v>
      </c>
      <c r="D3533">
        <v>0</v>
      </c>
      <c r="E3533">
        <v>0</v>
      </c>
      <c r="F3533" s="7"/>
    </row>
    <row r="3534" spans="1:6" x14ac:dyDescent="0.25">
      <c r="A3534" s="11">
        <f t="shared" si="55"/>
        <v>8505111</v>
      </c>
      <c r="B3534">
        <v>8505111</v>
      </c>
      <c r="C3534" t="s">
        <v>2630</v>
      </c>
      <c r="D3534">
        <v>0</v>
      </c>
      <c r="E3534">
        <v>0</v>
      </c>
      <c r="F3534" s="7"/>
    </row>
    <row r="3535" spans="1:6" x14ac:dyDescent="0.25">
      <c r="A3535" s="11" t="str">
        <f t="shared" si="55"/>
        <v/>
      </c>
      <c r="B3535" t="s">
        <v>1859</v>
      </c>
      <c r="C3535" t="s">
        <v>1859</v>
      </c>
      <c r="D3535">
        <v>0</v>
      </c>
      <c r="E3535">
        <v>0</v>
      </c>
      <c r="F3535" s="7"/>
    </row>
    <row r="3536" spans="1:6" x14ac:dyDescent="0.25">
      <c r="A3536" s="11">
        <f t="shared" si="55"/>
        <v>8505118</v>
      </c>
      <c r="B3536">
        <v>8505118</v>
      </c>
      <c r="C3536" t="s">
        <v>2631</v>
      </c>
      <c r="D3536">
        <v>0</v>
      </c>
      <c r="E3536">
        <v>0</v>
      </c>
      <c r="F3536" s="7"/>
    </row>
    <row r="3537" spans="1:6" x14ac:dyDescent="0.25">
      <c r="A3537" s="11">
        <f t="shared" si="55"/>
        <v>8505120</v>
      </c>
      <c r="B3537">
        <v>8505120</v>
      </c>
      <c r="C3537" t="s">
        <v>1127</v>
      </c>
      <c r="D3537">
        <v>91.83</v>
      </c>
      <c r="E3537">
        <v>24</v>
      </c>
      <c r="F3537" s="7"/>
    </row>
    <row r="3538" spans="1:6" x14ac:dyDescent="0.25">
      <c r="A3538" s="11">
        <f t="shared" si="55"/>
        <v>8505121</v>
      </c>
      <c r="B3538">
        <v>8505121</v>
      </c>
      <c r="C3538" t="s">
        <v>1682</v>
      </c>
      <c r="D3538">
        <v>153.05000000000001</v>
      </c>
      <c r="E3538">
        <v>70</v>
      </c>
      <c r="F3538" s="7"/>
    </row>
    <row r="3539" spans="1:6" x14ac:dyDescent="0.25">
      <c r="A3539" s="11">
        <f t="shared" si="55"/>
        <v>8505122</v>
      </c>
      <c r="B3539">
        <v>8505122</v>
      </c>
      <c r="C3539" t="s">
        <v>1683</v>
      </c>
      <c r="D3539">
        <v>153.05000000000001</v>
      </c>
      <c r="E3539">
        <v>40</v>
      </c>
      <c r="F3539" s="7"/>
    </row>
    <row r="3540" spans="1:6" x14ac:dyDescent="0.25">
      <c r="A3540" s="11">
        <f t="shared" si="55"/>
        <v>8505123</v>
      </c>
      <c r="B3540">
        <v>8505123</v>
      </c>
      <c r="C3540" t="s">
        <v>20</v>
      </c>
      <c r="D3540">
        <v>153.05000000000001</v>
      </c>
      <c r="E3540">
        <v>30</v>
      </c>
      <c r="F3540" s="7"/>
    </row>
    <row r="3541" spans="1:6" x14ac:dyDescent="0.25">
      <c r="A3541" s="11">
        <f t="shared" si="55"/>
        <v>8505124</v>
      </c>
      <c r="B3541">
        <v>8505124</v>
      </c>
      <c r="C3541" t="s">
        <v>21</v>
      </c>
      <c r="D3541">
        <v>153.05000000000001</v>
      </c>
      <c r="E3541">
        <v>23</v>
      </c>
      <c r="F3541" s="7"/>
    </row>
    <row r="3542" spans="1:6" x14ac:dyDescent="0.25">
      <c r="A3542" s="11">
        <f t="shared" si="55"/>
        <v>8505125</v>
      </c>
      <c r="B3542">
        <v>8505125</v>
      </c>
      <c r="C3542" t="s">
        <v>1684</v>
      </c>
      <c r="D3542">
        <v>153.05000000000001</v>
      </c>
      <c r="E3542">
        <v>17</v>
      </c>
      <c r="F3542" s="7"/>
    </row>
    <row r="3543" spans="1:6" x14ac:dyDescent="0.25">
      <c r="A3543" s="11">
        <f t="shared" si="55"/>
        <v>8505126</v>
      </c>
      <c r="B3543">
        <v>8505126</v>
      </c>
      <c r="C3543" t="s">
        <v>1685</v>
      </c>
      <c r="D3543">
        <v>153.05000000000001</v>
      </c>
      <c r="E3543">
        <v>15</v>
      </c>
      <c r="F3543" s="7"/>
    </row>
    <row r="3544" spans="1:6" x14ac:dyDescent="0.25">
      <c r="A3544" s="11">
        <f t="shared" si="55"/>
        <v>8505127</v>
      </c>
      <c r="B3544">
        <v>8505127</v>
      </c>
      <c r="C3544" t="s">
        <v>1686</v>
      </c>
      <c r="D3544">
        <v>153.05000000000001</v>
      </c>
      <c r="E3544">
        <v>0</v>
      </c>
      <c r="F3544" s="7"/>
    </row>
    <row r="3545" spans="1:6" x14ac:dyDescent="0.25">
      <c r="A3545" s="11">
        <f t="shared" si="55"/>
        <v>8505128</v>
      </c>
      <c r="B3545">
        <v>8505128</v>
      </c>
      <c r="C3545" t="s">
        <v>1687</v>
      </c>
      <c r="D3545">
        <v>153.05000000000001</v>
      </c>
      <c r="E3545">
        <v>0</v>
      </c>
      <c r="F3545" s="7"/>
    </row>
    <row r="3546" spans="1:6" x14ac:dyDescent="0.25">
      <c r="A3546" s="11">
        <f t="shared" si="55"/>
        <v>8505129</v>
      </c>
      <c r="B3546">
        <v>8505129</v>
      </c>
      <c r="C3546" t="s">
        <v>1146</v>
      </c>
      <c r="D3546">
        <v>153.05000000000001</v>
      </c>
      <c r="E3546">
        <v>4</v>
      </c>
      <c r="F3546" s="7"/>
    </row>
    <row r="3547" spans="1:6" x14ac:dyDescent="0.25">
      <c r="A3547" s="11">
        <f t="shared" si="55"/>
        <v>8505130</v>
      </c>
      <c r="B3547">
        <v>8505130</v>
      </c>
      <c r="C3547" t="s">
        <v>1688</v>
      </c>
      <c r="D3547">
        <v>153.05000000000001</v>
      </c>
      <c r="E3547">
        <v>28</v>
      </c>
      <c r="F3547" s="7"/>
    </row>
    <row r="3548" spans="1:6" x14ac:dyDescent="0.25">
      <c r="A3548" s="11">
        <f t="shared" si="55"/>
        <v>8505131</v>
      </c>
      <c r="B3548">
        <v>8505131</v>
      </c>
      <c r="C3548" t="s">
        <v>1121</v>
      </c>
      <c r="D3548">
        <v>153.05000000000001</v>
      </c>
      <c r="E3548">
        <v>28</v>
      </c>
      <c r="F3548" s="7"/>
    </row>
    <row r="3549" spans="1:6" x14ac:dyDescent="0.25">
      <c r="A3549" s="11">
        <f t="shared" si="55"/>
        <v>8505132</v>
      </c>
      <c r="B3549">
        <v>8505132</v>
      </c>
      <c r="C3549" t="s">
        <v>1122</v>
      </c>
      <c r="D3549">
        <v>350</v>
      </c>
      <c r="E3549">
        <v>0</v>
      </c>
      <c r="F3549" s="7"/>
    </row>
    <row r="3550" spans="1:6" x14ac:dyDescent="0.25">
      <c r="A3550" s="11">
        <f t="shared" si="55"/>
        <v>8505133</v>
      </c>
      <c r="B3550">
        <v>8505133</v>
      </c>
      <c r="C3550" t="s">
        <v>1689</v>
      </c>
      <c r="D3550">
        <v>153.05000000000001</v>
      </c>
      <c r="E3550">
        <v>31</v>
      </c>
      <c r="F3550" s="7"/>
    </row>
    <row r="3551" spans="1:6" x14ac:dyDescent="0.25">
      <c r="A3551" s="11">
        <f t="shared" si="55"/>
        <v>8505134</v>
      </c>
      <c r="B3551">
        <v>8505134</v>
      </c>
      <c r="C3551" t="s">
        <v>1128</v>
      </c>
      <c r="D3551">
        <v>153.05000000000001</v>
      </c>
      <c r="E3551">
        <v>24</v>
      </c>
      <c r="F3551" s="7"/>
    </row>
    <row r="3552" spans="1:6" x14ac:dyDescent="0.25">
      <c r="A3552" s="11">
        <f t="shared" si="55"/>
        <v>8505135</v>
      </c>
      <c r="B3552">
        <v>8505135</v>
      </c>
      <c r="C3552" t="s">
        <v>1129</v>
      </c>
      <c r="D3552">
        <v>153.05000000000001</v>
      </c>
      <c r="E3552">
        <v>24</v>
      </c>
      <c r="F3552" s="7"/>
    </row>
    <row r="3553" spans="1:6" x14ac:dyDescent="0.25">
      <c r="A3553" s="11">
        <f t="shared" si="55"/>
        <v>8505136</v>
      </c>
      <c r="B3553">
        <v>8505136</v>
      </c>
      <c r="C3553" t="s">
        <v>1130</v>
      </c>
      <c r="D3553">
        <v>153.05000000000001</v>
      </c>
      <c r="E3553">
        <v>24</v>
      </c>
      <c r="F3553" s="7"/>
    </row>
    <row r="3554" spans="1:6" x14ac:dyDescent="0.25">
      <c r="A3554" s="11">
        <f t="shared" si="55"/>
        <v>8505137</v>
      </c>
      <c r="B3554">
        <v>8505137</v>
      </c>
      <c r="C3554" t="s">
        <v>1131</v>
      </c>
      <c r="D3554">
        <v>153.05000000000001</v>
      </c>
      <c r="E3554">
        <v>12</v>
      </c>
      <c r="F3554" s="7"/>
    </row>
    <row r="3555" spans="1:6" x14ac:dyDescent="0.25">
      <c r="A3555" s="11">
        <f t="shared" si="55"/>
        <v>8505138</v>
      </c>
      <c r="B3555">
        <v>8505138</v>
      </c>
      <c r="C3555" t="s">
        <v>1690</v>
      </c>
      <c r="D3555">
        <v>153.05000000000001</v>
      </c>
      <c r="E3555">
        <v>12</v>
      </c>
      <c r="F3555" s="7"/>
    </row>
    <row r="3556" spans="1:6" x14ac:dyDescent="0.25">
      <c r="A3556" s="11">
        <f t="shared" si="55"/>
        <v>8505139</v>
      </c>
      <c r="B3556">
        <v>8505139</v>
      </c>
      <c r="C3556" t="s">
        <v>1691</v>
      </c>
      <c r="D3556">
        <v>153.05000000000001</v>
      </c>
      <c r="E3556">
        <v>46</v>
      </c>
      <c r="F3556" s="7"/>
    </row>
    <row r="3557" spans="1:6" x14ac:dyDescent="0.25">
      <c r="A3557" s="11">
        <f t="shared" si="55"/>
        <v>8505140</v>
      </c>
      <c r="B3557">
        <v>8505140</v>
      </c>
      <c r="C3557" t="s">
        <v>1144</v>
      </c>
      <c r="D3557">
        <v>153.05000000000001</v>
      </c>
      <c r="E3557">
        <v>34</v>
      </c>
      <c r="F3557" s="7"/>
    </row>
    <row r="3558" spans="1:6" x14ac:dyDescent="0.25">
      <c r="A3558" s="11">
        <f t="shared" si="55"/>
        <v>8505141</v>
      </c>
      <c r="B3558">
        <v>8505141</v>
      </c>
      <c r="C3558" t="s">
        <v>1143</v>
      </c>
      <c r="D3558">
        <v>153.05000000000001</v>
      </c>
      <c r="E3558">
        <v>43</v>
      </c>
      <c r="F3558" s="7"/>
    </row>
    <row r="3559" spans="1:6" x14ac:dyDescent="0.25">
      <c r="A3559" s="11">
        <f t="shared" si="55"/>
        <v>8505142</v>
      </c>
      <c r="B3559">
        <v>8505142</v>
      </c>
      <c r="C3559" t="s">
        <v>1142</v>
      </c>
      <c r="D3559">
        <v>153.05000000000001</v>
      </c>
      <c r="E3559">
        <v>17</v>
      </c>
      <c r="F3559" s="7"/>
    </row>
    <row r="3560" spans="1:6" x14ac:dyDescent="0.25">
      <c r="A3560" s="11">
        <f t="shared" si="55"/>
        <v>8505149</v>
      </c>
      <c r="B3560">
        <v>8505149</v>
      </c>
      <c r="C3560" t="s">
        <v>1692</v>
      </c>
      <c r="D3560">
        <v>153.05000000000001</v>
      </c>
      <c r="E3560">
        <v>32</v>
      </c>
      <c r="F3560" s="7"/>
    </row>
    <row r="3561" spans="1:6" x14ac:dyDescent="0.25">
      <c r="A3561" s="11">
        <f t="shared" si="55"/>
        <v>8505150</v>
      </c>
      <c r="B3561">
        <v>8505150</v>
      </c>
      <c r="C3561" t="s">
        <v>2632</v>
      </c>
      <c r="D3561">
        <v>90</v>
      </c>
      <c r="E3561">
        <v>0</v>
      </c>
      <c r="F3561" s="7"/>
    </row>
    <row r="3562" spans="1:6" x14ac:dyDescent="0.25">
      <c r="A3562" s="11">
        <f t="shared" si="55"/>
        <v>8505151</v>
      </c>
      <c r="B3562">
        <v>8505151</v>
      </c>
      <c r="C3562" t="s">
        <v>1693</v>
      </c>
      <c r="D3562">
        <v>153.05000000000001</v>
      </c>
      <c r="E3562">
        <v>91</v>
      </c>
      <c r="F3562" s="7"/>
    </row>
    <row r="3563" spans="1:6" x14ac:dyDescent="0.25">
      <c r="A3563" s="11">
        <f t="shared" si="55"/>
        <v>8505153</v>
      </c>
      <c r="B3563">
        <v>8505153</v>
      </c>
      <c r="C3563" t="s">
        <v>1694</v>
      </c>
      <c r="D3563">
        <v>153.05000000000001</v>
      </c>
      <c r="E3563">
        <v>22</v>
      </c>
      <c r="F3563" s="7"/>
    </row>
    <row r="3564" spans="1:6" x14ac:dyDescent="0.25">
      <c r="A3564" s="11">
        <f t="shared" si="55"/>
        <v>8505154</v>
      </c>
      <c r="B3564">
        <v>8505154</v>
      </c>
      <c r="C3564" t="s">
        <v>1695</v>
      </c>
      <c r="D3564">
        <v>153.05000000000001</v>
      </c>
      <c r="E3564">
        <v>18</v>
      </c>
      <c r="F3564" s="7"/>
    </row>
    <row r="3565" spans="1:6" x14ac:dyDescent="0.25">
      <c r="A3565" s="11">
        <f t="shared" si="55"/>
        <v>8505155</v>
      </c>
      <c r="B3565">
        <v>8505155</v>
      </c>
      <c r="C3565" t="s">
        <v>1696</v>
      </c>
      <c r="D3565">
        <v>153.05000000000001</v>
      </c>
      <c r="E3565">
        <v>54</v>
      </c>
      <c r="F3565" s="7"/>
    </row>
    <row r="3566" spans="1:6" x14ac:dyDescent="0.25">
      <c r="A3566" s="11">
        <f t="shared" si="55"/>
        <v>8505156</v>
      </c>
      <c r="B3566">
        <v>8505156</v>
      </c>
      <c r="C3566" t="s">
        <v>1138</v>
      </c>
      <c r="D3566">
        <v>153.05000000000001</v>
      </c>
      <c r="E3566">
        <v>202</v>
      </c>
      <c r="F3566" s="7"/>
    </row>
    <row r="3567" spans="1:6" x14ac:dyDescent="0.25">
      <c r="A3567" s="11">
        <f t="shared" si="55"/>
        <v>8505157</v>
      </c>
      <c r="B3567">
        <v>8505157</v>
      </c>
      <c r="C3567" t="s">
        <v>1140</v>
      </c>
      <c r="D3567">
        <v>153.05000000000001</v>
      </c>
      <c r="E3567">
        <v>66</v>
      </c>
      <c r="F3567" s="7"/>
    </row>
    <row r="3568" spans="1:6" x14ac:dyDescent="0.25">
      <c r="A3568" s="11">
        <f t="shared" si="55"/>
        <v>8505158</v>
      </c>
      <c r="B3568">
        <v>8505158</v>
      </c>
      <c r="C3568" t="s">
        <v>1139</v>
      </c>
      <c r="D3568">
        <v>153.05000000000001</v>
      </c>
      <c r="E3568">
        <v>134</v>
      </c>
      <c r="F3568" s="7"/>
    </row>
    <row r="3569" spans="1:6" x14ac:dyDescent="0.25">
      <c r="A3569" s="11">
        <f t="shared" si="55"/>
        <v>8505159</v>
      </c>
      <c r="B3569">
        <v>8505159</v>
      </c>
      <c r="C3569" t="s">
        <v>1697</v>
      </c>
      <c r="D3569">
        <v>153.05000000000001</v>
      </c>
      <c r="E3569">
        <v>0</v>
      </c>
      <c r="F3569" s="7"/>
    </row>
    <row r="3570" spans="1:6" x14ac:dyDescent="0.25">
      <c r="A3570" s="11">
        <f t="shared" si="55"/>
        <v>8505160</v>
      </c>
      <c r="B3570">
        <v>8505160</v>
      </c>
      <c r="C3570" t="s">
        <v>1698</v>
      </c>
      <c r="D3570">
        <v>153.05000000000001</v>
      </c>
      <c r="E3570">
        <v>143</v>
      </c>
      <c r="F3570" s="7"/>
    </row>
    <row r="3571" spans="1:6" x14ac:dyDescent="0.25">
      <c r="A3571" s="11">
        <f t="shared" si="55"/>
        <v>8505161</v>
      </c>
      <c r="B3571">
        <v>8505161</v>
      </c>
      <c r="C3571" t="s">
        <v>1855</v>
      </c>
      <c r="D3571">
        <v>153.05000000000001</v>
      </c>
      <c r="E3571">
        <v>10</v>
      </c>
      <c r="F3571" s="7"/>
    </row>
    <row r="3572" spans="1:6" x14ac:dyDescent="0.25">
      <c r="A3572" s="11">
        <f t="shared" si="55"/>
        <v>8505162</v>
      </c>
      <c r="B3572">
        <v>8505162</v>
      </c>
      <c r="C3572" t="s">
        <v>1699</v>
      </c>
      <c r="D3572">
        <v>153.05000000000001</v>
      </c>
      <c r="E3572">
        <v>10</v>
      </c>
      <c r="F3572" s="7"/>
    </row>
    <row r="3573" spans="1:6" x14ac:dyDescent="0.25">
      <c r="A3573" s="11">
        <f t="shared" si="55"/>
        <v>8505163</v>
      </c>
      <c r="B3573">
        <v>8505163</v>
      </c>
      <c r="C3573" t="s">
        <v>1107</v>
      </c>
      <c r="D3573">
        <v>153.05000000000001</v>
      </c>
      <c r="E3573">
        <v>0</v>
      </c>
      <c r="F3573" s="7"/>
    </row>
    <row r="3574" spans="1:6" x14ac:dyDescent="0.25">
      <c r="A3574" s="11" t="str">
        <f t="shared" si="55"/>
        <v/>
      </c>
      <c r="B3574" t="s">
        <v>1859</v>
      </c>
      <c r="C3574" t="s">
        <v>1859</v>
      </c>
      <c r="D3574">
        <v>0</v>
      </c>
      <c r="E3574">
        <v>0</v>
      </c>
      <c r="F3574" s="7"/>
    </row>
    <row r="3575" spans="1:6" x14ac:dyDescent="0.25">
      <c r="A3575" s="11">
        <f t="shared" si="55"/>
        <v>8505164</v>
      </c>
      <c r="B3575">
        <v>8505164</v>
      </c>
      <c r="C3575" t="s">
        <v>2633</v>
      </c>
      <c r="D3575">
        <v>0</v>
      </c>
      <c r="E3575">
        <v>0</v>
      </c>
      <c r="F3575" s="7"/>
    </row>
    <row r="3576" spans="1:6" x14ac:dyDescent="0.25">
      <c r="A3576" s="11" t="str">
        <f t="shared" si="55"/>
        <v/>
      </c>
      <c r="B3576" t="s">
        <v>1859</v>
      </c>
      <c r="C3576" t="s">
        <v>1859</v>
      </c>
      <c r="D3576">
        <v>0</v>
      </c>
      <c r="E3576">
        <v>0</v>
      </c>
      <c r="F3576" s="7"/>
    </row>
    <row r="3577" spans="1:6" x14ac:dyDescent="0.25">
      <c r="A3577" s="11">
        <f t="shared" si="55"/>
        <v>8505165</v>
      </c>
      <c r="B3577">
        <v>8505165</v>
      </c>
      <c r="C3577" t="s">
        <v>2634</v>
      </c>
      <c r="D3577">
        <v>0</v>
      </c>
      <c r="E3577">
        <v>0</v>
      </c>
      <c r="F3577" s="7"/>
    </row>
    <row r="3578" spans="1:6" x14ac:dyDescent="0.25">
      <c r="A3578" s="11" t="str">
        <f t="shared" si="55"/>
        <v/>
      </c>
      <c r="B3578" t="s">
        <v>1859</v>
      </c>
      <c r="C3578" t="s">
        <v>1859</v>
      </c>
      <c r="D3578">
        <v>0</v>
      </c>
      <c r="E3578">
        <v>0</v>
      </c>
      <c r="F3578" s="7"/>
    </row>
    <row r="3579" spans="1:6" x14ac:dyDescent="0.25">
      <c r="A3579" s="11">
        <f t="shared" si="55"/>
        <v>8505166</v>
      </c>
      <c r="B3579">
        <v>8505166</v>
      </c>
      <c r="C3579" t="s">
        <v>2635</v>
      </c>
      <c r="D3579">
        <v>0</v>
      </c>
      <c r="E3579">
        <v>0</v>
      </c>
      <c r="F3579" s="7"/>
    </row>
    <row r="3580" spans="1:6" x14ac:dyDescent="0.25">
      <c r="A3580" s="11">
        <f t="shared" si="55"/>
        <v>8505167</v>
      </c>
      <c r="B3580">
        <v>8505167</v>
      </c>
      <c r="C3580" t="s">
        <v>1116</v>
      </c>
      <c r="D3580">
        <v>241.99</v>
      </c>
      <c r="E3580">
        <v>0</v>
      </c>
      <c r="F3580" s="7"/>
    </row>
    <row r="3581" spans="1:6" x14ac:dyDescent="0.25">
      <c r="A3581" s="11">
        <f t="shared" si="55"/>
        <v>8505168</v>
      </c>
      <c r="B3581">
        <v>8505168</v>
      </c>
      <c r="C3581" t="s">
        <v>1700</v>
      </c>
      <c r="D3581">
        <v>157.29</v>
      </c>
      <c r="E3581">
        <v>0</v>
      </c>
      <c r="F3581" s="7"/>
    </row>
    <row r="3582" spans="1:6" x14ac:dyDescent="0.25">
      <c r="A3582" s="11">
        <f t="shared" si="55"/>
        <v>8505169</v>
      </c>
      <c r="B3582">
        <v>8505169</v>
      </c>
      <c r="C3582" t="s">
        <v>1701</v>
      </c>
      <c r="D3582">
        <v>240.79</v>
      </c>
      <c r="E3582">
        <v>0</v>
      </c>
      <c r="F3582" s="7"/>
    </row>
    <row r="3583" spans="1:6" x14ac:dyDescent="0.25">
      <c r="A3583" s="11">
        <f t="shared" si="55"/>
        <v>8505170</v>
      </c>
      <c r="B3583">
        <v>8505170</v>
      </c>
      <c r="C3583" t="s">
        <v>1702</v>
      </c>
      <c r="D3583">
        <v>153.05000000000001</v>
      </c>
      <c r="E3583">
        <v>0</v>
      </c>
      <c r="F3583" s="7"/>
    </row>
    <row r="3584" spans="1:6" x14ac:dyDescent="0.25">
      <c r="A3584" s="11">
        <f t="shared" si="55"/>
        <v>8505171</v>
      </c>
      <c r="B3584">
        <v>8505171</v>
      </c>
      <c r="C3584" t="s">
        <v>1703</v>
      </c>
      <c r="D3584">
        <v>153.05000000000001</v>
      </c>
      <c r="E3584">
        <v>28</v>
      </c>
      <c r="F3584" s="7"/>
    </row>
    <row r="3585" spans="1:6" x14ac:dyDescent="0.25">
      <c r="A3585" s="11">
        <f t="shared" si="55"/>
        <v>8505172</v>
      </c>
      <c r="B3585">
        <v>8505172</v>
      </c>
      <c r="C3585" t="s">
        <v>1704</v>
      </c>
      <c r="D3585">
        <v>153.05000000000001</v>
      </c>
      <c r="E3585">
        <v>9</v>
      </c>
      <c r="F3585" s="7"/>
    </row>
    <row r="3586" spans="1:6" x14ac:dyDescent="0.25">
      <c r="A3586" s="11">
        <f t="shared" si="55"/>
        <v>8505173</v>
      </c>
      <c r="B3586">
        <v>8505173</v>
      </c>
      <c r="C3586" t="s">
        <v>1705</v>
      </c>
      <c r="D3586">
        <v>153.05000000000001</v>
      </c>
      <c r="E3586">
        <v>15</v>
      </c>
      <c r="F3586" s="7"/>
    </row>
    <row r="3587" spans="1:6" x14ac:dyDescent="0.25">
      <c r="A3587" s="11">
        <f t="shared" si="55"/>
        <v>8505176</v>
      </c>
      <c r="B3587">
        <v>8505176</v>
      </c>
      <c r="C3587" t="s">
        <v>1115</v>
      </c>
      <c r="D3587">
        <v>240.79</v>
      </c>
      <c r="E3587">
        <v>0</v>
      </c>
      <c r="F3587" s="7"/>
    </row>
    <row r="3588" spans="1:6" x14ac:dyDescent="0.25">
      <c r="A3588" s="11">
        <f t="shared" si="55"/>
        <v>8505177</v>
      </c>
      <c r="B3588">
        <v>8505177</v>
      </c>
      <c r="C3588" t="s">
        <v>1706</v>
      </c>
      <c r="D3588">
        <v>240.79</v>
      </c>
      <c r="E3588">
        <v>0</v>
      </c>
      <c r="F3588" s="7"/>
    </row>
    <row r="3589" spans="1:6" x14ac:dyDescent="0.25">
      <c r="A3589" s="11">
        <f t="shared" si="55"/>
        <v>8505178</v>
      </c>
      <c r="B3589">
        <v>8505178</v>
      </c>
      <c r="C3589" t="s">
        <v>2636</v>
      </c>
      <c r="D3589">
        <v>0</v>
      </c>
      <c r="E3589">
        <v>0</v>
      </c>
      <c r="F3589" s="7"/>
    </row>
    <row r="3590" spans="1:6" x14ac:dyDescent="0.25">
      <c r="A3590" s="11">
        <f t="shared" ref="A3590:A3653" si="56">IFERROR(B3590*1,"")</f>
        <v>8505196</v>
      </c>
      <c r="B3590">
        <v>8505196</v>
      </c>
      <c r="C3590" t="s">
        <v>1099</v>
      </c>
      <c r="D3590">
        <v>214.29</v>
      </c>
      <c r="E3590">
        <v>71</v>
      </c>
      <c r="F3590" s="7"/>
    </row>
    <row r="3591" spans="1:6" x14ac:dyDescent="0.25">
      <c r="A3591" s="11">
        <f t="shared" si="56"/>
        <v>850520</v>
      </c>
      <c r="B3591">
        <v>850520</v>
      </c>
      <c r="C3591" t="s">
        <v>1859</v>
      </c>
      <c r="D3591">
        <v>0</v>
      </c>
      <c r="E3591">
        <v>0</v>
      </c>
      <c r="F3591" s="7"/>
    </row>
    <row r="3592" spans="1:6" x14ac:dyDescent="0.25">
      <c r="A3592" s="11" t="str">
        <f t="shared" si="56"/>
        <v/>
      </c>
      <c r="B3592" t="s">
        <v>1859</v>
      </c>
      <c r="C3592" t="s">
        <v>1859</v>
      </c>
      <c r="D3592">
        <v>0</v>
      </c>
      <c r="E3592">
        <v>0</v>
      </c>
      <c r="F3592" s="7"/>
    </row>
    <row r="3593" spans="1:6" x14ac:dyDescent="0.25">
      <c r="A3593" s="11">
        <f t="shared" si="56"/>
        <v>8505200</v>
      </c>
      <c r="B3593">
        <v>8505200</v>
      </c>
      <c r="C3593" t="s">
        <v>2637</v>
      </c>
      <c r="D3593">
        <v>0</v>
      </c>
      <c r="E3593">
        <v>0</v>
      </c>
      <c r="F3593" s="7"/>
    </row>
    <row r="3594" spans="1:6" x14ac:dyDescent="0.25">
      <c r="A3594" s="11">
        <f t="shared" si="56"/>
        <v>8505201</v>
      </c>
      <c r="B3594">
        <v>8505201</v>
      </c>
      <c r="C3594" t="s">
        <v>1106</v>
      </c>
      <c r="D3594">
        <v>352.03</v>
      </c>
      <c r="E3594">
        <v>0</v>
      </c>
      <c r="F3594" s="7"/>
    </row>
    <row r="3595" spans="1:6" x14ac:dyDescent="0.25">
      <c r="A3595" s="11">
        <f t="shared" si="56"/>
        <v>8505202</v>
      </c>
      <c r="B3595">
        <v>8505202</v>
      </c>
      <c r="C3595" t="s">
        <v>1102</v>
      </c>
      <c r="D3595">
        <v>336.73</v>
      </c>
      <c r="E3595">
        <v>0</v>
      </c>
      <c r="F3595" s="7"/>
    </row>
    <row r="3596" spans="1:6" x14ac:dyDescent="0.25">
      <c r="A3596" s="11" t="str">
        <f t="shared" si="56"/>
        <v/>
      </c>
      <c r="B3596" t="s">
        <v>1859</v>
      </c>
      <c r="C3596" t="s">
        <v>1859</v>
      </c>
      <c r="D3596">
        <v>0</v>
      </c>
      <c r="E3596">
        <v>0</v>
      </c>
      <c r="F3596" s="7"/>
    </row>
    <row r="3597" spans="1:6" x14ac:dyDescent="0.25">
      <c r="A3597" s="11">
        <f t="shared" si="56"/>
        <v>8505203</v>
      </c>
      <c r="B3597">
        <v>8505203</v>
      </c>
      <c r="C3597" t="s">
        <v>2638</v>
      </c>
      <c r="D3597">
        <v>0</v>
      </c>
      <c r="E3597">
        <v>0</v>
      </c>
      <c r="F3597" s="7"/>
    </row>
    <row r="3598" spans="1:6" x14ac:dyDescent="0.25">
      <c r="A3598" s="11" t="str">
        <f t="shared" si="56"/>
        <v/>
      </c>
      <c r="B3598" t="s">
        <v>1859</v>
      </c>
      <c r="C3598" t="s">
        <v>1859</v>
      </c>
      <c r="D3598">
        <v>0</v>
      </c>
      <c r="E3598">
        <v>0</v>
      </c>
      <c r="F3598" s="7"/>
    </row>
    <row r="3599" spans="1:6" x14ac:dyDescent="0.25">
      <c r="A3599" s="11">
        <f t="shared" si="56"/>
        <v>8505204</v>
      </c>
      <c r="B3599">
        <v>8505204</v>
      </c>
      <c r="C3599" t="s">
        <v>2639</v>
      </c>
      <c r="D3599">
        <v>0</v>
      </c>
      <c r="E3599">
        <v>0</v>
      </c>
      <c r="F3599" s="7"/>
    </row>
    <row r="3600" spans="1:6" x14ac:dyDescent="0.25">
      <c r="A3600" s="11">
        <f t="shared" si="56"/>
        <v>8505205</v>
      </c>
      <c r="B3600">
        <v>8505205</v>
      </c>
      <c r="C3600" t="s">
        <v>1852</v>
      </c>
      <c r="D3600">
        <v>137.76</v>
      </c>
      <c r="E3600">
        <v>0</v>
      </c>
      <c r="F3600" s="7"/>
    </row>
    <row r="3601" spans="1:6" x14ac:dyDescent="0.25">
      <c r="A3601" s="11" t="str">
        <f t="shared" si="56"/>
        <v/>
      </c>
      <c r="B3601" t="s">
        <v>1859</v>
      </c>
      <c r="C3601" t="s">
        <v>1859</v>
      </c>
      <c r="D3601">
        <v>0</v>
      </c>
      <c r="E3601">
        <v>0</v>
      </c>
      <c r="F3601" s="7"/>
    </row>
    <row r="3602" spans="1:6" x14ac:dyDescent="0.25">
      <c r="A3602" s="11">
        <f t="shared" si="56"/>
        <v>8505206</v>
      </c>
      <c r="B3602">
        <v>8505206</v>
      </c>
      <c r="C3602" t="s">
        <v>2640</v>
      </c>
      <c r="D3602">
        <v>190</v>
      </c>
      <c r="E3602">
        <v>0</v>
      </c>
      <c r="F3602" s="7"/>
    </row>
    <row r="3603" spans="1:6" x14ac:dyDescent="0.25">
      <c r="A3603" s="11">
        <f t="shared" si="56"/>
        <v>8505207</v>
      </c>
      <c r="B3603">
        <v>8505207</v>
      </c>
      <c r="C3603" t="s">
        <v>1105</v>
      </c>
      <c r="D3603">
        <v>260.22000000000003</v>
      </c>
      <c r="E3603">
        <v>0</v>
      </c>
      <c r="F3603" s="7"/>
    </row>
    <row r="3604" spans="1:6" x14ac:dyDescent="0.25">
      <c r="A3604" s="11" t="str">
        <f t="shared" si="56"/>
        <v/>
      </c>
      <c r="B3604" t="s">
        <v>1859</v>
      </c>
      <c r="C3604" t="s">
        <v>1859</v>
      </c>
      <c r="D3604">
        <v>0</v>
      </c>
      <c r="E3604">
        <v>0</v>
      </c>
      <c r="F3604" s="7"/>
    </row>
    <row r="3605" spans="1:6" x14ac:dyDescent="0.25">
      <c r="A3605" s="11">
        <f t="shared" si="56"/>
        <v>8505208</v>
      </c>
      <c r="B3605">
        <v>8505208</v>
      </c>
      <c r="C3605" t="s">
        <v>2641</v>
      </c>
      <c r="D3605">
        <v>0</v>
      </c>
      <c r="E3605">
        <v>0</v>
      </c>
      <c r="F3605" s="7"/>
    </row>
    <row r="3606" spans="1:6" x14ac:dyDescent="0.25">
      <c r="A3606" s="11">
        <f t="shared" si="56"/>
        <v>8505209</v>
      </c>
      <c r="B3606">
        <v>8505209</v>
      </c>
      <c r="C3606" t="s">
        <v>1707</v>
      </c>
      <c r="D3606">
        <v>178.87</v>
      </c>
      <c r="E3606">
        <v>0</v>
      </c>
      <c r="F3606" s="7"/>
    </row>
    <row r="3607" spans="1:6" x14ac:dyDescent="0.25">
      <c r="A3607" s="11">
        <f t="shared" si="56"/>
        <v>8505210</v>
      </c>
      <c r="B3607">
        <v>8505210</v>
      </c>
      <c r="C3607" t="s">
        <v>1104</v>
      </c>
      <c r="D3607">
        <v>239.71</v>
      </c>
      <c r="E3607">
        <v>0</v>
      </c>
      <c r="F3607" s="7"/>
    </row>
    <row r="3608" spans="1:6" x14ac:dyDescent="0.25">
      <c r="A3608" s="11" t="str">
        <f t="shared" si="56"/>
        <v/>
      </c>
      <c r="B3608" t="s">
        <v>1859</v>
      </c>
      <c r="C3608" t="s">
        <v>1859</v>
      </c>
      <c r="D3608">
        <v>0</v>
      </c>
      <c r="E3608">
        <v>0</v>
      </c>
      <c r="F3608" s="7"/>
    </row>
    <row r="3609" spans="1:6" x14ac:dyDescent="0.25">
      <c r="A3609" s="11">
        <f t="shared" si="56"/>
        <v>8505211</v>
      </c>
      <c r="B3609">
        <v>8505211</v>
      </c>
      <c r="C3609" t="s">
        <v>2642</v>
      </c>
      <c r="D3609">
        <v>0</v>
      </c>
      <c r="E3609">
        <v>0</v>
      </c>
      <c r="F3609" s="7"/>
    </row>
    <row r="3610" spans="1:6" x14ac:dyDescent="0.25">
      <c r="A3610" s="11">
        <f t="shared" si="56"/>
        <v>8505215</v>
      </c>
      <c r="B3610">
        <v>8505215</v>
      </c>
      <c r="C3610" t="s">
        <v>2643</v>
      </c>
      <c r="D3610">
        <v>0</v>
      </c>
      <c r="E3610">
        <v>0</v>
      </c>
      <c r="F3610" s="7"/>
    </row>
    <row r="3611" spans="1:6" x14ac:dyDescent="0.25">
      <c r="A3611" s="11" t="str">
        <f t="shared" si="56"/>
        <v/>
      </c>
      <c r="B3611" t="s">
        <v>1859</v>
      </c>
      <c r="C3611" t="s">
        <v>1859</v>
      </c>
      <c r="D3611">
        <v>0</v>
      </c>
      <c r="E3611">
        <v>0</v>
      </c>
      <c r="F3611" s="7"/>
    </row>
    <row r="3612" spans="1:6" x14ac:dyDescent="0.25">
      <c r="A3612" s="11">
        <f t="shared" si="56"/>
        <v>8505216</v>
      </c>
      <c r="B3612">
        <v>8505216</v>
      </c>
      <c r="C3612" t="s">
        <v>2644</v>
      </c>
      <c r="D3612">
        <v>0</v>
      </c>
      <c r="E3612">
        <v>0</v>
      </c>
      <c r="F3612" s="7"/>
    </row>
    <row r="3613" spans="1:6" x14ac:dyDescent="0.25">
      <c r="A3613" s="11" t="str">
        <f t="shared" si="56"/>
        <v/>
      </c>
      <c r="B3613" t="s">
        <v>1859</v>
      </c>
      <c r="C3613" t="s">
        <v>1859</v>
      </c>
      <c r="D3613">
        <v>0</v>
      </c>
      <c r="E3613">
        <v>0</v>
      </c>
      <c r="F3613" s="7"/>
    </row>
    <row r="3614" spans="1:6" x14ac:dyDescent="0.25">
      <c r="A3614" s="11">
        <f t="shared" si="56"/>
        <v>8505217</v>
      </c>
      <c r="B3614">
        <v>8505217</v>
      </c>
      <c r="C3614" t="s">
        <v>2645</v>
      </c>
      <c r="D3614">
        <v>0</v>
      </c>
      <c r="E3614">
        <v>0</v>
      </c>
      <c r="F3614" s="7"/>
    </row>
    <row r="3615" spans="1:6" x14ac:dyDescent="0.25">
      <c r="A3615" s="11" t="str">
        <f t="shared" si="56"/>
        <v/>
      </c>
      <c r="B3615" t="s">
        <v>1859</v>
      </c>
      <c r="C3615" t="s">
        <v>1859</v>
      </c>
      <c r="D3615">
        <v>0</v>
      </c>
      <c r="E3615">
        <v>0</v>
      </c>
      <c r="F3615" s="7"/>
    </row>
    <row r="3616" spans="1:6" x14ac:dyDescent="0.25">
      <c r="A3616" s="11">
        <f t="shared" si="56"/>
        <v>8505218</v>
      </c>
      <c r="B3616">
        <v>8505218</v>
      </c>
      <c r="C3616" t="s">
        <v>2646</v>
      </c>
      <c r="D3616">
        <v>0</v>
      </c>
      <c r="E3616">
        <v>0</v>
      </c>
      <c r="F3616" s="7"/>
    </row>
    <row r="3617" spans="1:6" x14ac:dyDescent="0.25">
      <c r="A3617" s="11" t="str">
        <f t="shared" si="56"/>
        <v/>
      </c>
      <c r="B3617" t="s">
        <v>1859</v>
      </c>
      <c r="C3617" t="s">
        <v>1859</v>
      </c>
      <c r="D3617">
        <v>0</v>
      </c>
      <c r="E3617">
        <v>0</v>
      </c>
      <c r="F3617" s="7"/>
    </row>
    <row r="3618" spans="1:6" x14ac:dyDescent="0.25">
      <c r="A3618" s="11">
        <f t="shared" si="56"/>
        <v>8505219</v>
      </c>
      <c r="B3618">
        <v>8505219</v>
      </c>
      <c r="C3618" t="s">
        <v>2647</v>
      </c>
      <c r="D3618">
        <v>0</v>
      </c>
      <c r="E3618">
        <v>0</v>
      </c>
      <c r="F3618" s="7"/>
    </row>
    <row r="3619" spans="1:6" x14ac:dyDescent="0.25">
      <c r="A3619" s="11">
        <f t="shared" si="56"/>
        <v>8505220</v>
      </c>
      <c r="B3619">
        <v>8505220</v>
      </c>
      <c r="C3619" t="s">
        <v>1708</v>
      </c>
      <c r="D3619">
        <v>130</v>
      </c>
      <c r="E3619">
        <v>171</v>
      </c>
      <c r="F3619" s="7"/>
    </row>
    <row r="3620" spans="1:6" x14ac:dyDescent="0.25">
      <c r="A3620" s="11">
        <f t="shared" si="56"/>
        <v>850522001</v>
      </c>
      <c r="B3620">
        <v>850522001</v>
      </c>
      <c r="C3620" t="s">
        <v>1125</v>
      </c>
      <c r="D3620">
        <v>91.83</v>
      </c>
      <c r="E3620">
        <v>0</v>
      </c>
      <c r="F3620" s="7"/>
    </row>
    <row r="3621" spans="1:6" x14ac:dyDescent="0.25">
      <c r="A3621" s="11">
        <f t="shared" si="56"/>
        <v>850522002</v>
      </c>
      <c r="B3621">
        <v>850522002</v>
      </c>
      <c r="C3621" t="s">
        <v>1126</v>
      </c>
      <c r="D3621">
        <v>48.85</v>
      </c>
      <c r="E3621">
        <v>0</v>
      </c>
      <c r="F3621" s="7"/>
    </row>
    <row r="3622" spans="1:6" x14ac:dyDescent="0.25">
      <c r="A3622" s="11">
        <f t="shared" si="56"/>
        <v>850522003</v>
      </c>
      <c r="B3622">
        <v>850522003</v>
      </c>
      <c r="C3622" t="s">
        <v>1844</v>
      </c>
      <c r="D3622">
        <v>48.85</v>
      </c>
      <c r="E3622">
        <v>0</v>
      </c>
      <c r="F3622" s="7"/>
    </row>
    <row r="3623" spans="1:6" x14ac:dyDescent="0.25">
      <c r="A3623" s="11">
        <f t="shared" si="56"/>
        <v>850522004</v>
      </c>
      <c r="B3623">
        <v>850522004</v>
      </c>
      <c r="C3623" t="s">
        <v>2648</v>
      </c>
      <c r="D3623">
        <v>48.85</v>
      </c>
      <c r="E3623">
        <v>0</v>
      </c>
      <c r="F3623" s="7"/>
    </row>
    <row r="3624" spans="1:6" x14ac:dyDescent="0.25">
      <c r="A3624" s="11">
        <f t="shared" si="56"/>
        <v>850522005</v>
      </c>
      <c r="B3624">
        <v>850522005</v>
      </c>
      <c r="C3624" t="s">
        <v>1845</v>
      </c>
      <c r="D3624">
        <v>48.85</v>
      </c>
      <c r="E3624">
        <v>0</v>
      </c>
      <c r="F3624" s="7"/>
    </row>
    <row r="3625" spans="1:6" x14ac:dyDescent="0.25">
      <c r="A3625" s="11">
        <f t="shared" si="56"/>
        <v>850522006</v>
      </c>
      <c r="B3625">
        <v>850522006</v>
      </c>
      <c r="C3625" t="s">
        <v>2649</v>
      </c>
      <c r="D3625">
        <v>48.85</v>
      </c>
      <c r="E3625">
        <v>0</v>
      </c>
      <c r="F3625" s="7"/>
    </row>
    <row r="3626" spans="1:6" x14ac:dyDescent="0.25">
      <c r="A3626" s="11">
        <f t="shared" si="56"/>
        <v>8505221</v>
      </c>
      <c r="B3626">
        <v>8505221</v>
      </c>
      <c r="C3626" t="s">
        <v>1109</v>
      </c>
      <c r="D3626">
        <v>133.09</v>
      </c>
      <c r="E3626">
        <v>0</v>
      </c>
      <c r="F3626" s="7"/>
    </row>
    <row r="3627" spans="1:6" x14ac:dyDescent="0.25">
      <c r="A3627" s="11" t="str">
        <f t="shared" si="56"/>
        <v/>
      </c>
      <c r="B3627" t="s">
        <v>1859</v>
      </c>
      <c r="C3627" t="s">
        <v>1859</v>
      </c>
      <c r="D3627">
        <v>0</v>
      </c>
      <c r="E3627">
        <v>0</v>
      </c>
      <c r="F3627" s="7"/>
    </row>
    <row r="3628" spans="1:6" x14ac:dyDescent="0.25">
      <c r="A3628" s="11">
        <f t="shared" si="56"/>
        <v>8505222</v>
      </c>
      <c r="B3628">
        <v>8505222</v>
      </c>
      <c r="C3628" t="s">
        <v>2650</v>
      </c>
      <c r="D3628">
        <v>0</v>
      </c>
      <c r="E3628">
        <v>0</v>
      </c>
      <c r="F3628" s="7"/>
    </row>
    <row r="3629" spans="1:6" x14ac:dyDescent="0.25">
      <c r="A3629" s="11">
        <f t="shared" si="56"/>
        <v>8505223</v>
      </c>
      <c r="B3629">
        <v>8505223</v>
      </c>
      <c r="C3629" t="s">
        <v>1096</v>
      </c>
      <c r="D3629">
        <v>214.29</v>
      </c>
      <c r="E3629">
        <v>65</v>
      </c>
      <c r="F3629" s="7"/>
    </row>
    <row r="3630" spans="1:6" x14ac:dyDescent="0.25">
      <c r="A3630" s="11">
        <f t="shared" si="56"/>
        <v>8505224</v>
      </c>
      <c r="B3630">
        <v>8505224</v>
      </c>
      <c r="C3630" t="s">
        <v>1095</v>
      </c>
      <c r="D3630">
        <v>214.29</v>
      </c>
      <c r="E3630">
        <v>124</v>
      </c>
      <c r="F3630" s="7"/>
    </row>
    <row r="3631" spans="1:6" x14ac:dyDescent="0.25">
      <c r="A3631" s="11" t="str">
        <f t="shared" si="56"/>
        <v/>
      </c>
      <c r="B3631" t="s">
        <v>1859</v>
      </c>
      <c r="C3631" t="s">
        <v>1859</v>
      </c>
      <c r="D3631">
        <v>0</v>
      </c>
      <c r="E3631">
        <v>0</v>
      </c>
      <c r="F3631" s="7"/>
    </row>
    <row r="3632" spans="1:6" x14ac:dyDescent="0.25">
      <c r="A3632" s="11">
        <f t="shared" si="56"/>
        <v>8505225</v>
      </c>
      <c r="B3632">
        <v>8505225</v>
      </c>
      <c r="C3632" t="s">
        <v>2651</v>
      </c>
      <c r="D3632">
        <v>0</v>
      </c>
      <c r="E3632">
        <v>0</v>
      </c>
      <c r="F3632" s="7"/>
    </row>
    <row r="3633" spans="1:6" x14ac:dyDescent="0.25">
      <c r="A3633" s="11">
        <f t="shared" si="56"/>
        <v>8505233</v>
      </c>
      <c r="B3633">
        <v>8505233</v>
      </c>
      <c r="C3633" t="s">
        <v>1098</v>
      </c>
      <c r="D3633">
        <v>214.29</v>
      </c>
      <c r="E3633">
        <v>32</v>
      </c>
      <c r="F3633" s="7"/>
    </row>
    <row r="3634" spans="1:6" x14ac:dyDescent="0.25">
      <c r="A3634" s="11">
        <f t="shared" si="56"/>
        <v>8505243</v>
      </c>
      <c r="B3634">
        <v>8505243</v>
      </c>
      <c r="C3634" t="s">
        <v>1103</v>
      </c>
      <c r="D3634">
        <v>229.6</v>
      </c>
      <c r="E3634">
        <v>104</v>
      </c>
      <c r="F3634" s="7"/>
    </row>
    <row r="3635" spans="1:6" x14ac:dyDescent="0.25">
      <c r="A3635" s="11">
        <f t="shared" si="56"/>
        <v>8505262</v>
      </c>
      <c r="B3635">
        <v>8505262</v>
      </c>
      <c r="C3635" t="s">
        <v>1097</v>
      </c>
      <c r="D3635">
        <v>214.29</v>
      </c>
      <c r="E3635">
        <v>41</v>
      </c>
      <c r="F3635" s="7"/>
    </row>
    <row r="3636" spans="1:6" x14ac:dyDescent="0.25">
      <c r="A3636" s="11" t="str">
        <f t="shared" si="56"/>
        <v/>
      </c>
      <c r="B3636" t="s">
        <v>1859</v>
      </c>
      <c r="C3636" t="s">
        <v>1859</v>
      </c>
      <c r="D3636">
        <v>0</v>
      </c>
      <c r="E3636">
        <v>0</v>
      </c>
      <c r="F3636" s="7"/>
    </row>
    <row r="3637" spans="1:6" x14ac:dyDescent="0.25">
      <c r="A3637" s="11">
        <f t="shared" si="56"/>
        <v>8505263</v>
      </c>
      <c r="B3637">
        <v>8505263</v>
      </c>
      <c r="C3637" t="s">
        <v>2652</v>
      </c>
      <c r="D3637">
        <v>0</v>
      </c>
      <c r="E3637">
        <v>0</v>
      </c>
      <c r="F3637" s="7"/>
    </row>
    <row r="3638" spans="1:6" x14ac:dyDescent="0.25">
      <c r="A3638" s="11" t="str">
        <f t="shared" si="56"/>
        <v/>
      </c>
      <c r="B3638" t="s">
        <v>1859</v>
      </c>
      <c r="C3638" t="s">
        <v>1859</v>
      </c>
      <c r="D3638">
        <v>0</v>
      </c>
      <c r="E3638">
        <v>0</v>
      </c>
      <c r="F3638" s="7"/>
    </row>
    <row r="3639" spans="1:6" x14ac:dyDescent="0.25">
      <c r="A3639" s="11">
        <f t="shared" si="56"/>
        <v>8505264</v>
      </c>
      <c r="B3639">
        <v>8505264</v>
      </c>
      <c r="C3639" t="s">
        <v>2653</v>
      </c>
      <c r="D3639">
        <v>0</v>
      </c>
      <c r="E3639">
        <v>0</v>
      </c>
      <c r="F3639" s="7"/>
    </row>
    <row r="3640" spans="1:6" x14ac:dyDescent="0.25">
      <c r="A3640" s="11" t="str">
        <f t="shared" si="56"/>
        <v/>
      </c>
      <c r="B3640" t="s">
        <v>1859</v>
      </c>
      <c r="C3640" t="s">
        <v>1859</v>
      </c>
      <c r="D3640">
        <v>0</v>
      </c>
      <c r="E3640">
        <v>0</v>
      </c>
      <c r="F3640" s="7"/>
    </row>
    <row r="3641" spans="1:6" x14ac:dyDescent="0.25">
      <c r="A3641" s="11">
        <f t="shared" si="56"/>
        <v>8505290</v>
      </c>
      <c r="B3641">
        <v>8505290</v>
      </c>
      <c r="C3641" t="s">
        <v>2654</v>
      </c>
      <c r="D3641">
        <v>0</v>
      </c>
      <c r="E3641">
        <v>0</v>
      </c>
      <c r="F3641" s="7"/>
    </row>
    <row r="3642" spans="1:6" x14ac:dyDescent="0.25">
      <c r="A3642" s="11" t="str">
        <f t="shared" si="56"/>
        <v/>
      </c>
      <c r="B3642" t="s">
        <v>1859</v>
      </c>
      <c r="C3642" t="s">
        <v>1859</v>
      </c>
      <c r="D3642">
        <v>0</v>
      </c>
      <c r="E3642">
        <v>0</v>
      </c>
      <c r="F3642" s="7"/>
    </row>
    <row r="3643" spans="1:6" x14ac:dyDescent="0.25">
      <c r="A3643" s="11">
        <f t="shared" si="56"/>
        <v>8505291</v>
      </c>
      <c r="B3643">
        <v>8505291</v>
      </c>
      <c r="C3643" t="s">
        <v>2655</v>
      </c>
      <c r="D3643">
        <v>0</v>
      </c>
      <c r="E3643">
        <v>0</v>
      </c>
      <c r="F3643" s="7"/>
    </row>
    <row r="3644" spans="1:6" x14ac:dyDescent="0.25">
      <c r="A3644" s="11">
        <f t="shared" si="56"/>
        <v>8505320</v>
      </c>
      <c r="B3644">
        <v>8505320</v>
      </c>
      <c r="C3644" t="s">
        <v>804</v>
      </c>
      <c r="D3644">
        <v>157.91</v>
      </c>
      <c r="E3644">
        <v>0</v>
      </c>
      <c r="F3644" s="7"/>
    </row>
    <row r="3645" spans="1:6" x14ac:dyDescent="0.25">
      <c r="A3645" s="11" t="str">
        <f t="shared" si="56"/>
        <v/>
      </c>
      <c r="B3645" t="s">
        <v>1859</v>
      </c>
      <c r="C3645" t="s">
        <v>1859</v>
      </c>
      <c r="D3645">
        <v>0</v>
      </c>
      <c r="E3645">
        <v>0</v>
      </c>
      <c r="F3645" s="7"/>
    </row>
    <row r="3646" spans="1:6" x14ac:dyDescent="0.25">
      <c r="A3646" s="11">
        <f t="shared" si="56"/>
        <v>8505322</v>
      </c>
      <c r="B3646">
        <v>8505322</v>
      </c>
      <c r="C3646" t="s">
        <v>2656</v>
      </c>
      <c r="D3646">
        <v>0</v>
      </c>
      <c r="E3646">
        <v>0</v>
      </c>
      <c r="F3646" s="7"/>
    </row>
    <row r="3647" spans="1:6" x14ac:dyDescent="0.25">
      <c r="A3647" s="11">
        <f t="shared" si="56"/>
        <v>8505324</v>
      </c>
      <c r="B3647">
        <v>8505324</v>
      </c>
      <c r="C3647" t="s">
        <v>1709</v>
      </c>
      <c r="D3647">
        <v>199.76</v>
      </c>
      <c r="E3647">
        <v>1</v>
      </c>
      <c r="F3647" s="7"/>
    </row>
    <row r="3648" spans="1:6" x14ac:dyDescent="0.25">
      <c r="A3648" s="11">
        <f t="shared" si="56"/>
        <v>8505329</v>
      </c>
      <c r="B3648">
        <v>8505329</v>
      </c>
      <c r="C3648" t="s">
        <v>1101</v>
      </c>
      <c r="D3648">
        <v>229.6</v>
      </c>
      <c r="E3648">
        <v>150</v>
      </c>
      <c r="F3648" s="7"/>
    </row>
    <row r="3649" spans="1:6" x14ac:dyDescent="0.25">
      <c r="A3649" s="11">
        <f t="shared" si="56"/>
        <v>8505330</v>
      </c>
      <c r="B3649">
        <v>8505330</v>
      </c>
      <c r="C3649" t="s">
        <v>2657</v>
      </c>
      <c r="D3649">
        <v>212.96</v>
      </c>
      <c r="E3649">
        <v>-6</v>
      </c>
      <c r="F3649" s="7"/>
    </row>
    <row r="3650" spans="1:6" x14ac:dyDescent="0.25">
      <c r="A3650" s="11">
        <f t="shared" si="56"/>
        <v>8505331</v>
      </c>
      <c r="B3650">
        <v>8505331</v>
      </c>
      <c r="C3650" t="s">
        <v>1100</v>
      </c>
      <c r="D3650">
        <v>229.6</v>
      </c>
      <c r="E3650">
        <v>35</v>
      </c>
      <c r="F3650" s="7"/>
    </row>
    <row r="3651" spans="1:6" x14ac:dyDescent="0.25">
      <c r="A3651" s="11">
        <f t="shared" si="56"/>
        <v>8505367</v>
      </c>
      <c r="B3651">
        <v>8505367</v>
      </c>
      <c r="C3651" t="s">
        <v>1120</v>
      </c>
      <c r="D3651">
        <v>304.60000000000002</v>
      </c>
      <c r="E3651">
        <v>0</v>
      </c>
      <c r="F3651" s="7"/>
    </row>
    <row r="3652" spans="1:6" x14ac:dyDescent="0.25">
      <c r="A3652" s="11" t="str">
        <f t="shared" si="56"/>
        <v/>
      </c>
      <c r="B3652" t="s">
        <v>1859</v>
      </c>
      <c r="C3652" t="s">
        <v>1859</v>
      </c>
      <c r="D3652">
        <v>0</v>
      </c>
      <c r="E3652">
        <v>0</v>
      </c>
      <c r="F3652" s="7"/>
    </row>
    <row r="3653" spans="1:6" x14ac:dyDescent="0.25">
      <c r="A3653" s="11">
        <f t="shared" si="56"/>
        <v>8505600</v>
      </c>
      <c r="B3653">
        <v>8505600</v>
      </c>
      <c r="C3653" t="s">
        <v>2658</v>
      </c>
      <c r="D3653">
        <v>0</v>
      </c>
      <c r="E3653">
        <v>0</v>
      </c>
      <c r="F3653" s="7"/>
    </row>
    <row r="3654" spans="1:6" x14ac:dyDescent="0.25">
      <c r="A3654" s="11">
        <f t="shared" ref="A3654:A3717" si="57">IFERROR(B3654*1,"")</f>
        <v>8505601</v>
      </c>
      <c r="B3654">
        <v>8505601</v>
      </c>
      <c r="C3654" t="s">
        <v>803</v>
      </c>
      <c r="D3654">
        <v>157.91</v>
      </c>
      <c r="E3654">
        <v>0</v>
      </c>
      <c r="F3654" s="7"/>
    </row>
    <row r="3655" spans="1:6" x14ac:dyDescent="0.25">
      <c r="A3655" s="11">
        <f t="shared" si="57"/>
        <v>8505602</v>
      </c>
      <c r="B3655">
        <v>8505602</v>
      </c>
      <c r="C3655" t="s">
        <v>1710</v>
      </c>
      <c r="D3655">
        <v>176</v>
      </c>
      <c r="E3655">
        <v>0</v>
      </c>
      <c r="F3655" s="7"/>
    </row>
    <row r="3656" spans="1:6" x14ac:dyDescent="0.25">
      <c r="A3656" s="11" t="str">
        <f t="shared" si="57"/>
        <v/>
      </c>
      <c r="B3656" t="s">
        <v>1859</v>
      </c>
      <c r="C3656" t="s">
        <v>1859</v>
      </c>
      <c r="D3656">
        <v>0</v>
      </c>
      <c r="E3656">
        <v>0</v>
      </c>
      <c r="F3656" s="7"/>
    </row>
    <row r="3657" spans="1:6" x14ac:dyDescent="0.25">
      <c r="A3657" s="11">
        <f t="shared" si="57"/>
        <v>8505603</v>
      </c>
      <c r="B3657">
        <v>8505603</v>
      </c>
      <c r="C3657" t="s">
        <v>2659</v>
      </c>
      <c r="D3657">
        <v>0</v>
      </c>
      <c r="E3657">
        <v>0</v>
      </c>
      <c r="F3657" s="7"/>
    </row>
    <row r="3658" spans="1:6" x14ac:dyDescent="0.25">
      <c r="A3658" s="11" t="str">
        <f t="shared" si="57"/>
        <v/>
      </c>
      <c r="B3658" t="s">
        <v>1859</v>
      </c>
      <c r="C3658" t="s">
        <v>1859</v>
      </c>
      <c r="D3658">
        <v>0</v>
      </c>
      <c r="E3658">
        <v>0</v>
      </c>
      <c r="F3658" s="7"/>
    </row>
    <row r="3659" spans="1:6" x14ac:dyDescent="0.25">
      <c r="A3659" s="11">
        <f t="shared" si="57"/>
        <v>8505604</v>
      </c>
      <c r="B3659">
        <v>8505604</v>
      </c>
      <c r="C3659" t="s">
        <v>2660</v>
      </c>
      <c r="D3659">
        <v>0</v>
      </c>
      <c r="E3659">
        <v>0</v>
      </c>
      <c r="F3659" s="7"/>
    </row>
    <row r="3660" spans="1:6" x14ac:dyDescent="0.25">
      <c r="A3660" s="11">
        <f t="shared" si="57"/>
        <v>8505605</v>
      </c>
      <c r="B3660">
        <v>8505605</v>
      </c>
      <c r="C3660" t="s">
        <v>812</v>
      </c>
      <c r="D3660">
        <v>157.91</v>
      </c>
      <c r="E3660">
        <v>0</v>
      </c>
      <c r="F3660" s="7"/>
    </row>
    <row r="3661" spans="1:6" x14ac:dyDescent="0.25">
      <c r="A3661" s="11">
        <f t="shared" si="57"/>
        <v>8505606</v>
      </c>
      <c r="B3661">
        <v>8505606</v>
      </c>
      <c r="C3661" t="s">
        <v>814</v>
      </c>
      <c r="D3661">
        <v>157.91</v>
      </c>
      <c r="E3661">
        <v>0</v>
      </c>
      <c r="F3661" s="7"/>
    </row>
    <row r="3662" spans="1:6" x14ac:dyDescent="0.25">
      <c r="A3662" s="11" t="str">
        <f t="shared" si="57"/>
        <v/>
      </c>
      <c r="B3662" t="s">
        <v>1859</v>
      </c>
      <c r="C3662" t="s">
        <v>1859</v>
      </c>
      <c r="D3662">
        <v>0</v>
      </c>
      <c r="E3662">
        <v>0</v>
      </c>
      <c r="F3662" s="7"/>
    </row>
    <row r="3663" spans="1:6" x14ac:dyDescent="0.25">
      <c r="A3663" s="11">
        <f t="shared" si="57"/>
        <v>8505607</v>
      </c>
      <c r="B3663">
        <v>8505607</v>
      </c>
      <c r="C3663" t="s">
        <v>2661</v>
      </c>
      <c r="D3663">
        <v>0</v>
      </c>
      <c r="E3663">
        <v>0</v>
      </c>
      <c r="F3663" s="7"/>
    </row>
    <row r="3664" spans="1:6" x14ac:dyDescent="0.25">
      <c r="A3664" s="11">
        <f t="shared" si="57"/>
        <v>8505688</v>
      </c>
      <c r="B3664">
        <v>8505688</v>
      </c>
      <c r="C3664" t="s">
        <v>1412</v>
      </c>
      <c r="D3664">
        <v>3899.99</v>
      </c>
      <c r="E3664">
        <v>2</v>
      </c>
      <c r="F3664" s="7"/>
    </row>
    <row r="3665" spans="1:6" x14ac:dyDescent="0.25">
      <c r="A3665" s="11">
        <f t="shared" si="57"/>
        <v>8505689</v>
      </c>
      <c r="B3665">
        <v>8505689</v>
      </c>
      <c r="C3665" t="s">
        <v>1411</v>
      </c>
      <c r="D3665">
        <v>4999.99</v>
      </c>
      <c r="E3665">
        <v>0</v>
      </c>
      <c r="F3665" s="7"/>
    </row>
    <row r="3666" spans="1:6" x14ac:dyDescent="0.25">
      <c r="A3666" s="11">
        <f t="shared" si="57"/>
        <v>8505690</v>
      </c>
      <c r="B3666">
        <v>8505690</v>
      </c>
      <c r="C3666" t="s">
        <v>1410</v>
      </c>
      <c r="D3666">
        <v>5999.99</v>
      </c>
      <c r="E3666">
        <v>3</v>
      </c>
      <c r="F3666" s="7"/>
    </row>
    <row r="3667" spans="1:6" x14ac:dyDescent="0.25">
      <c r="A3667" s="11">
        <f t="shared" si="57"/>
        <v>8505691</v>
      </c>
      <c r="B3667">
        <v>8505691</v>
      </c>
      <c r="C3667" t="s">
        <v>1711</v>
      </c>
      <c r="D3667">
        <v>5399.99</v>
      </c>
      <c r="E3667">
        <v>1</v>
      </c>
      <c r="F3667" s="7"/>
    </row>
    <row r="3668" spans="1:6" x14ac:dyDescent="0.25">
      <c r="A3668" s="11">
        <f t="shared" si="57"/>
        <v>8505692</v>
      </c>
      <c r="B3668">
        <v>8505692</v>
      </c>
      <c r="C3668" t="s">
        <v>2662</v>
      </c>
      <c r="D3668">
        <v>0</v>
      </c>
      <c r="E3668">
        <v>3</v>
      </c>
      <c r="F3668" s="7"/>
    </row>
    <row r="3669" spans="1:6" x14ac:dyDescent="0.25">
      <c r="A3669" s="11" t="str">
        <f t="shared" si="57"/>
        <v/>
      </c>
      <c r="B3669" t="s">
        <v>1859</v>
      </c>
      <c r="C3669" t="s">
        <v>1859</v>
      </c>
      <c r="D3669">
        <v>0</v>
      </c>
      <c r="E3669">
        <v>0</v>
      </c>
      <c r="F3669" s="7"/>
    </row>
    <row r="3670" spans="1:6" x14ac:dyDescent="0.25">
      <c r="A3670" s="11">
        <f t="shared" si="57"/>
        <v>8505693</v>
      </c>
      <c r="B3670">
        <v>8505693</v>
      </c>
      <c r="C3670" t="s">
        <v>2663</v>
      </c>
      <c r="D3670">
        <v>0</v>
      </c>
      <c r="E3670">
        <v>0</v>
      </c>
      <c r="F3670" s="7"/>
    </row>
    <row r="3671" spans="1:6" x14ac:dyDescent="0.25">
      <c r="A3671" s="11">
        <f t="shared" si="57"/>
        <v>8505701</v>
      </c>
      <c r="B3671">
        <v>8505701</v>
      </c>
      <c r="C3671" t="s">
        <v>802</v>
      </c>
      <c r="D3671">
        <v>199.76</v>
      </c>
      <c r="E3671">
        <v>1</v>
      </c>
      <c r="F3671" s="7"/>
    </row>
    <row r="3672" spans="1:6" x14ac:dyDescent="0.25">
      <c r="A3672" s="11" t="str">
        <f t="shared" si="57"/>
        <v/>
      </c>
      <c r="B3672" t="s">
        <v>1859</v>
      </c>
      <c r="C3672" t="s">
        <v>1859</v>
      </c>
      <c r="D3672">
        <v>0</v>
      </c>
      <c r="E3672">
        <v>0</v>
      </c>
      <c r="F3672" s="7"/>
    </row>
    <row r="3673" spans="1:6" x14ac:dyDescent="0.25">
      <c r="A3673" s="11">
        <f t="shared" si="57"/>
        <v>8505702</v>
      </c>
      <c r="B3673">
        <v>8505702</v>
      </c>
      <c r="C3673" t="s">
        <v>2664</v>
      </c>
      <c r="D3673">
        <v>0</v>
      </c>
      <c r="E3673">
        <v>0</v>
      </c>
      <c r="F3673" s="7"/>
    </row>
    <row r="3674" spans="1:6" x14ac:dyDescent="0.25">
      <c r="A3674" s="11">
        <f t="shared" si="57"/>
        <v>8505703</v>
      </c>
      <c r="B3674">
        <v>8505703</v>
      </c>
      <c r="C3674" t="s">
        <v>806</v>
      </c>
      <c r="D3674">
        <v>199.76</v>
      </c>
      <c r="E3674">
        <v>0</v>
      </c>
      <c r="F3674" s="7"/>
    </row>
    <row r="3675" spans="1:6" x14ac:dyDescent="0.25">
      <c r="A3675" s="11">
        <f t="shared" si="57"/>
        <v>8505704</v>
      </c>
      <c r="B3675">
        <v>8505704</v>
      </c>
      <c r="C3675" t="s">
        <v>807</v>
      </c>
      <c r="D3675">
        <v>199.76</v>
      </c>
      <c r="E3675">
        <v>0</v>
      </c>
      <c r="F3675" s="7"/>
    </row>
    <row r="3676" spans="1:6" x14ac:dyDescent="0.25">
      <c r="A3676" s="11">
        <f t="shared" si="57"/>
        <v>8505705</v>
      </c>
      <c r="B3676">
        <v>8505705</v>
      </c>
      <c r="C3676" t="s">
        <v>805</v>
      </c>
      <c r="D3676">
        <v>199.76</v>
      </c>
      <c r="E3676">
        <v>8</v>
      </c>
      <c r="F3676" s="7"/>
    </row>
    <row r="3677" spans="1:6" x14ac:dyDescent="0.25">
      <c r="A3677" s="11">
        <f t="shared" si="57"/>
        <v>8505706</v>
      </c>
      <c r="B3677">
        <v>8505706</v>
      </c>
      <c r="C3677" t="s">
        <v>811</v>
      </c>
      <c r="D3677">
        <v>199.76</v>
      </c>
      <c r="E3677">
        <v>6</v>
      </c>
      <c r="F3677" s="7"/>
    </row>
    <row r="3678" spans="1:6" x14ac:dyDescent="0.25">
      <c r="A3678" s="11">
        <f t="shared" si="57"/>
        <v>8505707</v>
      </c>
      <c r="B3678">
        <v>8505707</v>
      </c>
      <c r="C3678" t="s">
        <v>1712</v>
      </c>
      <c r="D3678">
        <v>199.76</v>
      </c>
      <c r="E3678">
        <v>0</v>
      </c>
      <c r="F3678" s="7"/>
    </row>
    <row r="3679" spans="1:6" x14ac:dyDescent="0.25">
      <c r="A3679" s="11">
        <f t="shared" si="57"/>
        <v>8505708</v>
      </c>
      <c r="B3679">
        <v>8505708</v>
      </c>
      <c r="C3679" t="s">
        <v>2665</v>
      </c>
      <c r="D3679">
        <v>0</v>
      </c>
      <c r="E3679">
        <v>1</v>
      </c>
      <c r="F3679" s="7"/>
    </row>
    <row r="3680" spans="1:6" x14ac:dyDescent="0.25">
      <c r="A3680" s="11">
        <f t="shared" si="57"/>
        <v>8505709</v>
      </c>
      <c r="B3680">
        <v>8505709</v>
      </c>
      <c r="C3680" t="s">
        <v>2666</v>
      </c>
      <c r="D3680">
        <v>0</v>
      </c>
      <c r="E3680">
        <v>0</v>
      </c>
      <c r="F3680" s="7"/>
    </row>
    <row r="3681" spans="1:6" x14ac:dyDescent="0.25">
      <c r="A3681" s="11" t="str">
        <f t="shared" si="57"/>
        <v/>
      </c>
      <c r="B3681" t="s">
        <v>1859</v>
      </c>
      <c r="C3681" t="s">
        <v>1859</v>
      </c>
      <c r="D3681">
        <v>0</v>
      </c>
      <c r="E3681">
        <v>0</v>
      </c>
      <c r="F3681" s="7"/>
    </row>
    <row r="3682" spans="1:6" x14ac:dyDescent="0.25">
      <c r="A3682" s="11">
        <f t="shared" si="57"/>
        <v>8505710</v>
      </c>
      <c r="B3682">
        <v>8505710</v>
      </c>
      <c r="C3682" t="s">
        <v>2667</v>
      </c>
      <c r="D3682">
        <v>0</v>
      </c>
      <c r="E3682">
        <v>0</v>
      </c>
      <c r="F3682" s="7"/>
    </row>
    <row r="3683" spans="1:6" x14ac:dyDescent="0.25">
      <c r="A3683" s="11" t="str">
        <f t="shared" si="57"/>
        <v/>
      </c>
      <c r="B3683" t="s">
        <v>1859</v>
      </c>
      <c r="C3683" t="s">
        <v>1859</v>
      </c>
      <c r="D3683">
        <v>0</v>
      </c>
      <c r="E3683">
        <v>0</v>
      </c>
      <c r="F3683" s="7"/>
    </row>
    <row r="3684" spans="1:6" x14ac:dyDescent="0.25">
      <c r="A3684" s="11">
        <f t="shared" si="57"/>
        <v>8505711</v>
      </c>
      <c r="B3684">
        <v>8505711</v>
      </c>
      <c r="C3684" t="s">
        <v>2668</v>
      </c>
      <c r="D3684">
        <v>0</v>
      </c>
      <c r="E3684">
        <v>0</v>
      </c>
      <c r="F3684" s="7"/>
    </row>
    <row r="3685" spans="1:6" x14ac:dyDescent="0.25">
      <c r="A3685" s="11">
        <f t="shared" si="57"/>
        <v>8505712</v>
      </c>
      <c r="B3685">
        <v>8505712</v>
      </c>
      <c r="C3685" t="s">
        <v>2669</v>
      </c>
      <c r="D3685">
        <v>0</v>
      </c>
      <c r="E3685">
        <v>0</v>
      </c>
      <c r="F3685" s="7"/>
    </row>
    <row r="3686" spans="1:6" x14ac:dyDescent="0.25">
      <c r="A3686" s="11" t="str">
        <f t="shared" si="57"/>
        <v/>
      </c>
      <c r="B3686" t="s">
        <v>1859</v>
      </c>
      <c r="C3686" t="s">
        <v>1859</v>
      </c>
      <c r="D3686">
        <v>0</v>
      </c>
      <c r="E3686">
        <v>0</v>
      </c>
      <c r="F3686" s="7"/>
    </row>
    <row r="3687" spans="1:6" x14ac:dyDescent="0.25">
      <c r="A3687" s="11">
        <f t="shared" si="57"/>
        <v>8505713</v>
      </c>
      <c r="B3687">
        <v>8505713</v>
      </c>
      <c r="C3687" t="s">
        <v>2670</v>
      </c>
      <c r="D3687">
        <v>0</v>
      </c>
      <c r="E3687">
        <v>0</v>
      </c>
      <c r="F3687" s="7"/>
    </row>
    <row r="3688" spans="1:6" x14ac:dyDescent="0.25">
      <c r="A3688" s="11" t="str">
        <f t="shared" si="57"/>
        <v/>
      </c>
      <c r="B3688" t="s">
        <v>1859</v>
      </c>
      <c r="C3688" t="s">
        <v>1859</v>
      </c>
      <c r="D3688">
        <v>0</v>
      </c>
      <c r="E3688">
        <v>0</v>
      </c>
      <c r="F3688" s="7"/>
    </row>
    <row r="3689" spans="1:6" x14ac:dyDescent="0.25">
      <c r="A3689" s="11">
        <f t="shared" si="57"/>
        <v>8505714</v>
      </c>
      <c r="B3689">
        <v>8505714</v>
      </c>
      <c r="C3689" t="s">
        <v>2671</v>
      </c>
      <c r="D3689">
        <v>0</v>
      </c>
      <c r="E3689">
        <v>0</v>
      </c>
      <c r="F3689" s="7"/>
    </row>
    <row r="3690" spans="1:6" x14ac:dyDescent="0.25">
      <c r="A3690" s="11">
        <f t="shared" si="57"/>
        <v>8505789</v>
      </c>
      <c r="B3690">
        <v>8505789</v>
      </c>
      <c r="C3690" t="s">
        <v>1141</v>
      </c>
      <c r="D3690">
        <v>137.76</v>
      </c>
      <c r="E3690">
        <v>40</v>
      </c>
      <c r="F3690" s="7"/>
    </row>
    <row r="3691" spans="1:6" x14ac:dyDescent="0.25">
      <c r="A3691" s="11" t="str">
        <f t="shared" si="57"/>
        <v/>
      </c>
      <c r="B3691" t="s">
        <v>1859</v>
      </c>
      <c r="C3691" t="s">
        <v>1859</v>
      </c>
      <c r="D3691">
        <v>0</v>
      </c>
      <c r="E3691">
        <v>0</v>
      </c>
      <c r="F3691" s="7"/>
    </row>
    <row r="3692" spans="1:6" x14ac:dyDescent="0.25">
      <c r="A3692" s="11">
        <f t="shared" si="57"/>
        <v>8505809</v>
      </c>
      <c r="B3692">
        <v>8505809</v>
      </c>
      <c r="C3692" t="s">
        <v>2672</v>
      </c>
      <c r="D3692">
        <v>0</v>
      </c>
      <c r="E3692">
        <v>0</v>
      </c>
      <c r="F3692" s="7"/>
    </row>
    <row r="3693" spans="1:6" x14ac:dyDescent="0.25">
      <c r="A3693" s="11" t="str">
        <f t="shared" si="57"/>
        <v/>
      </c>
      <c r="B3693" t="s">
        <v>1859</v>
      </c>
      <c r="C3693" t="s">
        <v>1859</v>
      </c>
      <c r="D3693">
        <v>0</v>
      </c>
      <c r="E3693">
        <v>0</v>
      </c>
      <c r="F3693" s="7"/>
    </row>
    <row r="3694" spans="1:6" x14ac:dyDescent="0.25">
      <c r="A3694" s="11">
        <f t="shared" si="57"/>
        <v>8505810</v>
      </c>
      <c r="B3694">
        <v>8505810</v>
      </c>
      <c r="C3694" t="s">
        <v>2673</v>
      </c>
      <c r="D3694">
        <v>0</v>
      </c>
      <c r="E3694">
        <v>0</v>
      </c>
      <c r="F3694" s="7"/>
    </row>
    <row r="3695" spans="1:6" x14ac:dyDescent="0.25">
      <c r="A3695" s="11">
        <f t="shared" si="57"/>
        <v>8505820</v>
      </c>
      <c r="B3695">
        <v>8505820</v>
      </c>
      <c r="C3695" t="s">
        <v>1713</v>
      </c>
      <c r="D3695">
        <v>846.99</v>
      </c>
      <c r="E3695">
        <v>34</v>
      </c>
      <c r="F3695" s="7"/>
    </row>
    <row r="3696" spans="1:6" x14ac:dyDescent="0.25">
      <c r="A3696" s="11">
        <f t="shared" si="57"/>
        <v>8505821</v>
      </c>
      <c r="B3696">
        <v>8505821</v>
      </c>
      <c r="C3696" t="s">
        <v>1714</v>
      </c>
      <c r="D3696">
        <v>499.99</v>
      </c>
      <c r="E3696">
        <v>0</v>
      </c>
      <c r="F3696" s="7"/>
    </row>
    <row r="3697" spans="1:6" x14ac:dyDescent="0.25">
      <c r="A3697" s="11">
        <f t="shared" si="57"/>
        <v>8505822</v>
      </c>
      <c r="B3697">
        <v>8505822</v>
      </c>
      <c r="C3697" t="s">
        <v>1715</v>
      </c>
      <c r="D3697">
        <v>649.99</v>
      </c>
      <c r="E3697">
        <v>0</v>
      </c>
      <c r="F3697" s="7"/>
    </row>
    <row r="3698" spans="1:6" x14ac:dyDescent="0.25">
      <c r="A3698" s="11">
        <f t="shared" si="57"/>
        <v>8505823</v>
      </c>
      <c r="B3698">
        <v>8505823</v>
      </c>
      <c r="C3698" t="s">
        <v>1716</v>
      </c>
      <c r="D3698">
        <v>845.79</v>
      </c>
      <c r="E3698">
        <v>33</v>
      </c>
      <c r="F3698" s="7"/>
    </row>
    <row r="3699" spans="1:6" x14ac:dyDescent="0.25">
      <c r="A3699" s="11">
        <f t="shared" si="57"/>
        <v>8505824</v>
      </c>
      <c r="B3699">
        <v>8505824</v>
      </c>
      <c r="C3699" t="s">
        <v>19</v>
      </c>
      <c r="D3699">
        <v>763.8</v>
      </c>
      <c r="E3699">
        <v>3</v>
      </c>
      <c r="F3699" s="7"/>
    </row>
    <row r="3700" spans="1:6" x14ac:dyDescent="0.25">
      <c r="A3700" s="11">
        <f t="shared" si="57"/>
        <v>8505825</v>
      </c>
      <c r="B3700">
        <v>8505825</v>
      </c>
      <c r="C3700" t="s">
        <v>1717</v>
      </c>
      <c r="D3700">
        <v>93.5</v>
      </c>
      <c r="E3700">
        <v>362</v>
      </c>
      <c r="F3700" s="7"/>
    </row>
    <row r="3701" spans="1:6" x14ac:dyDescent="0.25">
      <c r="A3701" s="11">
        <f t="shared" si="57"/>
        <v>8505826</v>
      </c>
      <c r="B3701">
        <v>8505826</v>
      </c>
      <c r="C3701" t="s">
        <v>1718</v>
      </c>
      <c r="D3701">
        <v>104.5</v>
      </c>
      <c r="E3701">
        <v>0</v>
      </c>
      <c r="F3701" s="7"/>
    </row>
    <row r="3702" spans="1:6" x14ac:dyDescent="0.25">
      <c r="A3702" s="11">
        <f t="shared" si="57"/>
        <v>8505827</v>
      </c>
      <c r="B3702">
        <v>8505827</v>
      </c>
      <c r="C3702" t="s">
        <v>1719</v>
      </c>
      <c r="D3702">
        <v>93.5</v>
      </c>
      <c r="E3702">
        <v>238</v>
      </c>
      <c r="F3702" s="7"/>
    </row>
    <row r="3703" spans="1:6" x14ac:dyDescent="0.25">
      <c r="A3703" s="11" t="str">
        <f t="shared" si="57"/>
        <v/>
      </c>
      <c r="B3703" t="s">
        <v>1859</v>
      </c>
      <c r="C3703" t="s">
        <v>1859</v>
      </c>
      <c r="D3703">
        <v>0</v>
      </c>
      <c r="E3703">
        <v>0</v>
      </c>
      <c r="F3703" s="7"/>
    </row>
    <row r="3704" spans="1:6" x14ac:dyDescent="0.25">
      <c r="A3704" s="11">
        <f t="shared" si="57"/>
        <v>8505838</v>
      </c>
      <c r="B3704">
        <v>8505838</v>
      </c>
      <c r="C3704" t="s">
        <v>2674</v>
      </c>
      <c r="D3704">
        <v>0</v>
      </c>
      <c r="E3704">
        <v>0</v>
      </c>
      <c r="F3704" s="7"/>
    </row>
    <row r="3705" spans="1:6" x14ac:dyDescent="0.25">
      <c r="A3705" s="11">
        <f t="shared" si="57"/>
        <v>8507002</v>
      </c>
      <c r="B3705">
        <v>8507002</v>
      </c>
      <c r="C3705" t="s">
        <v>1720</v>
      </c>
      <c r="D3705">
        <v>2640</v>
      </c>
      <c r="E3705">
        <v>11</v>
      </c>
      <c r="F3705" s="7"/>
    </row>
    <row r="3706" spans="1:6" x14ac:dyDescent="0.25">
      <c r="A3706" s="11" t="str">
        <f t="shared" si="57"/>
        <v/>
      </c>
      <c r="B3706" t="s">
        <v>1859</v>
      </c>
      <c r="C3706" t="s">
        <v>1859</v>
      </c>
      <c r="D3706">
        <v>0</v>
      </c>
      <c r="E3706">
        <v>0</v>
      </c>
      <c r="F3706" s="7"/>
    </row>
    <row r="3707" spans="1:6" x14ac:dyDescent="0.25">
      <c r="A3707" s="11">
        <f t="shared" si="57"/>
        <v>8508065</v>
      </c>
      <c r="B3707">
        <v>8508065</v>
      </c>
      <c r="C3707" t="s">
        <v>2675</v>
      </c>
      <c r="D3707">
        <v>0</v>
      </c>
      <c r="E3707">
        <v>0</v>
      </c>
      <c r="F3707" s="7"/>
    </row>
    <row r="3708" spans="1:6" x14ac:dyDescent="0.25">
      <c r="A3708" s="11" t="str">
        <f t="shared" si="57"/>
        <v/>
      </c>
      <c r="B3708" t="s">
        <v>1859</v>
      </c>
      <c r="C3708" t="s">
        <v>1859</v>
      </c>
      <c r="D3708">
        <v>0</v>
      </c>
      <c r="E3708">
        <v>0</v>
      </c>
      <c r="F3708" s="7"/>
    </row>
    <row r="3709" spans="1:6" x14ac:dyDescent="0.25">
      <c r="A3709" s="11">
        <f t="shared" si="57"/>
        <v>8508121</v>
      </c>
      <c r="B3709">
        <v>8508121</v>
      </c>
      <c r="C3709" t="s">
        <v>2676</v>
      </c>
      <c r="D3709">
        <v>0</v>
      </c>
      <c r="E3709">
        <v>0</v>
      </c>
      <c r="F3709" s="7"/>
    </row>
    <row r="3710" spans="1:6" x14ac:dyDescent="0.25">
      <c r="A3710" s="11">
        <f t="shared" si="57"/>
        <v>850812160</v>
      </c>
      <c r="B3710">
        <v>850812160</v>
      </c>
      <c r="C3710" t="s">
        <v>2676</v>
      </c>
      <c r="D3710">
        <v>0</v>
      </c>
      <c r="E3710">
        <v>0</v>
      </c>
      <c r="F3710" s="7"/>
    </row>
    <row r="3711" spans="1:6" x14ac:dyDescent="0.25">
      <c r="A3711" s="11">
        <f t="shared" si="57"/>
        <v>8508132</v>
      </c>
      <c r="B3711">
        <v>8508132</v>
      </c>
      <c r="C3711" t="s">
        <v>1721</v>
      </c>
      <c r="D3711">
        <v>335.06</v>
      </c>
      <c r="E3711">
        <v>4</v>
      </c>
      <c r="F3711" s="7"/>
    </row>
    <row r="3712" spans="1:6" x14ac:dyDescent="0.25">
      <c r="A3712" s="11">
        <f t="shared" si="57"/>
        <v>850813260</v>
      </c>
      <c r="B3712">
        <v>850813260</v>
      </c>
      <c r="C3712" t="s">
        <v>855</v>
      </c>
      <c r="D3712">
        <v>174.49</v>
      </c>
      <c r="E3712">
        <v>2</v>
      </c>
      <c r="F3712" s="7"/>
    </row>
    <row r="3713" spans="1:6" x14ac:dyDescent="0.25">
      <c r="A3713" s="11">
        <f t="shared" si="57"/>
        <v>850814110</v>
      </c>
      <c r="B3713">
        <v>850814110</v>
      </c>
      <c r="C3713" t="s">
        <v>2677</v>
      </c>
      <c r="D3713">
        <v>0</v>
      </c>
      <c r="E3713">
        <v>0</v>
      </c>
      <c r="F3713" s="7"/>
    </row>
    <row r="3714" spans="1:6" x14ac:dyDescent="0.25">
      <c r="A3714" s="11">
        <f t="shared" si="57"/>
        <v>850822000</v>
      </c>
      <c r="B3714">
        <v>850822000</v>
      </c>
      <c r="C3714" t="s">
        <v>2678</v>
      </c>
      <c r="D3714">
        <v>0</v>
      </c>
      <c r="E3714">
        <v>0</v>
      </c>
      <c r="F3714" s="7"/>
    </row>
    <row r="3715" spans="1:6" x14ac:dyDescent="0.25">
      <c r="A3715" s="11">
        <f t="shared" si="57"/>
        <v>8508507</v>
      </c>
      <c r="B3715">
        <v>8508507</v>
      </c>
      <c r="C3715" t="s">
        <v>857</v>
      </c>
      <c r="D3715">
        <v>336.73</v>
      </c>
      <c r="E3715">
        <v>0</v>
      </c>
      <c r="F3715" s="7"/>
    </row>
    <row r="3716" spans="1:6" x14ac:dyDescent="0.25">
      <c r="A3716" s="11">
        <f t="shared" si="57"/>
        <v>850850712</v>
      </c>
      <c r="B3716">
        <v>850850712</v>
      </c>
      <c r="C3716" t="s">
        <v>856</v>
      </c>
      <c r="D3716">
        <v>592.9</v>
      </c>
      <c r="E3716">
        <v>0</v>
      </c>
      <c r="F3716" s="7"/>
    </row>
    <row r="3717" spans="1:6" x14ac:dyDescent="0.25">
      <c r="A3717" s="11">
        <f t="shared" si="57"/>
        <v>8509729</v>
      </c>
      <c r="B3717">
        <v>8509729</v>
      </c>
      <c r="C3717" t="s">
        <v>499</v>
      </c>
      <c r="D3717">
        <v>1814.99</v>
      </c>
      <c r="E3717">
        <v>30</v>
      </c>
      <c r="F3717" s="7"/>
    </row>
    <row r="3718" spans="1:6" x14ac:dyDescent="0.25">
      <c r="A3718" s="11">
        <f t="shared" ref="A3718:A3781" si="58">IFERROR(B3718*1,"")</f>
        <v>8511115</v>
      </c>
      <c r="B3718">
        <v>8511115</v>
      </c>
      <c r="C3718" t="s">
        <v>1722</v>
      </c>
      <c r="D3718">
        <v>278.29000000000002</v>
      </c>
      <c r="E3718">
        <v>10</v>
      </c>
      <c r="F3718" s="7"/>
    </row>
    <row r="3719" spans="1:6" x14ac:dyDescent="0.25">
      <c r="A3719" s="11">
        <f t="shared" si="58"/>
        <v>8511421</v>
      </c>
      <c r="B3719">
        <v>8511421</v>
      </c>
      <c r="C3719" t="s">
        <v>193</v>
      </c>
      <c r="D3719">
        <v>687.27</v>
      </c>
      <c r="E3719">
        <v>0</v>
      </c>
      <c r="F3719" s="7"/>
    </row>
    <row r="3720" spans="1:6" x14ac:dyDescent="0.25">
      <c r="A3720" s="11">
        <f t="shared" si="58"/>
        <v>8511446</v>
      </c>
      <c r="B3720">
        <v>8511446</v>
      </c>
      <c r="C3720" t="s">
        <v>192</v>
      </c>
      <c r="D3720">
        <v>993.4</v>
      </c>
      <c r="E3720">
        <v>0</v>
      </c>
      <c r="F3720" s="7"/>
    </row>
    <row r="3721" spans="1:6" x14ac:dyDescent="0.25">
      <c r="A3721" s="11">
        <f t="shared" si="58"/>
        <v>8511522</v>
      </c>
      <c r="B3721">
        <v>8511522</v>
      </c>
      <c r="C3721" t="s">
        <v>191</v>
      </c>
      <c r="D3721">
        <v>687.27</v>
      </c>
      <c r="E3721">
        <v>1</v>
      </c>
      <c r="F3721" s="7"/>
    </row>
    <row r="3722" spans="1:6" x14ac:dyDescent="0.25">
      <c r="A3722" s="11">
        <f t="shared" si="58"/>
        <v>8511744</v>
      </c>
      <c r="B3722">
        <v>8511744</v>
      </c>
      <c r="C3722" t="s">
        <v>190</v>
      </c>
      <c r="D3722">
        <v>687.27</v>
      </c>
      <c r="E3722">
        <v>0</v>
      </c>
      <c r="F3722" s="7"/>
    </row>
    <row r="3723" spans="1:6" x14ac:dyDescent="0.25">
      <c r="A3723" s="11">
        <f t="shared" si="58"/>
        <v>8513001</v>
      </c>
      <c r="B3723">
        <v>8513001</v>
      </c>
      <c r="C3723" t="s">
        <v>828</v>
      </c>
      <c r="D3723">
        <v>2902.79</v>
      </c>
      <c r="E3723">
        <v>0</v>
      </c>
      <c r="F3723" s="7"/>
    </row>
    <row r="3724" spans="1:6" x14ac:dyDescent="0.25">
      <c r="A3724" s="11">
        <f t="shared" si="58"/>
        <v>8513012</v>
      </c>
      <c r="B3724">
        <v>8513012</v>
      </c>
      <c r="C3724" t="s">
        <v>367</v>
      </c>
      <c r="D3724">
        <v>1454.12</v>
      </c>
      <c r="E3724">
        <v>1</v>
      </c>
      <c r="F3724" s="7"/>
    </row>
    <row r="3725" spans="1:6" x14ac:dyDescent="0.25">
      <c r="A3725" s="11">
        <f t="shared" si="58"/>
        <v>8513160</v>
      </c>
      <c r="B3725">
        <v>8513160</v>
      </c>
      <c r="C3725" t="s">
        <v>854</v>
      </c>
      <c r="D3725">
        <v>2523.9</v>
      </c>
      <c r="E3725">
        <v>1</v>
      </c>
      <c r="F3725" s="7"/>
    </row>
    <row r="3726" spans="1:6" x14ac:dyDescent="0.25">
      <c r="A3726" s="11">
        <f t="shared" si="58"/>
        <v>8513173</v>
      </c>
      <c r="B3726">
        <v>8513173</v>
      </c>
      <c r="C3726" t="s">
        <v>1723</v>
      </c>
      <c r="D3726">
        <v>2418.79</v>
      </c>
      <c r="E3726">
        <v>0</v>
      </c>
      <c r="F3726" s="7"/>
    </row>
    <row r="3727" spans="1:6" x14ac:dyDescent="0.25">
      <c r="A3727" s="11">
        <f t="shared" si="58"/>
        <v>8513174</v>
      </c>
      <c r="B3727">
        <v>8513174</v>
      </c>
      <c r="C3727" t="s">
        <v>827</v>
      </c>
      <c r="D3727">
        <v>2418.79</v>
      </c>
      <c r="E3727">
        <v>172</v>
      </c>
      <c r="F3727" s="7"/>
    </row>
    <row r="3728" spans="1:6" x14ac:dyDescent="0.25">
      <c r="A3728" s="11">
        <f t="shared" si="58"/>
        <v>8513175</v>
      </c>
      <c r="B3728">
        <v>8513175</v>
      </c>
      <c r="C3728" t="s">
        <v>18</v>
      </c>
      <c r="D3728">
        <v>1376.06</v>
      </c>
      <c r="E3728">
        <v>1</v>
      </c>
      <c r="F3728" s="7"/>
    </row>
    <row r="3729" spans="1:6" x14ac:dyDescent="0.25">
      <c r="A3729" s="11" t="str">
        <f t="shared" si="58"/>
        <v/>
      </c>
      <c r="B3729" t="s">
        <v>1859</v>
      </c>
      <c r="C3729" t="s">
        <v>1859</v>
      </c>
      <c r="D3729">
        <v>0</v>
      </c>
      <c r="E3729">
        <v>0</v>
      </c>
      <c r="F3729" s="7"/>
    </row>
    <row r="3730" spans="1:6" x14ac:dyDescent="0.25">
      <c r="A3730" s="11">
        <f t="shared" si="58"/>
        <v>8513224</v>
      </c>
      <c r="B3730">
        <v>8513224</v>
      </c>
      <c r="C3730" t="s">
        <v>2679</v>
      </c>
      <c r="D3730">
        <v>0</v>
      </c>
      <c r="E3730">
        <v>0</v>
      </c>
      <c r="F3730" s="7"/>
    </row>
    <row r="3731" spans="1:6" x14ac:dyDescent="0.25">
      <c r="A3731" s="11" t="str">
        <f t="shared" si="58"/>
        <v/>
      </c>
      <c r="B3731" t="s">
        <v>1859</v>
      </c>
      <c r="C3731" t="s">
        <v>1859</v>
      </c>
      <c r="D3731">
        <v>0</v>
      </c>
      <c r="E3731">
        <v>0</v>
      </c>
      <c r="F3731" s="7"/>
    </row>
    <row r="3732" spans="1:6" x14ac:dyDescent="0.25">
      <c r="A3732" s="11">
        <f t="shared" si="58"/>
        <v>8513243</v>
      </c>
      <c r="B3732">
        <v>8513243</v>
      </c>
      <c r="C3732" t="s">
        <v>2680</v>
      </c>
      <c r="D3732">
        <v>0</v>
      </c>
      <c r="E3732">
        <v>0</v>
      </c>
      <c r="F3732" s="7"/>
    </row>
    <row r="3733" spans="1:6" x14ac:dyDescent="0.25">
      <c r="A3733" s="11">
        <f t="shared" si="58"/>
        <v>8513244</v>
      </c>
      <c r="B3733">
        <v>8513244</v>
      </c>
      <c r="C3733" t="s">
        <v>366</v>
      </c>
      <c r="D3733">
        <v>1454.12</v>
      </c>
      <c r="E3733">
        <v>3</v>
      </c>
      <c r="F3733" s="7"/>
    </row>
    <row r="3734" spans="1:6" x14ac:dyDescent="0.25">
      <c r="A3734" s="11" t="str">
        <f t="shared" si="58"/>
        <v/>
      </c>
      <c r="B3734" t="s">
        <v>1859</v>
      </c>
      <c r="C3734" t="s">
        <v>1859</v>
      </c>
      <c r="D3734">
        <v>0</v>
      </c>
      <c r="E3734">
        <v>0</v>
      </c>
      <c r="F3734" s="7"/>
    </row>
    <row r="3735" spans="1:6" x14ac:dyDescent="0.25">
      <c r="A3735" s="11">
        <f t="shared" si="58"/>
        <v>8513245</v>
      </c>
      <c r="B3735">
        <v>8513245</v>
      </c>
      <c r="C3735" t="s">
        <v>2681</v>
      </c>
      <c r="D3735">
        <v>0</v>
      </c>
      <c r="E3735">
        <v>0</v>
      </c>
      <c r="F3735" s="7"/>
    </row>
    <row r="3736" spans="1:6" x14ac:dyDescent="0.25">
      <c r="A3736" s="11">
        <f t="shared" si="58"/>
        <v>8513303</v>
      </c>
      <c r="B3736">
        <v>8513303</v>
      </c>
      <c r="C3736" t="s">
        <v>1074</v>
      </c>
      <c r="D3736">
        <v>228.07</v>
      </c>
      <c r="E3736">
        <v>0</v>
      </c>
      <c r="F3736" s="7"/>
    </row>
    <row r="3737" spans="1:6" x14ac:dyDescent="0.25">
      <c r="A3737" s="11">
        <f t="shared" si="58"/>
        <v>8513405</v>
      </c>
      <c r="B3737">
        <v>8513405</v>
      </c>
      <c r="C3737" t="s">
        <v>826</v>
      </c>
      <c r="D3737">
        <v>737.96</v>
      </c>
      <c r="E3737">
        <v>0</v>
      </c>
      <c r="F3737" s="7"/>
    </row>
    <row r="3738" spans="1:6" x14ac:dyDescent="0.25">
      <c r="A3738" s="11">
        <f t="shared" si="58"/>
        <v>8515001</v>
      </c>
      <c r="B3738">
        <v>8515001</v>
      </c>
      <c r="C3738" t="s">
        <v>2682</v>
      </c>
      <c r="D3738">
        <v>0</v>
      </c>
      <c r="E3738">
        <v>0</v>
      </c>
      <c r="F3738" s="7"/>
    </row>
    <row r="3739" spans="1:6" x14ac:dyDescent="0.25">
      <c r="A3739" s="11" t="str">
        <f t="shared" si="58"/>
        <v/>
      </c>
      <c r="B3739" t="s">
        <v>1859</v>
      </c>
      <c r="C3739" t="s">
        <v>1859</v>
      </c>
      <c r="D3739">
        <v>0</v>
      </c>
      <c r="E3739">
        <v>0</v>
      </c>
      <c r="F3739" s="7"/>
    </row>
    <row r="3740" spans="1:6" x14ac:dyDescent="0.25">
      <c r="A3740" s="11">
        <f t="shared" si="58"/>
        <v>8515004</v>
      </c>
      <c r="B3740">
        <v>8515004</v>
      </c>
      <c r="C3740" t="s">
        <v>2683</v>
      </c>
      <c r="D3740">
        <v>0</v>
      </c>
      <c r="E3740">
        <v>0</v>
      </c>
      <c r="F3740" s="7"/>
    </row>
    <row r="3741" spans="1:6" x14ac:dyDescent="0.25">
      <c r="A3741" s="11">
        <f t="shared" si="58"/>
        <v>8515180</v>
      </c>
      <c r="B3741">
        <v>8515180</v>
      </c>
      <c r="C3741" t="s">
        <v>853</v>
      </c>
      <c r="D3741">
        <v>447.19</v>
      </c>
      <c r="E3741">
        <v>0</v>
      </c>
      <c r="F3741" s="7"/>
    </row>
    <row r="3742" spans="1:6" x14ac:dyDescent="0.25">
      <c r="A3742" s="11">
        <f t="shared" si="58"/>
        <v>8515181</v>
      </c>
      <c r="B3742">
        <v>8515181</v>
      </c>
      <c r="C3742" t="s">
        <v>1378</v>
      </c>
      <c r="D3742">
        <v>503.44</v>
      </c>
      <c r="E3742">
        <v>0</v>
      </c>
      <c r="F3742" s="7"/>
    </row>
    <row r="3743" spans="1:6" x14ac:dyDescent="0.25">
      <c r="A3743" s="11">
        <f t="shared" si="58"/>
        <v>8515746</v>
      </c>
      <c r="B3743">
        <v>8515746</v>
      </c>
      <c r="C3743" t="s">
        <v>469</v>
      </c>
      <c r="D3743">
        <v>849.99</v>
      </c>
      <c r="E3743">
        <v>283</v>
      </c>
      <c r="F3743" s="7"/>
    </row>
    <row r="3744" spans="1:6" x14ac:dyDescent="0.25">
      <c r="A3744" s="11">
        <f t="shared" si="58"/>
        <v>8515747</v>
      </c>
      <c r="B3744">
        <v>8515747</v>
      </c>
      <c r="C3744" t="s">
        <v>468</v>
      </c>
      <c r="D3744">
        <v>849.99</v>
      </c>
      <c r="E3744">
        <v>0</v>
      </c>
      <c r="F3744" s="7"/>
    </row>
    <row r="3745" spans="1:6" x14ac:dyDescent="0.25">
      <c r="A3745" s="11">
        <f t="shared" si="58"/>
        <v>8515748</v>
      </c>
      <c r="B3745">
        <v>8515748</v>
      </c>
      <c r="C3745" t="s">
        <v>1724</v>
      </c>
      <c r="D3745">
        <v>849.99</v>
      </c>
      <c r="E3745">
        <v>43</v>
      </c>
      <c r="F3745" s="7"/>
    </row>
    <row r="3746" spans="1:6" x14ac:dyDescent="0.25">
      <c r="A3746" s="11" t="str">
        <f t="shared" si="58"/>
        <v/>
      </c>
      <c r="B3746" t="s">
        <v>1859</v>
      </c>
      <c r="C3746" t="s">
        <v>1859</v>
      </c>
      <c r="D3746">
        <v>0</v>
      </c>
      <c r="E3746">
        <v>0</v>
      </c>
      <c r="F3746" s="7"/>
    </row>
    <row r="3747" spans="1:6" x14ac:dyDescent="0.25">
      <c r="A3747" s="11">
        <f t="shared" si="58"/>
        <v>8515749</v>
      </c>
      <c r="B3747">
        <v>8515749</v>
      </c>
      <c r="C3747" t="s">
        <v>2684</v>
      </c>
      <c r="D3747">
        <v>0</v>
      </c>
      <c r="E3747">
        <v>0</v>
      </c>
      <c r="F3747" s="7"/>
    </row>
    <row r="3748" spans="1:6" x14ac:dyDescent="0.25">
      <c r="A3748" s="11">
        <f t="shared" si="58"/>
        <v>8515760</v>
      </c>
      <c r="B3748">
        <v>8515760</v>
      </c>
      <c r="C3748" t="s">
        <v>470</v>
      </c>
      <c r="D3748">
        <v>688.8</v>
      </c>
      <c r="E3748">
        <v>30</v>
      </c>
      <c r="F3748" s="7"/>
    </row>
    <row r="3749" spans="1:6" x14ac:dyDescent="0.25">
      <c r="A3749" s="11">
        <f t="shared" si="58"/>
        <v>8516000</v>
      </c>
      <c r="B3749">
        <v>8516000</v>
      </c>
      <c r="C3749" t="s">
        <v>1725</v>
      </c>
      <c r="D3749">
        <v>400</v>
      </c>
      <c r="E3749">
        <v>0</v>
      </c>
      <c r="F3749" s="7"/>
    </row>
    <row r="3750" spans="1:6" x14ac:dyDescent="0.25">
      <c r="A3750" s="11">
        <f t="shared" si="58"/>
        <v>8517000</v>
      </c>
      <c r="B3750">
        <v>8517000</v>
      </c>
      <c r="C3750" t="s">
        <v>707</v>
      </c>
      <c r="D3750">
        <v>1100</v>
      </c>
      <c r="E3750">
        <v>72</v>
      </c>
      <c r="F3750" s="7"/>
    </row>
    <row r="3751" spans="1:6" x14ac:dyDescent="0.25">
      <c r="A3751" s="11">
        <f t="shared" si="58"/>
        <v>851700007</v>
      </c>
      <c r="B3751">
        <v>851700007</v>
      </c>
      <c r="C3751" t="s">
        <v>2685</v>
      </c>
      <c r="D3751">
        <v>0</v>
      </c>
      <c r="E3751">
        <v>1</v>
      </c>
      <c r="F3751" s="7"/>
    </row>
    <row r="3752" spans="1:6" x14ac:dyDescent="0.25">
      <c r="A3752" s="11">
        <f t="shared" si="58"/>
        <v>851700008</v>
      </c>
      <c r="B3752">
        <v>851700008</v>
      </c>
      <c r="C3752" t="s">
        <v>2686</v>
      </c>
      <c r="D3752">
        <v>0</v>
      </c>
      <c r="E3752">
        <v>0</v>
      </c>
      <c r="F3752" s="7"/>
    </row>
    <row r="3753" spans="1:6" x14ac:dyDescent="0.25">
      <c r="A3753" s="11">
        <f t="shared" si="58"/>
        <v>851700009</v>
      </c>
      <c r="B3753">
        <v>851700009</v>
      </c>
      <c r="C3753" t="s">
        <v>2687</v>
      </c>
      <c r="D3753">
        <v>0</v>
      </c>
      <c r="E3753">
        <v>2</v>
      </c>
      <c r="F3753" s="7"/>
    </row>
    <row r="3754" spans="1:6" x14ac:dyDescent="0.25">
      <c r="A3754" s="11">
        <f t="shared" si="58"/>
        <v>851700010</v>
      </c>
      <c r="B3754">
        <v>851700010</v>
      </c>
      <c r="C3754" t="s">
        <v>2688</v>
      </c>
      <c r="D3754">
        <v>0</v>
      </c>
      <c r="E3754">
        <v>2</v>
      </c>
      <c r="F3754" s="7"/>
    </row>
    <row r="3755" spans="1:6" x14ac:dyDescent="0.25">
      <c r="A3755" s="11">
        <f t="shared" si="58"/>
        <v>851700011</v>
      </c>
      <c r="B3755">
        <v>851700011</v>
      </c>
      <c r="C3755" t="s">
        <v>2689</v>
      </c>
      <c r="D3755">
        <v>0</v>
      </c>
      <c r="E3755">
        <v>4</v>
      </c>
      <c r="F3755" s="7"/>
    </row>
    <row r="3756" spans="1:6" x14ac:dyDescent="0.25">
      <c r="A3756" s="11">
        <f t="shared" si="58"/>
        <v>851700012</v>
      </c>
      <c r="B3756">
        <v>851700012</v>
      </c>
      <c r="C3756" t="s">
        <v>2690</v>
      </c>
      <c r="D3756">
        <v>0</v>
      </c>
      <c r="E3756">
        <v>1</v>
      </c>
      <c r="F3756" s="7"/>
    </row>
    <row r="3757" spans="1:6" x14ac:dyDescent="0.25">
      <c r="A3757" s="11">
        <f t="shared" si="58"/>
        <v>851700013</v>
      </c>
      <c r="B3757">
        <v>851700013</v>
      </c>
      <c r="C3757" t="s">
        <v>2691</v>
      </c>
      <c r="D3757">
        <v>0</v>
      </c>
      <c r="E3757">
        <v>0</v>
      </c>
      <c r="F3757" s="7"/>
    </row>
    <row r="3758" spans="1:6" x14ac:dyDescent="0.25">
      <c r="A3758" s="11" t="str">
        <f t="shared" si="58"/>
        <v/>
      </c>
      <c r="B3758" t="s">
        <v>1859</v>
      </c>
      <c r="C3758" t="s">
        <v>1859</v>
      </c>
      <c r="D3758">
        <v>0</v>
      </c>
      <c r="E3758">
        <v>0</v>
      </c>
      <c r="F3758" s="7"/>
    </row>
    <row r="3759" spans="1:6" x14ac:dyDescent="0.25">
      <c r="A3759" s="11">
        <f t="shared" si="58"/>
        <v>8517001</v>
      </c>
      <c r="B3759">
        <v>8517001</v>
      </c>
      <c r="C3759" t="s">
        <v>2692</v>
      </c>
      <c r="D3759">
        <v>0</v>
      </c>
      <c r="E3759">
        <v>0</v>
      </c>
      <c r="F3759" s="7"/>
    </row>
    <row r="3760" spans="1:6" x14ac:dyDescent="0.25">
      <c r="A3760" s="11">
        <f t="shared" si="58"/>
        <v>8517004</v>
      </c>
      <c r="B3760">
        <v>8517004</v>
      </c>
      <c r="C3760" t="s">
        <v>2693</v>
      </c>
      <c r="D3760">
        <v>763.8</v>
      </c>
      <c r="E3760">
        <v>0</v>
      </c>
      <c r="F3760" s="7"/>
    </row>
    <row r="3761" spans="1:6" x14ac:dyDescent="0.25">
      <c r="A3761" s="11" t="str">
        <f t="shared" si="58"/>
        <v/>
      </c>
      <c r="B3761" t="s">
        <v>1859</v>
      </c>
      <c r="C3761" t="s">
        <v>1859</v>
      </c>
      <c r="D3761">
        <v>0</v>
      </c>
      <c r="E3761">
        <v>0</v>
      </c>
      <c r="F3761" s="7"/>
    </row>
    <row r="3762" spans="1:6" x14ac:dyDescent="0.25">
      <c r="A3762" s="11">
        <f t="shared" si="58"/>
        <v>8517035</v>
      </c>
      <c r="B3762">
        <v>8517035</v>
      </c>
      <c r="C3762" t="s">
        <v>2694</v>
      </c>
      <c r="D3762">
        <v>0</v>
      </c>
      <c r="E3762">
        <v>0</v>
      </c>
      <c r="F3762" s="7"/>
    </row>
    <row r="3763" spans="1:6" x14ac:dyDescent="0.25">
      <c r="A3763" s="11">
        <f t="shared" si="58"/>
        <v>8517050</v>
      </c>
      <c r="B3763">
        <v>8517050</v>
      </c>
      <c r="C3763" t="s">
        <v>706</v>
      </c>
      <c r="D3763">
        <v>196.75</v>
      </c>
      <c r="E3763">
        <v>0</v>
      </c>
      <c r="F3763" s="7"/>
    </row>
    <row r="3764" spans="1:6" x14ac:dyDescent="0.25">
      <c r="A3764" s="11">
        <f t="shared" si="58"/>
        <v>8517051</v>
      </c>
      <c r="B3764">
        <v>8517051</v>
      </c>
      <c r="C3764" t="s">
        <v>1726</v>
      </c>
      <c r="D3764">
        <v>84.17</v>
      </c>
      <c r="E3764">
        <v>5</v>
      </c>
      <c r="F3764" s="7"/>
    </row>
    <row r="3765" spans="1:6" x14ac:dyDescent="0.25">
      <c r="A3765" s="11">
        <f t="shared" si="58"/>
        <v>8517103</v>
      </c>
      <c r="B3765">
        <v>8517103</v>
      </c>
      <c r="C3765" t="s">
        <v>1727</v>
      </c>
      <c r="D3765">
        <v>2700</v>
      </c>
      <c r="E3765">
        <v>1</v>
      </c>
      <c r="F3765" s="7"/>
    </row>
    <row r="3766" spans="1:6" x14ac:dyDescent="0.25">
      <c r="A3766" s="11">
        <f t="shared" si="58"/>
        <v>851710307</v>
      </c>
      <c r="B3766">
        <v>851710307</v>
      </c>
      <c r="C3766" t="s">
        <v>2695</v>
      </c>
      <c r="D3766">
        <v>0</v>
      </c>
      <c r="E3766">
        <v>0</v>
      </c>
      <c r="F3766" s="7"/>
    </row>
    <row r="3767" spans="1:6" x14ac:dyDescent="0.25">
      <c r="A3767" s="11">
        <f t="shared" si="58"/>
        <v>851710308</v>
      </c>
      <c r="B3767">
        <v>851710308</v>
      </c>
      <c r="C3767" t="s">
        <v>2696</v>
      </c>
      <c r="D3767">
        <v>0</v>
      </c>
      <c r="E3767">
        <v>0</v>
      </c>
      <c r="F3767" s="7"/>
    </row>
    <row r="3768" spans="1:6" x14ac:dyDescent="0.25">
      <c r="A3768" s="11">
        <f t="shared" si="58"/>
        <v>851710309</v>
      </c>
      <c r="B3768">
        <v>851710309</v>
      </c>
      <c r="C3768" t="s">
        <v>2697</v>
      </c>
      <c r="D3768">
        <v>0</v>
      </c>
      <c r="E3768">
        <v>0</v>
      </c>
      <c r="F3768" s="7"/>
    </row>
    <row r="3769" spans="1:6" x14ac:dyDescent="0.25">
      <c r="A3769" s="11">
        <f t="shared" si="58"/>
        <v>851710310</v>
      </c>
      <c r="B3769">
        <v>851710310</v>
      </c>
      <c r="C3769" t="s">
        <v>2698</v>
      </c>
      <c r="D3769">
        <v>0</v>
      </c>
      <c r="E3769">
        <v>0</v>
      </c>
      <c r="F3769" s="7"/>
    </row>
    <row r="3770" spans="1:6" x14ac:dyDescent="0.25">
      <c r="A3770" s="11">
        <f t="shared" si="58"/>
        <v>851710375</v>
      </c>
      <c r="B3770">
        <v>851710375</v>
      </c>
      <c r="C3770" t="s">
        <v>2699</v>
      </c>
      <c r="D3770">
        <v>0</v>
      </c>
      <c r="E3770">
        <v>0</v>
      </c>
      <c r="F3770" s="7"/>
    </row>
    <row r="3771" spans="1:6" x14ac:dyDescent="0.25">
      <c r="A3771" s="11">
        <f t="shared" si="58"/>
        <v>851710385</v>
      </c>
      <c r="B3771">
        <v>851710385</v>
      </c>
      <c r="C3771" t="s">
        <v>2700</v>
      </c>
      <c r="D3771">
        <v>0</v>
      </c>
      <c r="E3771">
        <v>0</v>
      </c>
      <c r="F3771" s="7"/>
    </row>
    <row r="3772" spans="1:6" x14ac:dyDescent="0.25">
      <c r="A3772" s="11">
        <f t="shared" si="58"/>
        <v>851710395</v>
      </c>
      <c r="B3772">
        <v>851710395</v>
      </c>
      <c r="C3772" t="s">
        <v>2701</v>
      </c>
      <c r="D3772">
        <v>0</v>
      </c>
      <c r="E3772">
        <v>0</v>
      </c>
      <c r="F3772" s="7"/>
    </row>
    <row r="3773" spans="1:6" x14ac:dyDescent="0.25">
      <c r="A3773" s="11" t="str">
        <f t="shared" si="58"/>
        <v/>
      </c>
      <c r="B3773" t="s">
        <v>1859</v>
      </c>
      <c r="C3773" t="s">
        <v>1859</v>
      </c>
      <c r="D3773">
        <v>0</v>
      </c>
      <c r="E3773">
        <v>0</v>
      </c>
      <c r="F3773" s="7"/>
    </row>
    <row r="3774" spans="1:6" x14ac:dyDescent="0.25">
      <c r="A3774" s="11">
        <f t="shared" si="58"/>
        <v>8517104</v>
      </c>
      <c r="B3774">
        <v>8517104</v>
      </c>
      <c r="C3774" t="s">
        <v>2702</v>
      </c>
      <c r="D3774">
        <v>0</v>
      </c>
      <c r="E3774">
        <v>0</v>
      </c>
      <c r="F3774" s="7"/>
    </row>
    <row r="3775" spans="1:6" x14ac:dyDescent="0.25">
      <c r="A3775" s="11">
        <f t="shared" si="58"/>
        <v>8517110</v>
      </c>
      <c r="B3775">
        <v>8517110</v>
      </c>
      <c r="C3775" t="s">
        <v>704</v>
      </c>
      <c r="D3775">
        <v>190.23</v>
      </c>
      <c r="E3775">
        <v>0</v>
      </c>
      <c r="F3775" s="7"/>
    </row>
    <row r="3776" spans="1:6" x14ac:dyDescent="0.25">
      <c r="A3776" s="11">
        <f t="shared" si="58"/>
        <v>8517235</v>
      </c>
      <c r="B3776">
        <v>8517235</v>
      </c>
      <c r="C3776" t="s">
        <v>702</v>
      </c>
      <c r="D3776">
        <v>642.87</v>
      </c>
      <c r="E3776">
        <v>0</v>
      </c>
      <c r="F3776" s="7"/>
    </row>
    <row r="3777" spans="1:6" x14ac:dyDescent="0.25">
      <c r="A3777" s="11">
        <f t="shared" si="58"/>
        <v>8517300</v>
      </c>
      <c r="B3777">
        <v>8517300</v>
      </c>
      <c r="C3777" t="s">
        <v>1728</v>
      </c>
      <c r="D3777">
        <v>95.12</v>
      </c>
      <c r="E3777">
        <v>1</v>
      </c>
      <c r="F3777" s="7"/>
    </row>
    <row r="3778" spans="1:6" x14ac:dyDescent="0.25">
      <c r="A3778" s="11">
        <f t="shared" si="58"/>
        <v>8517408</v>
      </c>
      <c r="B3778">
        <v>8517408</v>
      </c>
      <c r="C3778" t="s">
        <v>703</v>
      </c>
      <c r="D3778">
        <v>372.9</v>
      </c>
      <c r="E3778">
        <v>0</v>
      </c>
      <c r="F3778" s="7"/>
    </row>
    <row r="3779" spans="1:6" x14ac:dyDescent="0.25">
      <c r="A3779" s="11" t="str">
        <f t="shared" si="58"/>
        <v/>
      </c>
      <c r="B3779" t="s">
        <v>1859</v>
      </c>
      <c r="C3779" t="s">
        <v>1859</v>
      </c>
      <c r="D3779">
        <v>0</v>
      </c>
      <c r="E3779">
        <v>0</v>
      </c>
      <c r="F3779" s="7"/>
    </row>
    <row r="3780" spans="1:6" x14ac:dyDescent="0.25">
      <c r="A3780" s="11">
        <f t="shared" si="58"/>
        <v>8517900</v>
      </c>
      <c r="B3780">
        <v>8517900</v>
      </c>
      <c r="C3780" t="s">
        <v>2703</v>
      </c>
      <c r="D3780">
        <v>0</v>
      </c>
      <c r="E3780">
        <v>0</v>
      </c>
      <c r="F3780" s="7"/>
    </row>
    <row r="3781" spans="1:6" x14ac:dyDescent="0.25">
      <c r="A3781" s="11">
        <f t="shared" si="58"/>
        <v>8517901</v>
      </c>
      <c r="B3781">
        <v>8517901</v>
      </c>
      <c r="C3781" t="s">
        <v>1729</v>
      </c>
      <c r="D3781">
        <v>1176.92</v>
      </c>
      <c r="E3781">
        <v>0</v>
      </c>
      <c r="F3781" s="7"/>
    </row>
    <row r="3782" spans="1:6" x14ac:dyDescent="0.25">
      <c r="A3782" s="11" t="str">
        <f t="shared" ref="A3782:A3845" si="59">IFERROR(B3782*1,"")</f>
        <v/>
      </c>
      <c r="B3782" t="s">
        <v>1859</v>
      </c>
      <c r="C3782" t="s">
        <v>1859</v>
      </c>
      <c r="D3782">
        <v>0</v>
      </c>
      <c r="E3782">
        <v>0</v>
      </c>
      <c r="F3782" s="7"/>
    </row>
    <row r="3783" spans="1:6" x14ac:dyDescent="0.25">
      <c r="A3783" s="11">
        <f t="shared" si="59"/>
        <v>8517902</v>
      </c>
      <c r="B3783">
        <v>8517902</v>
      </c>
      <c r="C3783" t="s">
        <v>2704</v>
      </c>
      <c r="D3783">
        <v>0</v>
      </c>
      <c r="E3783">
        <v>0</v>
      </c>
      <c r="F3783" s="7"/>
    </row>
    <row r="3784" spans="1:6" x14ac:dyDescent="0.25">
      <c r="A3784" s="11" t="str">
        <f t="shared" si="59"/>
        <v/>
      </c>
      <c r="B3784" t="s">
        <v>1859</v>
      </c>
      <c r="C3784" t="s">
        <v>1859</v>
      </c>
      <c r="D3784">
        <v>0</v>
      </c>
      <c r="E3784">
        <v>0</v>
      </c>
      <c r="F3784" s="7"/>
    </row>
    <row r="3785" spans="1:6" x14ac:dyDescent="0.25">
      <c r="A3785" s="11">
        <f t="shared" si="59"/>
        <v>8517903</v>
      </c>
      <c r="B3785">
        <v>8517903</v>
      </c>
      <c r="C3785" t="s">
        <v>2705</v>
      </c>
      <c r="D3785">
        <v>0</v>
      </c>
      <c r="E3785">
        <v>0</v>
      </c>
      <c r="F3785" s="7"/>
    </row>
    <row r="3786" spans="1:6" x14ac:dyDescent="0.25">
      <c r="A3786" s="11" t="str">
        <f t="shared" si="59"/>
        <v/>
      </c>
      <c r="B3786" t="s">
        <v>1859</v>
      </c>
      <c r="C3786" t="s">
        <v>1859</v>
      </c>
      <c r="D3786">
        <v>0</v>
      </c>
      <c r="E3786">
        <v>0</v>
      </c>
      <c r="F3786" s="7"/>
    </row>
    <row r="3787" spans="1:6" x14ac:dyDescent="0.25">
      <c r="A3787" s="11">
        <f t="shared" si="59"/>
        <v>8517904</v>
      </c>
      <c r="B3787">
        <v>8517904</v>
      </c>
      <c r="C3787" t="s">
        <v>2706</v>
      </c>
      <c r="D3787">
        <v>0</v>
      </c>
      <c r="E3787">
        <v>0</v>
      </c>
      <c r="F3787" s="7"/>
    </row>
    <row r="3788" spans="1:6" x14ac:dyDescent="0.25">
      <c r="A3788" s="11" t="str">
        <f t="shared" si="59"/>
        <v/>
      </c>
      <c r="B3788" t="s">
        <v>1859</v>
      </c>
      <c r="C3788" t="s">
        <v>1859</v>
      </c>
      <c r="D3788">
        <v>0</v>
      </c>
      <c r="E3788">
        <v>0</v>
      </c>
      <c r="F3788" s="7"/>
    </row>
    <row r="3789" spans="1:6" x14ac:dyDescent="0.25">
      <c r="A3789" s="11">
        <f t="shared" si="59"/>
        <v>8517905</v>
      </c>
      <c r="B3789">
        <v>8517905</v>
      </c>
      <c r="C3789" t="s">
        <v>2707</v>
      </c>
      <c r="D3789">
        <v>0</v>
      </c>
      <c r="E3789">
        <v>0</v>
      </c>
      <c r="F3789" s="7"/>
    </row>
    <row r="3790" spans="1:6" x14ac:dyDescent="0.25">
      <c r="A3790" s="11" t="str">
        <f t="shared" si="59"/>
        <v/>
      </c>
      <c r="B3790" t="s">
        <v>1859</v>
      </c>
      <c r="C3790" t="s">
        <v>1859</v>
      </c>
      <c r="D3790">
        <v>0</v>
      </c>
      <c r="E3790">
        <v>0</v>
      </c>
      <c r="F3790" s="7"/>
    </row>
    <row r="3791" spans="1:6" x14ac:dyDescent="0.25">
      <c r="A3791" s="11">
        <f t="shared" si="59"/>
        <v>8517907</v>
      </c>
      <c r="B3791">
        <v>8517907</v>
      </c>
      <c r="C3791" t="s">
        <v>2708</v>
      </c>
      <c r="D3791">
        <v>0</v>
      </c>
      <c r="E3791">
        <v>0</v>
      </c>
      <c r="F3791" s="7"/>
    </row>
    <row r="3792" spans="1:6" x14ac:dyDescent="0.25">
      <c r="A3792" s="11" t="str">
        <f t="shared" si="59"/>
        <v/>
      </c>
      <c r="B3792" t="s">
        <v>1859</v>
      </c>
      <c r="C3792" t="s">
        <v>1859</v>
      </c>
      <c r="D3792">
        <v>0</v>
      </c>
      <c r="E3792">
        <v>0</v>
      </c>
      <c r="F3792" s="7"/>
    </row>
    <row r="3793" spans="1:6" x14ac:dyDescent="0.25">
      <c r="A3793" s="11">
        <f t="shared" si="59"/>
        <v>8518000</v>
      </c>
      <c r="B3793">
        <v>8518000</v>
      </c>
      <c r="C3793" t="s">
        <v>2709</v>
      </c>
      <c r="D3793">
        <v>0</v>
      </c>
      <c r="E3793">
        <v>0</v>
      </c>
      <c r="F3793" s="7"/>
    </row>
    <row r="3794" spans="1:6" x14ac:dyDescent="0.25">
      <c r="A3794" s="11">
        <f t="shared" si="59"/>
        <v>8518011</v>
      </c>
      <c r="B3794">
        <v>8518011</v>
      </c>
      <c r="C3794" t="s">
        <v>1730</v>
      </c>
      <c r="D3794">
        <v>845.79</v>
      </c>
      <c r="E3794">
        <v>30</v>
      </c>
      <c r="F3794" s="7"/>
    </row>
    <row r="3795" spans="1:6" x14ac:dyDescent="0.25">
      <c r="A3795" s="11" t="str">
        <f t="shared" si="59"/>
        <v/>
      </c>
      <c r="B3795" t="s">
        <v>1859</v>
      </c>
      <c r="C3795" t="s">
        <v>1859</v>
      </c>
      <c r="D3795">
        <v>0</v>
      </c>
      <c r="E3795">
        <v>0</v>
      </c>
      <c r="F3795" s="7"/>
    </row>
    <row r="3796" spans="1:6" x14ac:dyDescent="0.25">
      <c r="A3796" s="11">
        <f t="shared" si="59"/>
        <v>8518012</v>
      </c>
      <c r="B3796">
        <v>8518012</v>
      </c>
      <c r="C3796" t="s">
        <v>2710</v>
      </c>
      <c r="D3796">
        <v>0</v>
      </c>
      <c r="E3796">
        <v>0</v>
      </c>
      <c r="F3796" s="7"/>
    </row>
    <row r="3797" spans="1:6" x14ac:dyDescent="0.25">
      <c r="A3797" s="11">
        <f t="shared" si="59"/>
        <v>8518013</v>
      </c>
      <c r="B3797">
        <v>8518013</v>
      </c>
      <c r="C3797" t="s">
        <v>862</v>
      </c>
      <c r="D3797">
        <v>724.79</v>
      </c>
      <c r="E3797">
        <v>0</v>
      </c>
      <c r="F3797" s="7"/>
    </row>
    <row r="3798" spans="1:6" x14ac:dyDescent="0.25">
      <c r="A3798" s="11">
        <f t="shared" si="59"/>
        <v>8518014</v>
      </c>
      <c r="B3798">
        <v>8518014</v>
      </c>
      <c r="C3798" t="s">
        <v>861</v>
      </c>
      <c r="D3798">
        <v>490</v>
      </c>
      <c r="E3798">
        <v>355</v>
      </c>
      <c r="F3798" s="7"/>
    </row>
    <row r="3799" spans="1:6" x14ac:dyDescent="0.25">
      <c r="A3799" s="11" t="str">
        <f t="shared" si="59"/>
        <v/>
      </c>
      <c r="B3799" t="s">
        <v>1859</v>
      </c>
      <c r="C3799" t="s">
        <v>1859</v>
      </c>
      <c r="D3799">
        <v>0</v>
      </c>
      <c r="E3799">
        <v>0</v>
      </c>
      <c r="F3799" s="7"/>
    </row>
    <row r="3800" spans="1:6" x14ac:dyDescent="0.25">
      <c r="A3800" s="11">
        <f t="shared" si="59"/>
        <v>8518015</v>
      </c>
      <c r="B3800">
        <v>8518015</v>
      </c>
      <c r="C3800" t="s">
        <v>2711</v>
      </c>
      <c r="D3800">
        <v>0</v>
      </c>
      <c r="E3800">
        <v>0</v>
      </c>
      <c r="F3800" s="7"/>
    </row>
    <row r="3801" spans="1:6" x14ac:dyDescent="0.25">
      <c r="A3801" s="11" t="str">
        <f t="shared" si="59"/>
        <v/>
      </c>
      <c r="B3801" t="s">
        <v>1859</v>
      </c>
      <c r="C3801" t="s">
        <v>1859</v>
      </c>
      <c r="D3801">
        <v>0</v>
      </c>
      <c r="E3801">
        <v>0</v>
      </c>
      <c r="F3801" s="7"/>
    </row>
    <row r="3802" spans="1:6" x14ac:dyDescent="0.25">
      <c r="A3802" s="11">
        <f t="shared" si="59"/>
        <v>8518016</v>
      </c>
      <c r="B3802">
        <v>8518016</v>
      </c>
      <c r="C3802" t="s">
        <v>2712</v>
      </c>
      <c r="D3802">
        <v>0</v>
      </c>
      <c r="E3802">
        <v>0</v>
      </c>
      <c r="F3802" s="7"/>
    </row>
    <row r="3803" spans="1:6" x14ac:dyDescent="0.25">
      <c r="A3803" s="11">
        <f t="shared" si="59"/>
        <v>8518017</v>
      </c>
      <c r="B3803">
        <v>8518017</v>
      </c>
      <c r="C3803" t="s">
        <v>2713</v>
      </c>
      <c r="D3803">
        <v>0</v>
      </c>
      <c r="E3803">
        <v>0</v>
      </c>
      <c r="F3803" s="7"/>
    </row>
    <row r="3804" spans="1:6" x14ac:dyDescent="0.25">
      <c r="A3804" s="11" t="str">
        <f t="shared" si="59"/>
        <v/>
      </c>
      <c r="B3804" t="s">
        <v>1859</v>
      </c>
      <c r="C3804" t="s">
        <v>1859</v>
      </c>
      <c r="D3804">
        <v>0</v>
      </c>
      <c r="E3804">
        <v>0</v>
      </c>
      <c r="F3804" s="7"/>
    </row>
    <row r="3805" spans="1:6" x14ac:dyDescent="0.25">
      <c r="A3805" s="11">
        <f t="shared" si="59"/>
        <v>8518018</v>
      </c>
      <c r="B3805">
        <v>8518018</v>
      </c>
      <c r="C3805" t="s">
        <v>2714</v>
      </c>
      <c r="D3805">
        <v>0</v>
      </c>
      <c r="E3805">
        <v>0</v>
      </c>
      <c r="F3805" s="7"/>
    </row>
    <row r="3806" spans="1:6" x14ac:dyDescent="0.25">
      <c r="A3806" s="11" t="str">
        <f t="shared" si="59"/>
        <v/>
      </c>
      <c r="B3806" t="s">
        <v>1859</v>
      </c>
      <c r="C3806" t="s">
        <v>1859</v>
      </c>
      <c r="D3806">
        <v>0</v>
      </c>
      <c r="E3806">
        <v>0</v>
      </c>
      <c r="F3806" s="7"/>
    </row>
    <row r="3807" spans="1:6" x14ac:dyDescent="0.25">
      <c r="A3807" s="11">
        <f t="shared" si="59"/>
        <v>8518019</v>
      </c>
      <c r="B3807">
        <v>8518019</v>
      </c>
      <c r="C3807" t="s">
        <v>2715</v>
      </c>
      <c r="D3807">
        <v>0</v>
      </c>
      <c r="E3807">
        <v>0</v>
      </c>
      <c r="F3807" s="7"/>
    </row>
    <row r="3808" spans="1:6" x14ac:dyDescent="0.25">
      <c r="A3808" s="11">
        <f t="shared" si="59"/>
        <v>8518159</v>
      </c>
      <c r="B3808">
        <v>8518159</v>
      </c>
      <c r="C3808" t="s">
        <v>497</v>
      </c>
      <c r="D3808">
        <v>605</v>
      </c>
      <c r="E3808">
        <v>2</v>
      </c>
      <c r="F3808" s="7"/>
    </row>
    <row r="3809" spans="1:6" x14ac:dyDescent="0.25">
      <c r="A3809" s="11">
        <f t="shared" si="59"/>
        <v>8518300</v>
      </c>
      <c r="B3809">
        <v>8518300</v>
      </c>
      <c r="C3809" t="s">
        <v>863</v>
      </c>
      <c r="D3809">
        <v>3023.79</v>
      </c>
      <c r="E3809">
        <v>0</v>
      </c>
      <c r="F3809" s="7"/>
    </row>
    <row r="3810" spans="1:6" x14ac:dyDescent="0.25">
      <c r="A3810" s="11">
        <f t="shared" si="59"/>
        <v>8518753</v>
      </c>
      <c r="B3810">
        <v>8518753</v>
      </c>
      <c r="C3810" t="s">
        <v>466</v>
      </c>
      <c r="D3810">
        <v>3628.79</v>
      </c>
      <c r="E3810">
        <v>0</v>
      </c>
      <c r="F3810" s="7"/>
    </row>
    <row r="3811" spans="1:6" x14ac:dyDescent="0.25">
      <c r="A3811" s="11">
        <f t="shared" si="59"/>
        <v>8518789</v>
      </c>
      <c r="B3811">
        <v>8518789</v>
      </c>
      <c r="C3811" t="s">
        <v>1731</v>
      </c>
      <c r="D3811">
        <v>605</v>
      </c>
      <c r="E3811">
        <v>15</v>
      </c>
      <c r="F3811" s="7"/>
    </row>
    <row r="3812" spans="1:6" x14ac:dyDescent="0.25">
      <c r="A3812" s="11" t="str">
        <f t="shared" si="59"/>
        <v/>
      </c>
      <c r="B3812" t="s">
        <v>1859</v>
      </c>
      <c r="C3812" t="s">
        <v>1859</v>
      </c>
      <c r="D3812">
        <v>0</v>
      </c>
      <c r="E3812">
        <v>0</v>
      </c>
      <c r="F3812" s="7"/>
    </row>
    <row r="3813" spans="1:6" x14ac:dyDescent="0.25">
      <c r="A3813" s="11">
        <f t="shared" si="59"/>
        <v>8519021</v>
      </c>
      <c r="B3813">
        <v>8519021</v>
      </c>
      <c r="C3813" t="s">
        <v>2716</v>
      </c>
      <c r="D3813">
        <v>0</v>
      </c>
      <c r="E3813">
        <v>0</v>
      </c>
      <c r="F3813" s="7"/>
    </row>
    <row r="3814" spans="1:6" x14ac:dyDescent="0.25">
      <c r="A3814" s="11">
        <f t="shared" si="59"/>
        <v>8519022</v>
      </c>
      <c r="B3814">
        <v>8519022</v>
      </c>
      <c r="C3814" t="s">
        <v>8</v>
      </c>
      <c r="D3814">
        <v>1499.99</v>
      </c>
      <c r="E3814">
        <v>0</v>
      </c>
      <c r="F3814" s="7"/>
    </row>
    <row r="3815" spans="1:6" x14ac:dyDescent="0.25">
      <c r="A3815" s="11" t="str">
        <f t="shared" si="59"/>
        <v/>
      </c>
      <c r="B3815" t="s">
        <v>1859</v>
      </c>
      <c r="C3815" t="s">
        <v>1859</v>
      </c>
      <c r="D3815">
        <v>0</v>
      </c>
      <c r="E3815">
        <v>0</v>
      </c>
      <c r="F3815" s="7"/>
    </row>
    <row r="3816" spans="1:6" x14ac:dyDescent="0.25">
      <c r="A3816" s="11">
        <f t="shared" si="59"/>
        <v>8519040</v>
      </c>
      <c r="B3816">
        <v>8519040</v>
      </c>
      <c r="C3816" t="s">
        <v>2717</v>
      </c>
      <c r="D3816">
        <v>0</v>
      </c>
      <c r="E3816">
        <v>0</v>
      </c>
      <c r="F3816" s="7"/>
    </row>
    <row r="3817" spans="1:6" x14ac:dyDescent="0.25">
      <c r="A3817" s="11">
        <f t="shared" si="59"/>
        <v>8519041</v>
      </c>
      <c r="B3817">
        <v>8519041</v>
      </c>
      <c r="C3817" t="s">
        <v>6</v>
      </c>
      <c r="D3817">
        <v>2800</v>
      </c>
      <c r="E3817">
        <v>41</v>
      </c>
      <c r="F3817" s="7"/>
    </row>
    <row r="3818" spans="1:6" x14ac:dyDescent="0.25">
      <c r="A3818" s="11">
        <f t="shared" si="59"/>
        <v>8519042</v>
      </c>
      <c r="B3818">
        <v>8519042</v>
      </c>
      <c r="C3818" t="s">
        <v>1732</v>
      </c>
      <c r="D3818">
        <v>1550</v>
      </c>
      <c r="E3818">
        <v>32</v>
      </c>
      <c r="F3818" s="7"/>
    </row>
    <row r="3819" spans="1:6" x14ac:dyDescent="0.25">
      <c r="A3819" s="11" t="str">
        <f t="shared" si="59"/>
        <v/>
      </c>
      <c r="B3819" t="s">
        <v>1859</v>
      </c>
      <c r="C3819" t="s">
        <v>1859</v>
      </c>
      <c r="D3819">
        <v>0</v>
      </c>
      <c r="E3819">
        <v>0</v>
      </c>
      <c r="F3819" s="7"/>
    </row>
    <row r="3820" spans="1:6" x14ac:dyDescent="0.25">
      <c r="A3820" s="11">
        <f t="shared" si="59"/>
        <v>8519043</v>
      </c>
      <c r="B3820">
        <v>8519043</v>
      </c>
      <c r="C3820" t="s">
        <v>2718</v>
      </c>
      <c r="D3820">
        <v>0</v>
      </c>
      <c r="E3820">
        <v>0</v>
      </c>
      <c r="F3820" s="7"/>
    </row>
    <row r="3821" spans="1:6" x14ac:dyDescent="0.25">
      <c r="A3821" s="11">
        <f t="shared" si="59"/>
        <v>8519044</v>
      </c>
      <c r="B3821">
        <v>8519044</v>
      </c>
      <c r="C3821" t="s">
        <v>1733</v>
      </c>
      <c r="D3821">
        <v>1800</v>
      </c>
      <c r="E3821">
        <v>53</v>
      </c>
      <c r="F3821" s="7"/>
    </row>
    <row r="3822" spans="1:6" x14ac:dyDescent="0.25">
      <c r="A3822" s="11">
        <f t="shared" si="59"/>
        <v>8519060</v>
      </c>
      <c r="B3822">
        <v>8519060</v>
      </c>
      <c r="C3822" t="s">
        <v>1734</v>
      </c>
      <c r="D3822">
        <v>2499.9899999999998</v>
      </c>
      <c r="E3822">
        <v>0</v>
      </c>
      <c r="F3822" s="7"/>
    </row>
    <row r="3823" spans="1:6" x14ac:dyDescent="0.25">
      <c r="A3823" s="11">
        <f t="shared" si="59"/>
        <v>851949714</v>
      </c>
      <c r="B3823">
        <v>851949714</v>
      </c>
      <c r="C3823" t="s">
        <v>2719</v>
      </c>
      <c r="D3823">
        <v>0</v>
      </c>
      <c r="E3823">
        <v>0</v>
      </c>
      <c r="F3823" s="7"/>
    </row>
    <row r="3824" spans="1:6" x14ac:dyDescent="0.25">
      <c r="A3824" s="11">
        <f t="shared" si="59"/>
        <v>851949822</v>
      </c>
      <c r="B3824">
        <v>851949822</v>
      </c>
      <c r="C3824" t="s">
        <v>2720</v>
      </c>
      <c r="D3824">
        <v>0</v>
      </c>
      <c r="E3824">
        <v>0</v>
      </c>
      <c r="F3824" s="7"/>
    </row>
    <row r="3825" spans="1:6" x14ac:dyDescent="0.25">
      <c r="A3825" s="11">
        <f t="shared" si="59"/>
        <v>8519499</v>
      </c>
      <c r="B3825">
        <v>8519499</v>
      </c>
      <c r="C3825" t="s">
        <v>2721</v>
      </c>
      <c r="D3825">
        <v>599</v>
      </c>
      <c r="E3825">
        <v>0</v>
      </c>
      <c r="F3825" s="7"/>
    </row>
    <row r="3826" spans="1:6" x14ac:dyDescent="0.25">
      <c r="A3826" s="11">
        <f t="shared" si="59"/>
        <v>851949960</v>
      </c>
      <c r="B3826">
        <v>851949960</v>
      </c>
      <c r="C3826" t="s">
        <v>2721</v>
      </c>
      <c r="D3826">
        <v>676.29</v>
      </c>
      <c r="E3826">
        <v>0</v>
      </c>
      <c r="F3826" s="7"/>
    </row>
    <row r="3827" spans="1:6" x14ac:dyDescent="0.25">
      <c r="A3827" s="11">
        <f t="shared" si="59"/>
        <v>8519500</v>
      </c>
      <c r="B3827">
        <v>8519500</v>
      </c>
      <c r="C3827" t="s">
        <v>7</v>
      </c>
      <c r="D3827">
        <v>3200</v>
      </c>
      <c r="E3827">
        <v>2</v>
      </c>
      <c r="F3827" s="7"/>
    </row>
    <row r="3828" spans="1:6" x14ac:dyDescent="0.25">
      <c r="A3828" s="11">
        <f t="shared" si="59"/>
        <v>851950099</v>
      </c>
      <c r="B3828">
        <v>851950099</v>
      </c>
      <c r="C3828" t="s">
        <v>2722</v>
      </c>
      <c r="D3828">
        <v>0</v>
      </c>
      <c r="E3828">
        <v>0</v>
      </c>
      <c r="F3828" s="7"/>
    </row>
    <row r="3829" spans="1:6" x14ac:dyDescent="0.25">
      <c r="A3829" s="11" t="str">
        <f t="shared" si="59"/>
        <v/>
      </c>
      <c r="B3829" t="s">
        <v>1859</v>
      </c>
      <c r="C3829" t="s">
        <v>1859</v>
      </c>
      <c r="D3829">
        <v>0</v>
      </c>
      <c r="E3829">
        <v>0</v>
      </c>
      <c r="F3829" s="7"/>
    </row>
    <row r="3830" spans="1:6" x14ac:dyDescent="0.25">
      <c r="A3830" s="11">
        <f t="shared" si="59"/>
        <v>8519502</v>
      </c>
      <c r="B3830">
        <v>8519502</v>
      </c>
      <c r="C3830" t="s">
        <v>2723</v>
      </c>
      <c r="D3830">
        <v>0</v>
      </c>
      <c r="E3830">
        <v>0</v>
      </c>
      <c r="F3830" s="7"/>
    </row>
    <row r="3831" spans="1:6" x14ac:dyDescent="0.25">
      <c r="A3831" s="11" t="str">
        <f t="shared" si="59"/>
        <v/>
      </c>
      <c r="B3831" t="s">
        <v>1859</v>
      </c>
      <c r="C3831" t="s">
        <v>1859</v>
      </c>
      <c r="D3831">
        <v>0</v>
      </c>
      <c r="E3831">
        <v>0</v>
      </c>
      <c r="F3831" s="7"/>
    </row>
    <row r="3832" spans="1:6" x14ac:dyDescent="0.25">
      <c r="A3832" s="11">
        <f t="shared" si="59"/>
        <v>8520000</v>
      </c>
      <c r="B3832">
        <v>8520000</v>
      </c>
      <c r="C3832" t="s">
        <v>2724</v>
      </c>
      <c r="D3832">
        <v>0</v>
      </c>
      <c r="E3832">
        <v>0</v>
      </c>
      <c r="F3832" s="7"/>
    </row>
    <row r="3833" spans="1:6" x14ac:dyDescent="0.25">
      <c r="A3833" s="11" t="str">
        <f t="shared" si="59"/>
        <v/>
      </c>
      <c r="B3833" t="s">
        <v>1859</v>
      </c>
      <c r="C3833" t="s">
        <v>1859</v>
      </c>
      <c r="D3833">
        <v>0</v>
      </c>
      <c r="E3833">
        <v>0</v>
      </c>
      <c r="F3833" s="7"/>
    </row>
    <row r="3834" spans="1:6" x14ac:dyDescent="0.25">
      <c r="A3834" s="11">
        <f t="shared" si="59"/>
        <v>8520001</v>
      </c>
      <c r="B3834">
        <v>8520001</v>
      </c>
      <c r="C3834" t="s">
        <v>2725</v>
      </c>
      <c r="D3834">
        <v>0</v>
      </c>
      <c r="E3834">
        <v>0</v>
      </c>
      <c r="F3834" s="7"/>
    </row>
    <row r="3835" spans="1:6" x14ac:dyDescent="0.25">
      <c r="A3835" s="11">
        <f t="shared" si="59"/>
        <v>8520003</v>
      </c>
      <c r="B3835">
        <v>8520003</v>
      </c>
      <c r="C3835" t="s">
        <v>846</v>
      </c>
      <c r="D3835">
        <v>1200</v>
      </c>
      <c r="E3835">
        <v>217</v>
      </c>
      <c r="F3835" s="7"/>
    </row>
    <row r="3836" spans="1:6" x14ac:dyDescent="0.25">
      <c r="A3836" s="11">
        <f t="shared" si="59"/>
        <v>85200038</v>
      </c>
      <c r="B3836">
        <v>85200038</v>
      </c>
      <c r="C3836" t="s">
        <v>2726</v>
      </c>
      <c r="D3836">
        <v>0</v>
      </c>
      <c r="E3836">
        <v>0</v>
      </c>
      <c r="F3836" s="7"/>
    </row>
    <row r="3837" spans="1:6" x14ac:dyDescent="0.25">
      <c r="A3837" s="11">
        <f t="shared" si="59"/>
        <v>8520004</v>
      </c>
      <c r="B3837">
        <v>8520004</v>
      </c>
      <c r="C3837" t="s">
        <v>1735</v>
      </c>
      <c r="D3837">
        <v>600</v>
      </c>
      <c r="E3837">
        <v>142</v>
      </c>
      <c r="F3837" s="7"/>
    </row>
    <row r="3838" spans="1:6" x14ac:dyDescent="0.25">
      <c r="A3838" s="11">
        <f t="shared" si="59"/>
        <v>8520005</v>
      </c>
      <c r="B3838">
        <v>8520005</v>
      </c>
      <c r="C3838" t="s">
        <v>849</v>
      </c>
      <c r="D3838">
        <v>1550</v>
      </c>
      <c r="E3838">
        <v>94</v>
      </c>
      <c r="F3838" s="7"/>
    </row>
    <row r="3839" spans="1:6" x14ac:dyDescent="0.25">
      <c r="A3839" s="11" t="str">
        <f t="shared" si="59"/>
        <v/>
      </c>
      <c r="B3839" t="s">
        <v>1859</v>
      </c>
      <c r="C3839" t="s">
        <v>1859</v>
      </c>
      <c r="D3839">
        <v>0</v>
      </c>
      <c r="E3839">
        <v>0</v>
      </c>
      <c r="F3839" s="7"/>
    </row>
    <row r="3840" spans="1:6" x14ac:dyDescent="0.25">
      <c r="A3840" s="11">
        <f t="shared" si="59"/>
        <v>8520006</v>
      </c>
      <c r="B3840">
        <v>8520006</v>
      </c>
      <c r="C3840" t="s">
        <v>2727</v>
      </c>
      <c r="D3840">
        <v>0</v>
      </c>
      <c r="E3840">
        <v>0</v>
      </c>
      <c r="F3840" s="7"/>
    </row>
    <row r="3841" spans="1:6" x14ac:dyDescent="0.25">
      <c r="A3841" s="11">
        <f t="shared" si="59"/>
        <v>8520007</v>
      </c>
      <c r="B3841">
        <v>8520007</v>
      </c>
      <c r="C3841" t="s">
        <v>1736</v>
      </c>
      <c r="D3841">
        <v>790</v>
      </c>
      <c r="E3841">
        <v>221</v>
      </c>
      <c r="F3841" s="7"/>
    </row>
    <row r="3842" spans="1:6" x14ac:dyDescent="0.25">
      <c r="A3842" s="11" t="str">
        <f t="shared" si="59"/>
        <v/>
      </c>
      <c r="B3842" t="s">
        <v>1859</v>
      </c>
      <c r="C3842" t="s">
        <v>1859</v>
      </c>
      <c r="D3842">
        <v>0</v>
      </c>
      <c r="E3842">
        <v>0</v>
      </c>
      <c r="F3842" s="7"/>
    </row>
    <row r="3843" spans="1:6" x14ac:dyDescent="0.25">
      <c r="A3843" s="11">
        <f t="shared" si="59"/>
        <v>8520008</v>
      </c>
      <c r="B3843">
        <v>8520008</v>
      </c>
      <c r="C3843" t="s">
        <v>2728</v>
      </c>
      <c r="D3843">
        <v>0</v>
      </c>
      <c r="E3843">
        <v>0</v>
      </c>
      <c r="F3843" s="7"/>
    </row>
    <row r="3844" spans="1:6" x14ac:dyDescent="0.25">
      <c r="A3844" s="11">
        <f t="shared" si="59"/>
        <v>8520009</v>
      </c>
      <c r="B3844">
        <v>8520009</v>
      </c>
      <c r="C3844" t="s">
        <v>359</v>
      </c>
      <c r="D3844">
        <v>1376.06</v>
      </c>
      <c r="E3844">
        <v>0</v>
      </c>
      <c r="F3844" s="7"/>
    </row>
    <row r="3845" spans="1:6" x14ac:dyDescent="0.25">
      <c r="A3845" s="11">
        <f t="shared" si="59"/>
        <v>8520010</v>
      </c>
      <c r="B3845">
        <v>8520010</v>
      </c>
      <c r="C3845" t="s">
        <v>2729</v>
      </c>
      <c r="D3845">
        <v>0</v>
      </c>
      <c r="E3845">
        <v>0</v>
      </c>
      <c r="F3845" s="7"/>
    </row>
    <row r="3846" spans="1:6" x14ac:dyDescent="0.25">
      <c r="A3846" s="11" t="str">
        <f t="shared" ref="A3846:A3909" si="60">IFERROR(B3846*1,"")</f>
        <v/>
      </c>
      <c r="B3846" t="s">
        <v>1859</v>
      </c>
      <c r="C3846" t="s">
        <v>1859</v>
      </c>
      <c r="D3846">
        <v>0</v>
      </c>
      <c r="E3846">
        <v>0</v>
      </c>
      <c r="F3846" s="7"/>
    </row>
    <row r="3847" spans="1:6" x14ac:dyDescent="0.25">
      <c r="A3847" s="11">
        <f t="shared" si="60"/>
        <v>8520011</v>
      </c>
      <c r="B3847">
        <v>8520011</v>
      </c>
      <c r="C3847" t="s">
        <v>2730</v>
      </c>
      <c r="D3847">
        <v>0</v>
      </c>
      <c r="E3847">
        <v>0</v>
      </c>
      <c r="F3847" s="7"/>
    </row>
    <row r="3848" spans="1:6" x14ac:dyDescent="0.25">
      <c r="A3848" s="11" t="str">
        <f t="shared" si="60"/>
        <v/>
      </c>
      <c r="B3848" t="s">
        <v>1859</v>
      </c>
      <c r="C3848" t="s">
        <v>1859</v>
      </c>
      <c r="D3848">
        <v>0</v>
      </c>
      <c r="E3848">
        <v>0</v>
      </c>
      <c r="F3848" s="7"/>
    </row>
    <row r="3849" spans="1:6" x14ac:dyDescent="0.25">
      <c r="A3849" s="11">
        <f t="shared" si="60"/>
        <v>8520012</v>
      </c>
      <c r="B3849">
        <v>8520012</v>
      </c>
      <c r="C3849" t="s">
        <v>2731</v>
      </c>
      <c r="D3849">
        <v>0</v>
      </c>
      <c r="E3849">
        <v>0</v>
      </c>
      <c r="F3849" s="7"/>
    </row>
    <row r="3850" spans="1:6" x14ac:dyDescent="0.25">
      <c r="A3850" s="11" t="str">
        <f t="shared" si="60"/>
        <v/>
      </c>
      <c r="B3850" t="s">
        <v>1859</v>
      </c>
      <c r="C3850" t="s">
        <v>1859</v>
      </c>
      <c r="D3850">
        <v>0</v>
      </c>
      <c r="E3850">
        <v>0</v>
      </c>
      <c r="F3850" s="7"/>
    </row>
    <row r="3851" spans="1:6" x14ac:dyDescent="0.25">
      <c r="A3851" s="11">
        <f t="shared" si="60"/>
        <v>8520013</v>
      </c>
      <c r="B3851">
        <v>8520013</v>
      </c>
      <c r="C3851" t="s">
        <v>2732</v>
      </c>
      <c r="D3851">
        <v>0</v>
      </c>
      <c r="E3851">
        <v>0</v>
      </c>
      <c r="F3851" s="7"/>
    </row>
    <row r="3852" spans="1:6" x14ac:dyDescent="0.25">
      <c r="A3852" s="11">
        <f t="shared" si="60"/>
        <v>8520014</v>
      </c>
      <c r="B3852">
        <v>8520014</v>
      </c>
      <c r="C3852" t="s">
        <v>836</v>
      </c>
      <c r="D3852">
        <v>499</v>
      </c>
      <c r="E3852">
        <v>679</v>
      </c>
      <c r="F3852" s="7"/>
    </row>
    <row r="3853" spans="1:6" x14ac:dyDescent="0.25">
      <c r="A3853" s="11" t="str">
        <f t="shared" si="60"/>
        <v/>
      </c>
      <c r="B3853" t="s">
        <v>1859</v>
      </c>
      <c r="C3853" t="s">
        <v>1859</v>
      </c>
      <c r="D3853">
        <v>0</v>
      </c>
      <c r="E3853">
        <v>0</v>
      </c>
      <c r="F3853" s="7"/>
    </row>
    <row r="3854" spans="1:6" x14ac:dyDescent="0.25">
      <c r="A3854" s="11">
        <f t="shared" si="60"/>
        <v>8520015</v>
      </c>
      <c r="B3854">
        <v>8520015</v>
      </c>
      <c r="C3854" t="s">
        <v>2733</v>
      </c>
      <c r="D3854">
        <v>0</v>
      </c>
      <c r="E3854">
        <v>0</v>
      </c>
      <c r="F3854" s="7"/>
    </row>
    <row r="3855" spans="1:6" x14ac:dyDescent="0.25">
      <c r="A3855" s="11">
        <f t="shared" si="60"/>
        <v>8520016</v>
      </c>
      <c r="B3855">
        <v>8520016</v>
      </c>
      <c r="C3855" t="s">
        <v>848</v>
      </c>
      <c r="D3855">
        <v>1200</v>
      </c>
      <c r="E3855">
        <v>58</v>
      </c>
      <c r="F3855" s="7"/>
    </row>
    <row r="3856" spans="1:6" x14ac:dyDescent="0.25">
      <c r="A3856" s="11">
        <f t="shared" si="60"/>
        <v>8520017</v>
      </c>
      <c r="B3856">
        <v>8520017</v>
      </c>
      <c r="C3856" t="s">
        <v>1737</v>
      </c>
      <c r="D3856">
        <v>4500</v>
      </c>
      <c r="E3856">
        <v>4</v>
      </c>
      <c r="F3856" s="7"/>
    </row>
    <row r="3857" spans="1:6" x14ac:dyDescent="0.25">
      <c r="A3857" s="11">
        <f t="shared" si="60"/>
        <v>8520018</v>
      </c>
      <c r="B3857">
        <v>8520018</v>
      </c>
      <c r="C3857" t="s">
        <v>2734</v>
      </c>
      <c r="D3857">
        <v>0</v>
      </c>
      <c r="E3857">
        <v>0</v>
      </c>
      <c r="F3857" s="7"/>
    </row>
    <row r="3858" spans="1:6" x14ac:dyDescent="0.25">
      <c r="A3858" s="11" t="str">
        <f t="shared" si="60"/>
        <v/>
      </c>
      <c r="B3858" t="s">
        <v>1859</v>
      </c>
      <c r="C3858" t="s">
        <v>1859</v>
      </c>
      <c r="D3858">
        <v>0</v>
      </c>
      <c r="E3858">
        <v>0</v>
      </c>
      <c r="F3858" s="7"/>
    </row>
    <row r="3859" spans="1:6" x14ac:dyDescent="0.25">
      <c r="A3859" s="11">
        <f t="shared" si="60"/>
        <v>8520019</v>
      </c>
      <c r="B3859">
        <v>8520019</v>
      </c>
      <c r="C3859" t="s">
        <v>2735</v>
      </c>
      <c r="D3859">
        <v>0</v>
      </c>
      <c r="E3859">
        <v>0</v>
      </c>
      <c r="F3859" s="7"/>
    </row>
    <row r="3860" spans="1:6" x14ac:dyDescent="0.25">
      <c r="A3860" s="11" t="str">
        <f t="shared" si="60"/>
        <v/>
      </c>
      <c r="B3860" t="s">
        <v>1859</v>
      </c>
      <c r="C3860" t="s">
        <v>1859</v>
      </c>
      <c r="D3860">
        <v>0</v>
      </c>
      <c r="E3860">
        <v>0</v>
      </c>
      <c r="F3860" s="7"/>
    </row>
    <row r="3861" spans="1:6" x14ac:dyDescent="0.25">
      <c r="A3861" s="11">
        <f t="shared" si="60"/>
        <v>8520020</v>
      </c>
      <c r="B3861">
        <v>8520020</v>
      </c>
      <c r="C3861" t="s">
        <v>2736</v>
      </c>
      <c r="D3861">
        <v>0</v>
      </c>
      <c r="E3861">
        <v>0</v>
      </c>
      <c r="F3861" s="7"/>
    </row>
    <row r="3862" spans="1:6" x14ac:dyDescent="0.25">
      <c r="A3862" s="11" t="str">
        <f t="shared" si="60"/>
        <v/>
      </c>
      <c r="B3862" t="s">
        <v>1859</v>
      </c>
      <c r="C3862" t="s">
        <v>1859</v>
      </c>
      <c r="D3862">
        <v>0</v>
      </c>
      <c r="E3862">
        <v>0</v>
      </c>
      <c r="F3862" s="7"/>
    </row>
    <row r="3863" spans="1:6" x14ac:dyDescent="0.25">
      <c r="A3863" s="11">
        <f t="shared" si="60"/>
        <v>8520021</v>
      </c>
      <c r="B3863">
        <v>8520021</v>
      </c>
      <c r="C3863" t="s">
        <v>2736</v>
      </c>
      <c r="D3863">
        <v>0</v>
      </c>
      <c r="E3863">
        <v>0</v>
      </c>
      <c r="F3863" s="7"/>
    </row>
    <row r="3864" spans="1:6" x14ac:dyDescent="0.25">
      <c r="A3864" s="11" t="str">
        <f t="shared" si="60"/>
        <v/>
      </c>
      <c r="B3864" t="s">
        <v>1859</v>
      </c>
      <c r="C3864" t="s">
        <v>1859</v>
      </c>
      <c r="D3864">
        <v>0</v>
      </c>
      <c r="E3864">
        <v>0</v>
      </c>
      <c r="F3864" s="7"/>
    </row>
    <row r="3865" spans="1:6" x14ac:dyDescent="0.25">
      <c r="A3865" s="11">
        <f t="shared" si="60"/>
        <v>8520022</v>
      </c>
      <c r="B3865">
        <v>8520022</v>
      </c>
      <c r="C3865" t="s">
        <v>2737</v>
      </c>
      <c r="D3865">
        <v>0</v>
      </c>
      <c r="E3865">
        <v>0</v>
      </c>
      <c r="F3865" s="7"/>
    </row>
    <row r="3866" spans="1:6" x14ac:dyDescent="0.25">
      <c r="A3866" s="11" t="str">
        <f t="shared" si="60"/>
        <v/>
      </c>
      <c r="B3866" t="s">
        <v>1859</v>
      </c>
      <c r="C3866" t="s">
        <v>1859</v>
      </c>
      <c r="D3866">
        <v>0</v>
      </c>
      <c r="E3866">
        <v>0</v>
      </c>
      <c r="F3866" s="7"/>
    </row>
    <row r="3867" spans="1:6" x14ac:dyDescent="0.25">
      <c r="A3867" s="11">
        <f t="shared" si="60"/>
        <v>8520023</v>
      </c>
      <c r="B3867">
        <v>8520023</v>
      </c>
      <c r="C3867" t="s">
        <v>2738</v>
      </c>
      <c r="D3867">
        <v>0</v>
      </c>
      <c r="E3867">
        <v>0</v>
      </c>
      <c r="F3867" s="7"/>
    </row>
    <row r="3868" spans="1:6" x14ac:dyDescent="0.25">
      <c r="A3868" s="11" t="str">
        <f t="shared" si="60"/>
        <v/>
      </c>
      <c r="B3868" t="s">
        <v>1859</v>
      </c>
      <c r="C3868" t="s">
        <v>1859</v>
      </c>
      <c r="D3868">
        <v>0</v>
      </c>
      <c r="E3868">
        <v>0</v>
      </c>
      <c r="F3868" s="7"/>
    </row>
    <row r="3869" spans="1:6" x14ac:dyDescent="0.25">
      <c r="A3869" s="11">
        <f t="shared" si="60"/>
        <v>8520024</v>
      </c>
      <c r="B3869">
        <v>8520024</v>
      </c>
      <c r="C3869" t="s">
        <v>2739</v>
      </c>
      <c r="D3869">
        <v>0</v>
      </c>
      <c r="E3869">
        <v>0</v>
      </c>
      <c r="F3869" s="7"/>
    </row>
    <row r="3870" spans="1:6" x14ac:dyDescent="0.25">
      <c r="A3870" s="11">
        <f t="shared" si="60"/>
        <v>8520025</v>
      </c>
      <c r="B3870">
        <v>8520025</v>
      </c>
      <c r="C3870" t="s">
        <v>840</v>
      </c>
      <c r="D3870">
        <v>495</v>
      </c>
      <c r="E3870">
        <v>106</v>
      </c>
      <c r="F3870" s="7"/>
    </row>
    <row r="3871" spans="1:6" x14ac:dyDescent="0.25">
      <c r="A3871" s="11">
        <f t="shared" si="60"/>
        <v>8520026</v>
      </c>
      <c r="B3871">
        <v>8520026</v>
      </c>
      <c r="C3871" t="s">
        <v>835</v>
      </c>
      <c r="D3871">
        <v>381.14</v>
      </c>
      <c r="E3871">
        <v>0</v>
      </c>
      <c r="F3871" s="7"/>
    </row>
    <row r="3872" spans="1:6" x14ac:dyDescent="0.25">
      <c r="A3872" s="11" t="str">
        <f t="shared" si="60"/>
        <v/>
      </c>
      <c r="B3872" t="s">
        <v>1859</v>
      </c>
      <c r="C3872" t="s">
        <v>1859</v>
      </c>
      <c r="D3872">
        <v>0</v>
      </c>
      <c r="E3872">
        <v>0</v>
      </c>
      <c r="F3872" s="7"/>
    </row>
    <row r="3873" spans="1:6" x14ac:dyDescent="0.25">
      <c r="A3873" s="11">
        <f t="shared" si="60"/>
        <v>8520027</v>
      </c>
      <c r="B3873">
        <v>8520027</v>
      </c>
      <c r="C3873" t="s">
        <v>2740</v>
      </c>
      <c r="D3873">
        <v>0</v>
      </c>
      <c r="E3873">
        <v>0</v>
      </c>
      <c r="F3873" s="7"/>
    </row>
    <row r="3874" spans="1:6" x14ac:dyDescent="0.25">
      <c r="A3874" s="11" t="str">
        <f t="shared" si="60"/>
        <v/>
      </c>
      <c r="B3874" t="s">
        <v>1859</v>
      </c>
      <c r="C3874" t="s">
        <v>1859</v>
      </c>
      <c r="D3874">
        <v>0</v>
      </c>
      <c r="E3874">
        <v>0</v>
      </c>
      <c r="F3874" s="7"/>
    </row>
    <row r="3875" spans="1:6" x14ac:dyDescent="0.25">
      <c r="A3875" s="11">
        <f t="shared" si="60"/>
        <v>8520028</v>
      </c>
      <c r="B3875">
        <v>8520028</v>
      </c>
      <c r="C3875" t="s">
        <v>2741</v>
      </c>
      <c r="D3875">
        <v>0</v>
      </c>
      <c r="E3875">
        <v>0</v>
      </c>
      <c r="F3875" s="7"/>
    </row>
    <row r="3876" spans="1:6" x14ac:dyDescent="0.25">
      <c r="A3876" s="11" t="str">
        <f t="shared" si="60"/>
        <v/>
      </c>
      <c r="B3876" t="s">
        <v>1859</v>
      </c>
      <c r="C3876" t="s">
        <v>1859</v>
      </c>
      <c r="D3876">
        <v>0</v>
      </c>
      <c r="E3876">
        <v>0</v>
      </c>
      <c r="F3876" s="7"/>
    </row>
    <row r="3877" spans="1:6" x14ac:dyDescent="0.25">
      <c r="A3877" s="11">
        <f t="shared" si="60"/>
        <v>8520029</v>
      </c>
      <c r="B3877">
        <v>8520029</v>
      </c>
      <c r="C3877" t="s">
        <v>2742</v>
      </c>
      <c r="D3877">
        <v>0</v>
      </c>
      <c r="E3877">
        <v>0</v>
      </c>
      <c r="F3877" s="7"/>
    </row>
    <row r="3878" spans="1:6" x14ac:dyDescent="0.25">
      <c r="A3878" s="11">
        <f t="shared" si="60"/>
        <v>8520030</v>
      </c>
      <c r="B3878">
        <v>8520030</v>
      </c>
      <c r="C3878" t="s">
        <v>1738</v>
      </c>
      <c r="D3878">
        <v>785.29</v>
      </c>
      <c r="E3878">
        <v>0</v>
      </c>
      <c r="F3878" s="7"/>
    </row>
    <row r="3879" spans="1:6" x14ac:dyDescent="0.25">
      <c r="A3879" s="11" t="str">
        <f t="shared" si="60"/>
        <v/>
      </c>
      <c r="B3879" t="s">
        <v>1859</v>
      </c>
      <c r="C3879" t="s">
        <v>1859</v>
      </c>
      <c r="D3879">
        <v>0</v>
      </c>
      <c r="E3879">
        <v>0</v>
      </c>
      <c r="F3879" s="7"/>
    </row>
    <row r="3880" spans="1:6" x14ac:dyDescent="0.25">
      <c r="A3880" s="11">
        <f t="shared" si="60"/>
        <v>8520031</v>
      </c>
      <c r="B3880">
        <v>8520031</v>
      </c>
      <c r="C3880" t="s">
        <v>2743</v>
      </c>
      <c r="D3880">
        <v>0</v>
      </c>
      <c r="E3880">
        <v>0</v>
      </c>
      <c r="F3880" s="7"/>
    </row>
    <row r="3881" spans="1:6" x14ac:dyDescent="0.25">
      <c r="A3881" s="11" t="str">
        <f t="shared" si="60"/>
        <v/>
      </c>
      <c r="B3881" t="s">
        <v>1859</v>
      </c>
      <c r="C3881" t="s">
        <v>1859</v>
      </c>
      <c r="D3881">
        <v>0</v>
      </c>
      <c r="E3881">
        <v>0</v>
      </c>
      <c r="F3881" s="7"/>
    </row>
    <row r="3882" spans="1:6" x14ac:dyDescent="0.25">
      <c r="A3882" s="11">
        <f t="shared" si="60"/>
        <v>8520032</v>
      </c>
      <c r="B3882">
        <v>8520032</v>
      </c>
      <c r="C3882" t="s">
        <v>2744</v>
      </c>
      <c r="D3882">
        <v>0</v>
      </c>
      <c r="E3882">
        <v>0</v>
      </c>
      <c r="F3882" s="7"/>
    </row>
    <row r="3883" spans="1:6" x14ac:dyDescent="0.25">
      <c r="A3883" s="11" t="str">
        <f t="shared" si="60"/>
        <v/>
      </c>
      <c r="B3883" t="s">
        <v>1859</v>
      </c>
      <c r="C3883" t="s">
        <v>1859</v>
      </c>
      <c r="D3883">
        <v>0</v>
      </c>
      <c r="E3883">
        <v>0</v>
      </c>
      <c r="F3883" s="7"/>
    </row>
    <row r="3884" spans="1:6" x14ac:dyDescent="0.25">
      <c r="A3884" s="11">
        <f t="shared" si="60"/>
        <v>8520033</v>
      </c>
      <c r="B3884">
        <v>8520033</v>
      </c>
      <c r="C3884" t="s">
        <v>2745</v>
      </c>
      <c r="D3884">
        <v>0</v>
      </c>
      <c r="E3884">
        <v>0</v>
      </c>
      <c r="F3884" s="7"/>
    </row>
    <row r="3885" spans="1:6" x14ac:dyDescent="0.25">
      <c r="A3885" s="11" t="str">
        <f t="shared" si="60"/>
        <v/>
      </c>
      <c r="B3885" t="s">
        <v>1859</v>
      </c>
      <c r="C3885" t="s">
        <v>1859</v>
      </c>
      <c r="D3885">
        <v>0</v>
      </c>
      <c r="E3885">
        <v>0</v>
      </c>
      <c r="F3885" s="7"/>
    </row>
    <row r="3886" spans="1:6" x14ac:dyDescent="0.25">
      <c r="A3886" s="11">
        <f t="shared" si="60"/>
        <v>8520034</v>
      </c>
      <c r="B3886">
        <v>8520034</v>
      </c>
      <c r="C3886" t="s">
        <v>2746</v>
      </c>
      <c r="D3886">
        <v>0</v>
      </c>
      <c r="E3886">
        <v>0</v>
      </c>
      <c r="F3886" s="7"/>
    </row>
    <row r="3887" spans="1:6" x14ac:dyDescent="0.25">
      <c r="A3887" s="11" t="str">
        <f t="shared" si="60"/>
        <v/>
      </c>
      <c r="B3887" t="s">
        <v>1859</v>
      </c>
      <c r="C3887" t="s">
        <v>1859</v>
      </c>
      <c r="D3887">
        <v>0</v>
      </c>
      <c r="E3887">
        <v>0</v>
      </c>
      <c r="F3887" s="7"/>
    </row>
    <row r="3888" spans="1:6" x14ac:dyDescent="0.25">
      <c r="A3888" s="11">
        <f t="shared" si="60"/>
        <v>8520035</v>
      </c>
      <c r="B3888">
        <v>8520035</v>
      </c>
      <c r="C3888" t="s">
        <v>2747</v>
      </c>
      <c r="D3888">
        <v>0</v>
      </c>
      <c r="E3888">
        <v>0</v>
      </c>
      <c r="F3888" s="7"/>
    </row>
    <row r="3889" spans="1:6" x14ac:dyDescent="0.25">
      <c r="A3889" s="11" t="str">
        <f t="shared" si="60"/>
        <v/>
      </c>
      <c r="B3889" t="s">
        <v>1859</v>
      </c>
      <c r="C3889" t="s">
        <v>1859</v>
      </c>
      <c r="D3889">
        <v>0</v>
      </c>
      <c r="E3889">
        <v>0</v>
      </c>
      <c r="F3889" s="7"/>
    </row>
    <row r="3890" spans="1:6" x14ac:dyDescent="0.25">
      <c r="A3890" s="11">
        <f t="shared" si="60"/>
        <v>8520036</v>
      </c>
      <c r="B3890">
        <v>8520036</v>
      </c>
      <c r="C3890" t="s">
        <v>2748</v>
      </c>
      <c r="D3890">
        <v>0</v>
      </c>
      <c r="E3890">
        <v>0</v>
      </c>
      <c r="F3890" s="7"/>
    </row>
    <row r="3891" spans="1:6" x14ac:dyDescent="0.25">
      <c r="A3891" s="11" t="str">
        <f t="shared" si="60"/>
        <v/>
      </c>
      <c r="B3891" t="s">
        <v>1859</v>
      </c>
      <c r="C3891" t="s">
        <v>1859</v>
      </c>
      <c r="D3891">
        <v>0</v>
      </c>
      <c r="E3891">
        <v>0</v>
      </c>
      <c r="F3891" s="7"/>
    </row>
    <row r="3892" spans="1:6" x14ac:dyDescent="0.25">
      <c r="A3892" s="11">
        <f t="shared" si="60"/>
        <v>8520037</v>
      </c>
      <c r="B3892">
        <v>8520037</v>
      </c>
      <c r="C3892" t="s">
        <v>2749</v>
      </c>
      <c r="D3892">
        <v>0</v>
      </c>
      <c r="E3892">
        <v>0</v>
      </c>
      <c r="F3892" s="7"/>
    </row>
    <row r="3893" spans="1:6" x14ac:dyDescent="0.25">
      <c r="A3893" s="11">
        <f t="shared" si="60"/>
        <v>8520040</v>
      </c>
      <c r="B3893">
        <v>8520040</v>
      </c>
      <c r="C3893" t="s">
        <v>1739</v>
      </c>
      <c r="D3893">
        <v>2753.64</v>
      </c>
      <c r="E3893">
        <v>0</v>
      </c>
      <c r="F3893" s="7"/>
    </row>
    <row r="3894" spans="1:6" x14ac:dyDescent="0.25">
      <c r="A3894" s="11" t="str">
        <f t="shared" si="60"/>
        <v/>
      </c>
      <c r="B3894" t="s">
        <v>1859</v>
      </c>
      <c r="C3894" t="s">
        <v>1859</v>
      </c>
      <c r="D3894">
        <v>0</v>
      </c>
      <c r="E3894">
        <v>0</v>
      </c>
      <c r="F3894" s="7"/>
    </row>
    <row r="3895" spans="1:6" x14ac:dyDescent="0.25">
      <c r="A3895" s="11">
        <f t="shared" si="60"/>
        <v>8520042</v>
      </c>
      <c r="B3895">
        <v>8520042</v>
      </c>
      <c r="C3895" t="s">
        <v>2750</v>
      </c>
      <c r="D3895">
        <v>0</v>
      </c>
      <c r="E3895">
        <v>0</v>
      </c>
      <c r="F3895" s="7"/>
    </row>
    <row r="3896" spans="1:6" x14ac:dyDescent="0.25">
      <c r="A3896" s="11">
        <f t="shared" si="60"/>
        <v>8520045</v>
      </c>
      <c r="B3896">
        <v>8520045</v>
      </c>
      <c r="C3896" t="s">
        <v>1446</v>
      </c>
      <c r="D3896">
        <v>800</v>
      </c>
      <c r="E3896">
        <v>1463</v>
      </c>
      <c r="F3896" s="7"/>
    </row>
    <row r="3897" spans="1:6" x14ac:dyDescent="0.25">
      <c r="A3897" s="11">
        <f t="shared" si="60"/>
        <v>8520050</v>
      </c>
      <c r="B3897">
        <v>8520050</v>
      </c>
      <c r="C3897" t="s">
        <v>837</v>
      </c>
      <c r="D3897">
        <v>916.86</v>
      </c>
      <c r="E3897">
        <v>0</v>
      </c>
      <c r="F3897" s="7"/>
    </row>
    <row r="3898" spans="1:6" x14ac:dyDescent="0.25">
      <c r="A3898" s="11">
        <f t="shared" si="60"/>
        <v>8520051</v>
      </c>
      <c r="B3898">
        <v>8520051</v>
      </c>
      <c r="C3898" t="s">
        <v>1421</v>
      </c>
      <c r="D3898">
        <v>850</v>
      </c>
      <c r="E3898">
        <v>340</v>
      </c>
      <c r="F3898" s="7"/>
    </row>
    <row r="3899" spans="1:6" x14ac:dyDescent="0.25">
      <c r="A3899" s="11">
        <f t="shared" si="60"/>
        <v>8520052</v>
      </c>
      <c r="B3899">
        <v>8520052</v>
      </c>
      <c r="C3899" t="s">
        <v>2751</v>
      </c>
      <c r="D3899">
        <v>966.79</v>
      </c>
      <c r="E3899">
        <v>0</v>
      </c>
      <c r="F3899" s="7"/>
    </row>
    <row r="3900" spans="1:6" x14ac:dyDescent="0.25">
      <c r="A3900" s="11">
        <f t="shared" si="60"/>
        <v>8520059</v>
      </c>
      <c r="B3900">
        <v>8520059</v>
      </c>
      <c r="C3900" t="s">
        <v>1740</v>
      </c>
      <c r="D3900">
        <v>785.29</v>
      </c>
      <c r="E3900">
        <v>0</v>
      </c>
      <c r="F3900" s="7"/>
    </row>
    <row r="3901" spans="1:6" x14ac:dyDescent="0.25">
      <c r="A3901" s="11">
        <f t="shared" si="60"/>
        <v>8520060</v>
      </c>
      <c r="B3901">
        <v>8520060</v>
      </c>
      <c r="C3901" t="s">
        <v>1741</v>
      </c>
      <c r="D3901">
        <v>785.29</v>
      </c>
      <c r="E3901">
        <v>0</v>
      </c>
      <c r="F3901" s="7"/>
    </row>
    <row r="3902" spans="1:6" x14ac:dyDescent="0.25">
      <c r="A3902" s="11">
        <f t="shared" si="60"/>
        <v>8520064</v>
      </c>
      <c r="B3902">
        <v>8520064</v>
      </c>
      <c r="C3902" t="s">
        <v>1742</v>
      </c>
      <c r="D3902">
        <v>950</v>
      </c>
      <c r="E3902">
        <v>595</v>
      </c>
      <c r="F3902" s="7"/>
    </row>
    <row r="3903" spans="1:6" x14ac:dyDescent="0.25">
      <c r="A3903" s="11" t="str">
        <f t="shared" si="60"/>
        <v/>
      </c>
      <c r="B3903" t="s">
        <v>1859</v>
      </c>
      <c r="C3903" t="s">
        <v>1859</v>
      </c>
      <c r="D3903">
        <v>0</v>
      </c>
      <c r="E3903">
        <v>0</v>
      </c>
      <c r="F3903" s="7"/>
    </row>
    <row r="3904" spans="1:6" x14ac:dyDescent="0.25">
      <c r="A3904" s="11">
        <f t="shared" si="60"/>
        <v>8520065</v>
      </c>
      <c r="B3904">
        <v>8520065</v>
      </c>
      <c r="C3904" t="s">
        <v>2752</v>
      </c>
      <c r="D3904">
        <v>0</v>
      </c>
      <c r="E3904">
        <v>0</v>
      </c>
      <c r="F3904" s="7"/>
    </row>
    <row r="3905" spans="1:6" x14ac:dyDescent="0.25">
      <c r="A3905" s="11" t="str">
        <f t="shared" si="60"/>
        <v/>
      </c>
      <c r="B3905" t="s">
        <v>1859</v>
      </c>
      <c r="C3905" t="s">
        <v>1859</v>
      </c>
      <c r="D3905">
        <v>0</v>
      </c>
      <c r="E3905">
        <v>0</v>
      </c>
      <c r="F3905" s="7"/>
    </row>
    <row r="3906" spans="1:6" x14ac:dyDescent="0.25">
      <c r="A3906" s="11">
        <f t="shared" si="60"/>
        <v>8520066</v>
      </c>
      <c r="B3906">
        <v>8520066</v>
      </c>
      <c r="C3906" t="s">
        <v>2753</v>
      </c>
      <c r="D3906">
        <v>0</v>
      </c>
      <c r="E3906">
        <v>0</v>
      </c>
      <c r="F3906" s="7"/>
    </row>
    <row r="3907" spans="1:6" x14ac:dyDescent="0.25">
      <c r="A3907" s="11">
        <f t="shared" si="60"/>
        <v>8520067</v>
      </c>
      <c r="B3907">
        <v>8520067</v>
      </c>
      <c r="C3907" t="s">
        <v>1422</v>
      </c>
      <c r="D3907">
        <v>650</v>
      </c>
      <c r="E3907">
        <v>738</v>
      </c>
      <c r="F3907" s="7"/>
    </row>
    <row r="3908" spans="1:6" x14ac:dyDescent="0.25">
      <c r="A3908" s="11">
        <f t="shared" si="60"/>
        <v>8520068</v>
      </c>
      <c r="B3908">
        <v>8520068</v>
      </c>
      <c r="C3908" t="s">
        <v>2754</v>
      </c>
      <c r="D3908">
        <v>605</v>
      </c>
      <c r="E3908">
        <v>0</v>
      </c>
      <c r="F3908" s="7"/>
    </row>
    <row r="3909" spans="1:6" x14ac:dyDescent="0.25">
      <c r="A3909" s="11" t="str">
        <f t="shared" si="60"/>
        <v/>
      </c>
      <c r="B3909" t="s">
        <v>1859</v>
      </c>
      <c r="C3909" t="s">
        <v>1859</v>
      </c>
      <c r="D3909">
        <v>0</v>
      </c>
      <c r="E3909">
        <v>0</v>
      </c>
      <c r="F3909" s="7"/>
    </row>
    <row r="3910" spans="1:6" x14ac:dyDescent="0.25">
      <c r="A3910" s="11">
        <f t="shared" ref="A3910:A3973" si="61">IFERROR(B3910*1,"")</f>
        <v>8520070</v>
      </c>
      <c r="B3910">
        <v>8520070</v>
      </c>
      <c r="C3910" t="s">
        <v>2755</v>
      </c>
      <c r="D3910">
        <v>0</v>
      </c>
      <c r="E3910">
        <v>0</v>
      </c>
      <c r="F3910" s="7"/>
    </row>
    <row r="3911" spans="1:6" x14ac:dyDescent="0.25">
      <c r="A3911" s="11">
        <f t="shared" si="61"/>
        <v>8520100</v>
      </c>
      <c r="B3911">
        <v>8520100</v>
      </c>
      <c r="C3911" t="s">
        <v>1743</v>
      </c>
      <c r="D3911">
        <v>300</v>
      </c>
      <c r="E3911">
        <v>32</v>
      </c>
      <c r="F3911" s="7"/>
    </row>
    <row r="3912" spans="1:6" x14ac:dyDescent="0.25">
      <c r="A3912" s="11" t="str">
        <f t="shared" si="61"/>
        <v/>
      </c>
      <c r="B3912" t="s">
        <v>1859</v>
      </c>
      <c r="C3912" t="s">
        <v>1859</v>
      </c>
      <c r="D3912">
        <v>0</v>
      </c>
      <c r="E3912">
        <v>0</v>
      </c>
      <c r="F3912" s="7"/>
    </row>
    <row r="3913" spans="1:6" x14ac:dyDescent="0.25">
      <c r="A3913" s="11">
        <f t="shared" si="61"/>
        <v>8520101</v>
      </c>
      <c r="B3913">
        <v>8520101</v>
      </c>
      <c r="C3913" t="s">
        <v>2756</v>
      </c>
      <c r="D3913">
        <v>0</v>
      </c>
      <c r="E3913">
        <v>0</v>
      </c>
      <c r="F3913" s="7"/>
    </row>
    <row r="3914" spans="1:6" x14ac:dyDescent="0.25">
      <c r="A3914" s="11">
        <f t="shared" si="61"/>
        <v>8520102</v>
      </c>
      <c r="B3914">
        <v>8520102</v>
      </c>
      <c r="C3914" t="s">
        <v>1045</v>
      </c>
      <c r="D3914">
        <v>1200</v>
      </c>
      <c r="E3914">
        <v>43</v>
      </c>
      <c r="F3914" s="7"/>
    </row>
    <row r="3915" spans="1:6" x14ac:dyDescent="0.25">
      <c r="A3915" s="11" t="str">
        <f t="shared" si="61"/>
        <v/>
      </c>
      <c r="B3915" t="s">
        <v>1859</v>
      </c>
      <c r="C3915" t="s">
        <v>1859</v>
      </c>
      <c r="D3915">
        <v>0</v>
      </c>
      <c r="E3915">
        <v>0</v>
      </c>
      <c r="F3915" s="7"/>
    </row>
    <row r="3916" spans="1:6" x14ac:dyDescent="0.25">
      <c r="A3916" s="11">
        <f t="shared" si="61"/>
        <v>8520103</v>
      </c>
      <c r="B3916">
        <v>8520103</v>
      </c>
      <c r="C3916" t="s">
        <v>2757</v>
      </c>
      <c r="D3916">
        <v>0</v>
      </c>
      <c r="E3916">
        <v>0</v>
      </c>
      <c r="F3916" s="7"/>
    </row>
    <row r="3917" spans="1:6" x14ac:dyDescent="0.25">
      <c r="A3917" s="11">
        <f t="shared" si="61"/>
        <v>8520104</v>
      </c>
      <c r="B3917">
        <v>8520104</v>
      </c>
      <c r="C3917" t="s">
        <v>1744</v>
      </c>
      <c r="D3917">
        <v>876.83</v>
      </c>
      <c r="E3917">
        <v>0</v>
      </c>
      <c r="F3917" s="7"/>
    </row>
    <row r="3918" spans="1:6" x14ac:dyDescent="0.25">
      <c r="A3918" s="11" t="str">
        <f t="shared" si="61"/>
        <v/>
      </c>
      <c r="B3918" t="s">
        <v>1859</v>
      </c>
      <c r="C3918" t="s">
        <v>1859</v>
      </c>
      <c r="D3918">
        <v>0</v>
      </c>
      <c r="E3918">
        <v>0</v>
      </c>
      <c r="F3918" s="7"/>
    </row>
    <row r="3919" spans="1:6" x14ac:dyDescent="0.25">
      <c r="A3919" s="11">
        <f t="shared" si="61"/>
        <v>8520105</v>
      </c>
      <c r="B3919">
        <v>8520105</v>
      </c>
      <c r="C3919" t="s">
        <v>2758</v>
      </c>
      <c r="D3919">
        <v>0</v>
      </c>
      <c r="E3919">
        <v>0</v>
      </c>
      <c r="F3919" s="7"/>
    </row>
    <row r="3920" spans="1:6" x14ac:dyDescent="0.25">
      <c r="A3920" s="11" t="str">
        <f t="shared" si="61"/>
        <v/>
      </c>
      <c r="B3920" t="s">
        <v>1859</v>
      </c>
      <c r="C3920" t="s">
        <v>1859</v>
      </c>
      <c r="D3920">
        <v>0</v>
      </c>
      <c r="E3920">
        <v>0</v>
      </c>
      <c r="F3920" s="7"/>
    </row>
    <row r="3921" spans="1:6" x14ac:dyDescent="0.25">
      <c r="A3921" s="11">
        <f t="shared" si="61"/>
        <v>8520106</v>
      </c>
      <c r="B3921">
        <v>8520106</v>
      </c>
      <c r="C3921" t="s">
        <v>2759</v>
      </c>
      <c r="D3921">
        <v>0</v>
      </c>
      <c r="E3921">
        <v>0</v>
      </c>
      <c r="F3921" s="7"/>
    </row>
    <row r="3922" spans="1:6" x14ac:dyDescent="0.25">
      <c r="A3922" s="11">
        <f t="shared" si="61"/>
        <v>8520110</v>
      </c>
      <c r="B3922">
        <v>8520110</v>
      </c>
      <c r="C3922" t="s">
        <v>1043</v>
      </c>
      <c r="D3922">
        <v>1300</v>
      </c>
      <c r="E3922">
        <v>26</v>
      </c>
      <c r="F3922" s="7"/>
    </row>
    <row r="3923" spans="1:6" x14ac:dyDescent="0.25">
      <c r="A3923" s="11">
        <f t="shared" si="61"/>
        <v>85201100</v>
      </c>
      <c r="B3923">
        <v>85201100</v>
      </c>
      <c r="C3923" t="s">
        <v>2760</v>
      </c>
      <c r="D3923">
        <v>0</v>
      </c>
      <c r="E3923">
        <v>0</v>
      </c>
      <c r="F3923" s="7"/>
    </row>
    <row r="3924" spans="1:6" x14ac:dyDescent="0.25">
      <c r="A3924" s="11">
        <f t="shared" si="61"/>
        <v>8520111</v>
      </c>
      <c r="B3924">
        <v>8520111</v>
      </c>
      <c r="C3924" t="s">
        <v>1048</v>
      </c>
      <c r="D3924">
        <v>319.61</v>
      </c>
      <c r="E3924">
        <v>0</v>
      </c>
      <c r="F3924" s="7"/>
    </row>
    <row r="3925" spans="1:6" x14ac:dyDescent="0.25">
      <c r="A3925" s="11" t="str">
        <f t="shared" si="61"/>
        <v/>
      </c>
      <c r="B3925" t="s">
        <v>1859</v>
      </c>
      <c r="C3925" t="s">
        <v>1859</v>
      </c>
      <c r="D3925">
        <v>0</v>
      </c>
      <c r="E3925">
        <v>0</v>
      </c>
      <c r="F3925" s="7"/>
    </row>
    <row r="3926" spans="1:6" x14ac:dyDescent="0.25">
      <c r="A3926" s="11">
        <f t="shared" si="61"/>
        <v>8520115</v>
      </c>
      <c r="B3926">
        <v>8520115</v>
      </c>
      <c r="C3926" t="s">
        <v>2761</v>
      </c>
      <c r="D3926">
        <v>0</v>
      </c>
      <c r="E3926">
        <v>0</v>
      </c>
      <c r="F3926" s="7"/>
    </row>
    <row r="3927" spans="1:6" x14ac:dyDescent="0.25">
      <c r="A3927" s="11">
        <f t="shared" si="61"/>
        <v>8520116</v>
      </c>
      <c r="B3927">
        <v>8520116</v>
      </c>
      <c r="C3927" t="s">
        <v>1745</v>
      </c>
      <c r="D3927">
        <v>457.67</v>
      </c>
      <c r="E3927">
        <v>0</v>
      </c>
      <c r="F3927" s="7"/>
    </row>
    <row r="3928" spans="1:6" x14ac:dyDescent="0.25">
      <c r="A3928" s="11">
        <f t="shared" si="61"/>
        <v>8520118</v>
      </c>
      <c r="B3928">
        <v>8520118</v>
      </c>
      <c r="C3928" t="s">
        <v>832</v>
      </c>
      <c r="D3928">
        <v>890</v>
      </c>
      <c r="E3928">
        <v>143</v>
      </c>
      <c r="F3928" s="7"/>
    </row>
    <row r="3929" spans="1:6" x14ac:dyDescent="0.25">
      <c r="A3929" s="11" t="str">
        <f t="shared" si="61"/>
        <v/>
      </c>
      <c r="B3929" t="s">
        <v>1859</v>
      </c>
      <c r="C3929" t="s">
        <v>1859</v>
      </c>
      <c r="D3929">
        <v>0</v>
      </c>
      <c r="E3929">
        <v>0</v>
      </c>
      <c r="F3929" s="7"/>
    </row>
    <row r="3930" spans="1:6" x14ac:dyDescent="0.25">
      <c r="A3930" s="11">
        <f t="shared" si="61"/>
        <v>8520119</v>
      </c>
      <c r="B3930">
        <v>8520119</v>
      </c>
      <c r="C3930" t="s">
        <v>2762</v>
      </c>
      <c r="D3930">
        <v>0</v>
      </c>
      <c r="E3930">
        <v>0</v>
      </c>
      <c r="F3930" s="7"/>
    </row>
    <row r="3931" spans="1:6" x14ac:dyDescent="0.25">
      <c r="A3931" s="11">
        <f t="shared" si="61"/>
        <v>8520120</v>
      </c>
      <c r="B3931">
        <v>8520120</v>
      </c>
      <c r="C3931" t="s">
        <v>1746</v>
      </c>
      <c r="D3931">
        <v>1222.99</v>
      </c>
      <c r="E3931">
        <v>0</v>
      </c>
      <c r="F3931" s="7"/>
    </row>
    <row r="3932" spans="1:6" x14ac:dyDescent="0.25">
      <c r="A3932" s="11">
        <f t="shared" si="61"/>
        <v>8520121</v>
      </c>
      <c r="B3932">
        <v>8520121</v>
      </c>
      <c r="C3932" t="s">
        <v>178</v>
      </c>
      <c r="D3932">
        <v>457.67</v>
      </c>
      <c r="E3932">
        <v>0</v>
      </c>
      <c r="F3932" s="7"/>
    </row>
    <row r="3933" spans="1:6" x14ac:dyDescent="0.25">
      <c r="A3933" s="11" t="str">
        <f t="shared" si="61"/>
        <v/>
      </c>
      <c r="B3933" t="s">
        <v>1859</v>
      </c>
      <c r="C3933" t="s">
        <v>1859</v>
      </c>
      <c r="D3933">
        <v>0</v>
      </c>
      <c r="E3933">
        <v>0</v>
      </c>
      <c r="F3933" s="7"/>
    </row>
    <row r="3934" spans="1:6" x14ac:dyDescent="0.25">
      <c r="A3934" s="11">
        <f t="shared" si="61"/>
        <v>8520122</v>
      </c>
      <c r="B3934">
        <v>8520122</v>
      </c>
      <c r="C3934" t="s">
        <v>2763</v>
      </c>
      <c r="D3934">
        <v>0</v>
      </c>
      <c r="E3934">
        <v>0</v>
      </c>
      <c r="F3934" s="7"/>
    </row>
    <row r="3935" spans="1:6" x14ac:dyDescent="0.25">
      <c r="A3935" s="11" t="str">
        <f t="shared" si="61"/>
        <v/>
      </c>
      <c r="B3935" t="s">
        <v>1859</v>
      </c>
      <c r="C3935" t="s">
        <v>1859</v>
      </c>
      <c r="D3935">
        <v>0</v>
      </c>
      <c r="E3935">
        <v>0</v>
      </c>
      <c r="F3935" s="7"/>
    </row>
    <row r="3936" spans="1:6" x14ac:dyDescent="0.25">
      <c r="A3936" s="11">
        <f t="shared" si="61"/>
        <v>8520123</v>
      </c>
      <c r="B3936">
        <v>8520123</v>
      </c>
      <c r="C3936" t="s">
        <v>2764</v>
      </c>
      <c r="D3936">
        <v>0</v>
      </c>
      <c r="E3936">
        <v>0</v>
      </c>
      <c r="F3936" s="7"/>
    </row>
    <row r="3937" spans="1:6" x14ac:dyDescent="0.25">
      <c r="A3937" s="11">
        <f t="shared" si="61"/>
        <v>8520124</v>
      </c>
      <c r="B3937">
        <v>8520124</v>
      </c>
      <c r="C3937" t="s">
        <v>179</v>
      </c>
      <c r="D3937">
        <v>763.8</v>
      </c>
      <c r="E3937">
        <v>0</v>
      </c>
      <c r="F3937" s="7"/>
    </row>
    <row r="3938" spans="1:6" x14ac:dyDescent="0.25">
      <c r="A3938" s="11">
        <f t="shared" si="61"/>
        <v>8520125</v>
      </c>
      <c r="B3938">
        <v>8520125</v>
      </c>
      <c r="C3938" t="s">
        <v>1149</v>
      </c>
      <c r="D3938">
        <v>491.91</v>
      </c>
      <c r="E3938">
        <v>0</v>
      </c>
      <c r="F3938" s="7"/>
    </row>
    <row r="3939" spans="1:6" x14ac:dyDescent="0.25">
      <c r="A3939" s="11" t="str">
        <f t="shared" si="61"/>
        <v/>
      </c>
      <c r="B3939" t="s">
        <v>1859</v>
      </c>
      <c r="C3939" t="s">
        <v>1859</v>
      </c>
      <c r="D3939">
        <v>0</v>
      </c>
      <c r="E3939">
        <v>0</v>
      </c>
      <c r="F3939" s="7"/>
    </row>
    <row r="3940" spans="1:6" x14ac:dyDescent="0.25">
      <c r="A3940" s="11">
        <f t="shared" si="61"/>
        <v>8520126</v>
      </c>
      <c r="B3940">
        <v>8520126</v>
      </c>
      <c r="C3940" t="s">
        <v>2765</v>
      </c>
      <c r="D3940">
        <v>0</v>
      </c>
      <c r="E3940">
        <v>0</v>
      </c>
      <c r="F3940" s="7"/>
    </row>
    <row r="3941" spans="1:6" x14ac:dyDescent="0.25">
      <c r="A3941" s="11" t="str">
        <f t="shared" si="61"/>
        <v/>
      </c>
      <c r="B3941" t="s">
        <v>1859</v>
      </c>
      <c r="C3941" t="s">
        <v>1859</v>
      </c>
      <c r="D3941">
        <v>0</v>
      </c>
      <c r="E3941">
        <v>0</v>
      </c>
      <c r="F3941" s="7"/>
    </row>
    <row r="3942" spans="1:6" x14ac:dyDescent="0.25">
      <c r="A3942" s="11">
        <f t="shared" si="61"/>
        <v>8520127</v>
      </c>
      <c r="B3942">
        <v>8520127</v>
      </c>
      <c r="C3942" t="s">
        <v>2766</v>
      </c>
      <c r="D3942">
        <v>0</v>
      </c>
      <c r="E3942">
        <v>0</v>
      </c>
      <c r="F3942" s="7"/>
    </row>
    <row r="3943" spans="1:6" x14ac:dyDescent="0.25">
      <c r="A3943" s="11" t="str">
        <f t="shared" si="61"/>
        <v/>
      </c>
      <c r="B3943" t="s">
        <v>1859</v>
      </c>
      <c r="C3943" t="s">
        <v>1859</v>
      </c>
      <c r="D3943">
        <v>0</v>
      </c>
      <c r="E3943">
        <v>0</v>
      </c>
      <c r="F3943" s="7"/>
    </row>
    <row r="3944" spans="1:6" x14ac:dyDescent="0.25">
      <c r="A3944" s="11">
        <f t="shared" si="61"/>
        <v>8520130</v>
      </c>
      <c r="B3944">
        <v>8520130</v>
      </c>
      <c r="C3944" t="s">
        <v>2767</v>
      </c>
      <c r="D3944">
        <v>0</v>
      </c>
      <c r="E3944">
        <v>0</v>
      </c>
      <c r="F3944" s="7"/>
    </row>
    <row r="3945" spans="1:6" x14ac:dyDescent="0.25">
      <c r="A3945" s="11">
        <f t="shared" si="61"/>
        <v>8520141</v>
      </c>
      <c r="B3945">
        <v>8520141</v>
      </c>
      <c r="C3945" t="s">
        <v>830</v>
      </c>
      <c r="D3945">
        <v>457.67</v>
      </c>
      <c r="E3945">
        <v>24</v>
      </c>
      <c r="F3945" s="7"/>
    </row>
    <row r="3946" spans="1:6" x14ac:dyDescent="0.25">
      <c r="A3946" s="11" t="str">
        <f t="shared" si="61"/>
        <v/>
      </c>
      <c r="B3946" t="s">
        <v>1859</v>
      </c>
      <c r="C3946" t="s">
        <v>1859</v>
      </c>
      <c r="D3946">
        <v>0</v>
      </c>
      <c r="E3946">
        <v>0</v>
      </c>
      <c r="F3946" s="7"/>
    </row>
    <row r="3947" spans="1:6" x14ac:dyDescent="0.25">
      <c r="A3947" s="11">
        <f t="shared" si="61"/>
        <v>8520142</v>
      </c>
      <c r="B3947">
        <v>8520142</v>
      </c>
      <c r="C3947" t="s">
        <v>2768</v>
      </c>
      <c r="D3947">
        <v>0</v>
      </c>
      <c r="E3947">
        <v>0</v>
      </c>
      <c r="F3947" s="7"/>
    </row>
    <row r="3948" spans="1:6" x14ac:dyDescent="0.25">
      <c r="A3948" s="11" t="str">
        <f t="shared" si="61"/>
        <v/>
      </c>
      <c r="B3948" t="s">
        <v>1859</v>
      </c>
      <c r="C3948" t="s">
        <v>1859</v>
      </c>
      <c r="D3948">
        <v>0</v>
      </c>
      <c r="E3948">
        <v>0</v>
      </c>
      <c r="F3948" s="7"/>
    </row>
    <row r="3949" spans="1:6" x14ac:dyDescent="0.25">
      <c r="A3949" s="11">
        <f t="shared" si="61"/>
        <v>8520143</v>
      </c>
      <c r="B3949">
        <v>8520143</v>
      </c>
      <c r="C3949" t="s">
        <v>2769</v>
      </c>
      <c r="D3949">
        <v>0</v>
      </c>
      <c r="E3949">
        <v>0</v>
      </c>
      <c r="F3949" s="7"/>
    </row>
    <row r="3950" spans="1:6" x14ac:dyDescent="0.25">
      <c r="A3950" s="11" t="str">
        <f t="shared" si="61"/>
        <v/>
      </c>
      <c r="B3950" t="s">
        <v>1859</v>
      </c>
      <c r="C3950" t="s">
        <v>1859</v>
      </c>
      <c r="D3950">
        <v>0</v>
      </c>
      <c r="E3950">
        <v>0</v>
      </c>
      <c r="F3950" s="7"/>
    </row>
    <row r="3951" spans="1:6" x14ac:dyDescent="0.25">
      <c r="A3951" s="11">
        <f t="shared" si="61"/>
        <v>8520144</v>
      </c>
      <c r="B3951">
        <v>8520144</v>
      </c>
      <c r="C3951" t="s">
        <v>2770</v>
      </c>
      <c r="D3951">
        <v>0</v>
      </c>
      <c r="E3951">
        <v>0</v>
      </c>
      <c r="F3951" s="7"/>
    </row>
    <row r="3952" spans="1:6" x14ac:dyDescent="0.25">
      <c r="A3952" s="11" t="str">
        <f t="shared" si="61"/>
        <v/>
      </c>
      <c r="B3952" t="s">
        <v>1859</v>
      </c>
      <c r="C3952" t="s">
        <v>1859</v>
      </c>
      <c r="D3952">
        <v>0</v>
      </c>
      <c r="E3952">
        <v>0</v>
      </c>
      <c r="F3952" s="7"/>
    </row>
    <row r="3953" spans="1:6" x14ac:dyDescent="0.25">
      <c r="A3953" s="11">
        <f t="shared" si="61"/>
        <v>8520155</v>
      </c>
      <c r="B3953">
        <v>8520155</v>
      </c>
      <c r="C3953" t="s">
        <v>2771</v>
      </c>
      <c r="D3953">
        <v>0</v>
      </c>
      <c r="E3953">
        <v>0</v>
      </c>
      <c r="F3953" s="7"/>
    </row>
    <row r="3954" spans="1:6" x14ac:dyDescent="0.25">
      <c r="A3954" s="11">
        <f t="shared" si="61"/>
        <v>8520162</v>
      </c>
      <c r="B3954">
        <v>8520162</v>
      </c>
      <c r="C3954" t="s">
        <v>1044</v>
      </c>
      <c r="D3954">
        <v>1100</v>
      </c>
      <c r="E3954">
        <v>54</v>
      </c>
      <c r="F3954" s="7"/>
    </row>
    <row r="3955" spans="1:6" x14ac:dyDescent="0.25">
      <c r="A3955" s="11">
        <f t="shared" si="61"/>
        <v>8520165</v>
      </c>
      <c r="B3955">
        <v>8520165</v>
      </c>
      <c r="C3955" t="s">
        <v>833</v>
      </c>
      <c r="D3955">
        <v>385</v>
      </c>
      <c r="E3955">
        <v>3</v>
      </c>
      <c r="F3955" s="7"/>
    </row>
    <row r="3956" spans="1:6" x14ac:dyDescent="0.25">
      <c r="A3956" s="11">
        <f t="shared" si="61"/>
        <v>8520166</v>
      </c>
      <c r="B3956">
        <v>8520166</v>
      </c>
      <c r="C3956" t="s">
        <v>834</v>
      </c>
      <c r="D3956">
        <v>1400</v>
      </c>
      <c r="E3956">
        <v>0</v>
      </c>
      <c r="F3956" s="7"/>
    </row>
    <row r="3957" spans="1:6" x14ac:dyDescent="0.25">
      <c r="A3957" s="11" t="str">
        <f t="shared" si="61"/>
        <v/>
      </c>
      <c r="B3957" t="s">
        <v>1859</v>
      </c>
      <c r="C3957" t="s">
        <v>1859</v>
      </c>
      <c r="D3957">
        <v>0</v>
      </c>
      <c r="E3957">
        <v>0</v>
      </c>
      <c r="F3957" s="7"/>
    </row>
    <row r="3958" spans="1:6" x14ac:dyDescent="0.25">
      <c r="A3958" s="11">
        <f t="shared" si="61"/>
        <v>8520175</v>
      </c>
      <c r="B3958">
        <v>8520175</v>
      </c>
      <c r="C3958" t="s">
        <v>2772</v>
      </c>
      <c r="D3958">
        <v>0</v>
      </c>
      <c r="E3958">
        <v>0</v>
      </c>
      <c r="F3958" s="7"/>
    </row>
    <row r="3959" spans="1:6" x14ac:dyDescent="0.25">
      <c r="A3959" s="11">
        <f t="shared" si="61"/>
        <v>8520190</v>
      </c>
      <c r="B3959">
        <v>8520190</v>
      </c>
      <c r="C3959" t="s">
        <v>1047</v>
      </c>
      <c r="D3959">
        <v>1967.71</v>
      </c>
      <c r="E3959">
        <v>0</v>
      </c>
      <c r="F3959" s="7"/>
    </row>
    <row r="3960" spans="1:6" x14ac:dyDescent="0.25">
      <c r="A3960" s="11">
        <f t="shared" si="61"/>
        <v>8520209</v>
      </c>
      <c r="B3960">
        <v>8520209</v>
      </c>
      <c r="C3960" t="s">
        <v>1749</v>
      </c>
      <c r="D3960">
        <v>700</v>
      </c>
      <c r="E3960">
        <v>11</v>
      </c>
      <c r="F3960" s="7"/>
    </row>
    <row r="3961" spans="1:6" x14ac:dyDescent="0.25">
      <c r="A3961" s="11">
        <f t="shared" si="61"/>
        <v>8520220</v>
      </c>
      <c r="B3961">
        <v>8520220</v>
      </c>
      <c r="C3961" t="s">
        <v>1041</v>
      </c>
      <c r="D3961">
        <v>1057.6500000000001</v>
      </c>
      <c r="E3961">
        <v>0</v>
      </c>
      <c r="F3961" s="7"/>
    </row>
    <row r="3962" spans="1:6" x14ac:dyDescent="0.25">
      <c r="A3962" s="11" t="str">
        <f t="shared" si="61"/>
        <v/>
      </c>
      <c r="B3962" t="s">
        <v>1859</v>
      </c>
      <c r="C3962" t="s">
        <v>1859</v>
      </c>
      <c r="D3962">
        <v>0</v>
      </c>
      <c r="E3962">
        <v>0</v>
      </c>
      <c r="F3962" s="7"/>
    </row>
    <row r="3963" spans="1:6" x14ac:dyDescent="0.25">
      <c r="A3963" s="11">
        <f t="shared" si="61"/>
        <v>8520222</v>
      </c>
      <c r="B3963">
        <v>8520222</v>
      </c>
      <c r="C3963" t="s">
        <v>2773</v>
      </c>
      <c r="D3963">
        <v>0</v>
      </c>
      <c r="E3963">
        <v>0</v>
      </c>
      <c r="F3963" s="7"/>
    </row>
    <row r="3964" spans="1:6" x14ac:dyDescent="0.25">
      <c r="A3964" s="11">
        <f t="shared" si="61"/>
        <v>8520230</v>
      </c>
      <c r="B3964">
        <v>8520230</v>
      </c>
      <c r="C3964" t="s">
        <v>1055</v>
      </c>
      <c r="D3964">
        <v>500</v>
      </c>
      <c r="E3964">
        <v>147</v>
      </c>
      <c r="F3964" s="7"/>
    </row>
    <row r="3965" spans="1:6" x14ac:dyDescent="0.25">
      <c r="A3965" s="11" t="str">
        <f t="shared" si="61"/>
        <v/>
      </c>
      <c r="B3965" t="s">
        <v>1859</v>
      </c>
      <c r="C3965" t="s">
        <v>1859</v>
      </c>
      <c r="D3965">
        <v>0</v>
      </c>
      <c r="E3965">
        <v>0</v>
      </c>
      <c r="F3965" s="7"/>
    </row>
    <row r="3966" spans="1:6" x14ac:dyDescent="0.25">
      <c r="A3966" s="11">
        <f t="shared" si="61"/>
        <v>8520264</v>
      </c>
      <c r="B3966">
        <v>8520264</v>
      </c>
      <c r="C3966" t="s">
        <v>2774</v>
      </c>
      <c r="D3966">
        <v>0</v>
      </c>
      <c r="E3966">
        <v>0</v>
      </c>
      <c r="F3966" s="7"/>
    </row>
    <row r="3967" spans="1:6" x14ac:dyDescent="0.25">
      <c r="A3967" s="11">
        <f t="shared" si="61"/>
        <v>8520265</v>
      </c>
      <c r="B3967">
        <v>8520265</v>
      </c>
      <c r="C3967" t="s">
        <v>831</v>
      </c>
      <c r="D3967">
        <v>200</v>
      </c>
      <c r="E3967">
        <v>649</v>
      </c>
      <c r="F3967" s="7"/>
    </row>
    <row r="3968" spans="1:6" x14ac:dyDescent="0.25">
      <c r="A3968" s="11" t="str">
        <f t="shared" si="61"/>
        <v/>
      </c>
      <c r="B3968" t="s">
        <v>1859</v>
      </c>
      <c r="C3968" t="s">
        <v>1859</v>
      </c>
      <c r="D3968">
        <v>0</v>
      </c>
      <c r="E3968">
        <v>0</v>
      </c>
      <c r="F3968" s="7"/>
    </row>
    <row r="3969" spans="1:6" x14ac:dyDescent="0.25">
      <c r="A3969" s="11">
        <f t="shared" si="61"/>
        <v>8520271</v>
      </c>
      <c r="B3969">
        <v>8520271</v>
      </c>
      <c r="C3969" t="s">
        <v>2775</v>
      </c>
      <c r="D3969">
        <v>0</v>
      </c>
      <c r="E3969">
        <v>0</v>
      </c>
      <c r="F3969" s="7"/>
    </row>
    <row r="3970" spans="1:6" x14ac:dyDescent="0.25">
      <c r="A3970" s="11" t="str">
        <f t="shared" si="61"/>
        <v/>
      </c>
      <c r="B3970" t="s">
        <v>1859</v>
      </c>
      <c r="C3970" t="s">
        <v>1859</v>
      </c>
      <c r="D3970">
        <v>0</v>
      </c>
      <c r="E3970">
        <v>0</v>
      </c>
      <c r="F3970" s="7"/>
    </row>
    <row r="3971" spans="1:6" x14ac:dyDescent="0.25">
      <c r="A3971" s="11">
        <f t="shared" si="61"/>
        <v>8520282</v>
      </c>
      <c r="B3971">
        <v>8520282</v>
      </c>
      <c r="C3971" t="s">
        <v>2776</v>
      </c>
      <c r="D3971">
        <v>0</v>
      </c>
      <c r="E3971">
        <v>0</v>
      </c>
      <c r="F3971" s="7"/>
    </row>
    <row r="3972" spans="1:6" x14ac:dyDescent="0.25">
      <c r="A3972" s="11">
        <f t="shared" si="61"/>
        <v>8520290</v>
      </c>
      <c r="B3972">
        <v>8520290</v>
      </c>
      <c r="C3972" t="s">
        <v>843</v>
      </c>
      <c r="D3972">
        <v>1967.71</v>
      </c>
      <c r="E3972">
        <v>0</v>
      </c>
      <c r="F3972" s="7"/>
    </row>
    <row r="3973" spans="1:6" x14ac:dyDescent="0.25">
      <c r="A3973" s="11" t="str">
        <f t="shared" si="61"/>
        <v/>
      </c>
      <c r="B3973" t="s">
        <v>1859</v>
      </c>
      <c r="C3973" t="s">
        <v>1859</v>
      </c>
      <c r="D3973">
        <v>0</v>
      </c>
      <c r="E3973">
        <v>0</v>
      </c>
      <c r="F3973" s="7"/>
    </row>
    <row r="3974" spans="1:6" x14ac:dyDescent="0.25">
      <c r="A3974" s="11">
        <f t="shared" ref="A3974:A4000" si="62">IFERROR(B3974*1,"")</f>
        <v>8520305</v>
      </c>
      <c r="B3974">
        <v>8520305</v>
      </c>
      <c r="C3974" t="s">
        <v>2777</v>
      </c>
      <c r="D3974">
        <v>0</v>
      </c>
      <c r="E3974">
        <v>0</v>
      </c>
      <c r="F3974" s="7"/>
    </row>
    <row r="3975" spans="1:6" x14ac:dyDescent="0.25">
      <c r="A3975" s="11">
        <f t="shared" si="62"/>
        <v>8520306</v>
      </c>
      <c r="B3975">
        <v>8520306</v>
      </c>
      <c r="C3975" t="s">
        <v>845</v>
      </c>
      <c r="D3975">
        <v>151.54</v>
      </c>
      <c r="E3975">
        <v>0</v>
      </c>
      <c r="F3975" s="7"/>
    </row>
    <row r="3976" spans="1:6" x14ac:dyDescent="0.25">
      <c r="A3976" s="11">
        <f t="shared" si="62"/>
        <v>8520372</v>
      </c>
      <c r="B3976">
        <v>8520372</v>
      </c>
      <c r="C3976" t="s">
        <v>1046</v>
      </c>
      <c r="D3976">
        <v>1205.23</v>
      </c>
      <c r="E3976">
        <v>0</v>
      </c>
      <c r="F3976" s="7"/>
    </row>
    <row r="3977" spans="1:6" x14ac:dyDescent="0.25">
      <c r="A3977" s="11">
        <f t="shared" si="62"/>
        <v>8520398</v>
      </c>
      <c r="B3977">
        <v>8520398</v>
      </c>
      <c r="C3977" t="s">
        <v>839</v>
      </c>
      <c r="D3977">
        <v>1513.67</v>
      </c>
      <c r="E3977">
        <v>0</v>
      </c>
      <c r="F3977" s="7"/>
    </row>
    <row r="3978" spans="1:6" x14ac:dyDescent="0.25">
      <c r="A3978" s="11">
        <f t="shared" si="62"/>
        <v>8520407</v>
      </c>
      <c r="B3978">
        <v>8520407</v>
      </c>
      <c r="C3978" t="s">
        <v>1750</v>
      </c>
      <c r="D3978">
        <v>614.89</v>
      </c>
      <c r="E3978">
        <v>0</v>
      </c>
      <c r="F3978" s="7"/>
    </row>
    <row r="3979" spans="1:6" x14ac:dyDescent="0.25">
      <c r="A3979" s="11" t="str">
        <f t="shared" si="62"/>
        <v/>
      </c>
      <c r="B3979" t="s">
        <v>1859</v>
      </c>
      <c r="C3979" t="s">
        <v>1859</v>
      </c>
      <c r="D3979">
        <v>0</v>
      </c>
      <c r="E3979">
        <v>0</v>
      </c>
      <c r="F3979" s="7"/>
    </row>
    <row r="3980" spans="1:6" x14ac:dyDescent="0.25">
      <c r="A3980" s="11">
        <f t="shared" si="62"/>
        <v>8520419</v>
      </c>
      <c r="B3980">
        <v>8520419</v>
      </c>
      <c r="C3980" t="s">
        <v>2778</v>
      </c>
      <c r="D3980">
        <v>0</v>
      </c>
      <c r="E3980">
        <v>0</v>
      </c>
      <c r="F3980" s="7"/>
    </row>
    <row r="3981" spans="1:6" x14ac:dyDescent="0.25">
      <c r="A3981" s="11" t="str">
        <f t="shared" si="62"/>
        <v/>
      </c>
      <c r="B3981" t="s">
        <v>1859</v>
      </c>
      <c r="C3981" t="s">
        <v>1859</v>
      </c>
      <c r="D3981">
        <v>0</v>
      </c>
      <c r="E3981">
        <v>0</v>
      </c>
      <c r="F3981" s="7"/>
    </row>
    <row r="3982" spans="1:6" x14ac:dyDescent="0.25">
      <c r="A3982" s="11">
        <f t="shared" si="62"/>
        <v>8520458</v>
      </c>
      <c r="B3982">
        <v>8520458</v>
      </c>
      <c r="C3982" t="s">
        <v>2779</v>
      </c>
      <c r="D3982">
        <v>0</v>
      </c>
      <c r="E3982">
        <v>0</v>
      </c>
      <c r="F3982" s="7"/>
    </row>
    <row r="3983" spans="1:6" x14ac:dyDescent="0.25">
      <c r="A3983" s="11">
        <f t="shared" si="62"/>
        <v>8520506</v>
      </c>
      <c r="B3983">
        <v>8520506</v>
      </c>
      <c r="C3983" t="s">
        <v>618</v>
      </c>
      <c r="D3983">
        <v>90.31</v>
      </c>
      <c r="E3983">
        <v>0</v>
      </c>
      <c r="F3983" s="7"/>
    </row>
    <row r="3984" spans="1:6" x14ac:dyDescent="0.25">
      <c r="A3984" s="11">
        <f t="shared" si="62"/>
        <v>8520507</v>
      </c>
      <c r="B3984">
        <v>8520507</v>
      </c>
      <c r="C3984" t="s">
        <v>1751</v>
      </c>
      <c r="D3984">
        <v>90.31</v>
      </c>
      <c r="E3984">
        <v>0</v>
      </c>
      <c r="F3984" s="7"/>
    </row>
    <row r="3985" spans="1:6" x14ac:dyDescent="0.25">
      <c r="A3985" s="11" t="str">
        <f t="shared" si="62"/>
        <v/>
      </c>
      <c r="B3985" t="s">
        <v>1859</v>
      </c>
      <c r="C3985" t="s">
        <v>1859</v>
      </c>
      <c r="D3985">
        <v>0</v>
      </c>
      <c r="E3985">
        <v>0</v>
      </c>
      <c r="F3985" s="7"/>
    </row>
    <row r="3986" spans="1:6" x14ac:dyDescent="0.25">
      <c r="A3986" s="11">
        <f t="shared" si="62"/>
        <v>8520508</v>
      </c>
      <c r="B3986">
        <v>8520508</v>
      </c>
      <c r="C3986" t="s">
        <v>2780</v>
      </c>
      <c r="D3986">
        <v>0</v>
      </c>
      <c r="E3986">
        <v>0</v>
      </c>
      <c r="F3986" s="7"/>
    </row>
    <row r="3987" spans="1:6" x14ac:dyDescent="0.25">
      <c r="A3987" s="11" t="str">
        <f t="shared" si="62"/>
        <v/>
      </c>
      <c r="B3987" t="s">
        <v>1859</v>
      </c>
      <c r="C3987" t="s">
        <v>1859</v>
      </c>
      <c r="D3987">
        <v>0</v>
      </c>
      <c r="E3987">
        <v>0</v>
      </c>
      <c r="F3987" s="7"/>
    </row>
    <row r="3988" spans="1:6" x14ac:dyDescent="0.25">
      <c r="A3988" s="11">
        <f t="shared" si="62"/>
        <v>8520509</v>
      </c>
      <c r="B3988">
        <v>8520509</v>
      </c>
      <c r="C3988" t="s">
        <v>2781</v>
      </c>
      <c r="D3988">
        <v>0</v>
      </c>
      <c r="E3988">
        <v>0</v>
      </c>
      <c r="F3988" s="7"/>
    </row>
    <row r="3989" spans="1:6" x14ac:dyDescent="0.25">
      <c r="A3989" s="11" t="str">
        <f t="shared" si="62"/>
        <v/>
      </c>
      <c r="B3989" t="s">
        <v>1859</v>
      </c>
      <c r="C3989" t="s">
        <v>1859</v>
      </c>
      <c r="D3989">
        <v>0</v>
      </c>
      <c r="E3989">
        <v>0</v>
      </c>
      <c r="F3989" s="7"/>
    </row>
    <row r="3990" spans="1:6" x14ac:dyDescent="0.25">
      <c r="A3990" s="11">
        <f t="shared" si="62"/>
        <v>8520510</v>
      </c>
      <c r="B3990">
        <v>8520510</v>
      </c>
      <c r="C3990" t="s">
        <v>2782</v>
      </c>
      <c r="D3990">
        <v>0</v>
      </c>
      <c r="E3990">
        <v>0</v>
      </c>
      <c r="F3990" s="7"/>
    </row>
    <row r="3991" spans="1:6" x14ac:dyDescent="0.25">
      <c r="A3991" s="11" t="str">
        <f t="shared" si="62"/>
        <v/>
      </c>
      <c r="B3991" t="s">
        <v>1859</v>
      </c>
      <c r="C3991" t="s">
        <v>1859</v>
      </c>
      <c r="D3991">
        <v>0</v>
      </c>
      <c r="E3991">
        <v>0</v>
      </c>
      <c r="F3991" s="7"/>
    </row>
    <row r="3992" spans="1:6" x14ac:dyDescent="0.25">
      <c r="A3992" s="11">
        <f t="shared" si="62"/>
        <v>8520511</v>
      </c>
      <c r="B3992">
        <v>8520511</v>
      </c>
      <c r="C3992" t="s">
        <v>2783</v>
      </c>
      <c r="D3992">
        <v>0</v>
      </c>
      <c r="E3992">
        <v>0</v>
      </c>
      <c r="F3992" s="7"/>
    </row>
    <row r="3993" spans="1:6" x14ac:dyDescent="0.25">
      <c r="A3993" s="11" t="str">
        <f t="shared" si="62"/>
        <v/>
      </c>
      <c r="B3993" t="s">
        <v>1859</v>
      </c>
      <c r="C3993" t="s">
        <v>1859</v>
      </c>
      <c r="D3993">
        <v>0</v>
      </c>
      <c r="E3993">
        <v>0</v>
      </c>
      <c r="F3993" s="7"/>
    </row>
    <row r="3994" spans="1:6" x14ac:dyDescent="0.25">
      <c r="A3994" s="11">
        <f t="shared" si="62"/>
        <v>8520512</v>
      </c>
      <c r="B3994">
        <v>8520512</v>
      </c>
      <c r="C3994" t="s">
        <v>2784</v>
      </c>
      <c r="D3994">
        <v>0</v>
      </c>
      <c r="E3994">
        <v>0</v>
      </c>
      <c r="F3994" s="7"/>
    </row>
    <row r="3995" spans="1:6" x14ac:dyDescent="0.25">
      <c r="A3995" s="11">
        <f t="shared" si="62"/>
        <v>8520513</v>
      </c>
      <c r="B3995">
        <v>8520513</v>
      </c>
      <c r="C3995" t="s">
        <v>1006</v>
      </c>
      <c r="D3995">
        <v>130</v>
      </c>
      <c r="E3995">
        <v>377</v>
      </c>
      <c r="F3995" s="7"/>
    </row>
    <row r="3996" spans="1:6" x14ac:dyDescent="0.25">
      <c r="A3996" s="11">
        <f t="shared" si="62"/>
        <v>8520517</v>
      </c>
      <c r="B3996">
        <v>8520517</v>
      </c>
      <c r="C3996" t="s">
        <v>1054</v>
      </c>
      <c r="D3996">
        <v>665.5</v>
      </c>
      <c r="E3996">
        <v>0</v>
      </c>
      <c r="F3996" s="7"/>
    </row>
    <row r="3997" spans="1:6" x14ac:dyDescent="0.25">
      <c r="A3997" s="11">
        <f t="shared" si="62"/>
        <v>8520546</v>
      </c>
      <c r="B3997">
        <v>8520546</v>
      </c>
      <c r="C3997" t="s">
        <v>842</v>
      </c>
      <c r="D3997">
        <v>1222.99</v>
      </c>
      <c r="E3997">
        <v>0</v>
      </c>
      <c r="F3997" s="7"/>
    </row>
    <row r="3998" spans="1:6" x14ac:dyDescent="0.25">
      <c r="A3998" s="11" t="str">
        <f t="shared" si="62"/>
        <v/>
      </c>
      <c r="B3998" t="s">
        <v>1859</v>
      </c>
      <c r="C3998" t="s">
        <v>1859</v>
      </c>
      <c r="D3998">
        <v>0</v>
      </c>
      <c r="E3998">
        <v>0</v>
      </c>
      <c r="F3998" s="7"/>
    </row>
    <row r="3999" spans="1:6" x14ac:dyDescent="0.25">
      <c r="A3999" s="11">
        <f t="shared" si="62"/>
        <v>8520556</v>
      </c>
      <c r="B3999">
        <v>8520556</v>
      </c>
      <c r="C3999" t="s">
        <v>2785</v>
      </c>
      <c r="D3999">
        <v>0</v>
      </c>
      <c r="E3999">
        <v>0</v>
      </c>
      <c r="F3999" s="7"/>
    </row>
    <row r="4000" spans="1:6" x14ac:dyDescent="0.25">
      <c r="A4000" s="11">
        <f t="shared" si="62"/>
        <v>8520620</v>
      </c>
      <c r="B4000">
        <v>8520620</v>
      </c>
      <c r="C4000" t="s">
        <v>1153</v>
      </c>
      <c r="D4000">
        <v>226.27</v>
      </c>
      <c r="E4000">
        <v>0</v>
      </c>
      <c r="F4000" s="7"/>
    </row>
    <row r="4001" spans="2:6" x14ac:dyDescent="0.25">
      <c r="B4001">
        <v>8520623</v>
      </c>
      <c r="C4001" t="s">
        <v>2787</v>
      </c>
      <c r="D4001">
        <v>40.409999999999997</v>
      </c>
      <c r="E4001">
        <v>-337</v>
      </c>
      <c r="F4001" s="7"/>
    </row>
    <row r="4002" spans="2:6" x14ac:dyDescent="0.25">
      <c r="B4002">
        <v>8520624</v>
      </c>
      <c r="C4002" t="s">
        <v>1154</v>
      </c>
      <c r="D4002">
        <v>91.84</v>
      </c>
      <c r="E4002">
        <v>105</v>
      </c>
      <c r="F4002" s="7"/>
    </row>
    <row r="4003" spans="2:6" x14ac:dyDescent="0.25">
      <c r="B4003" t="s">
        <v>1859</v>
      </c>
      <c r="C4003" t="s">
        <v>1859</v>
      </c>
      <c r="D4003">
        <v>0</v>
      </c>
      <c r="E4003">
        <v>0</v>
      </c>
      <c r="F4003" s="7"/>
    </row>
    <row r="4004" spans="2:6" x14ac:dyDescent="0.25">
      <c r="B4004">
        <v>8520625</v>
      </c>
      <c r="C4004" t="s">
        <v>2788</v>
      </c>
      <c r="D4004">
        <v>0</v>
      </c>
      <c r="E4004">
        <v>0</v>
      </c>
      <c r="F4004" s="7"/>
    </row>
    <row r="4005" spans="2:6" x14ac:dyDescent="0.25">
      <c r="B4005">
        <v>8520626</v>
      </c>
      <c r="C4005" t="s">
        <v>1150</v>
      </c>
      <c r="D4005">
        <v>603.79</v>
      </c>
      <c r="E4005">
        <v>660</v>
      </c>
      <c r="F4005" s="7"/>
    </row>
    <row r="4006" spans="2:6" x14ac:dyDescent="0.25">
      <c r="B4006">
        <v>8520629</v>
      </c>
      <c r="C4006" t="s">
        <v>1151</v>
      </c>
      <c r="D4006">
        <v>300</v>
      </c>
      <c r="E4006">
        <v>518</v>
      </c>
      <c r="F4006" s="7"/>
    </row>
    <row r="4007" spans="2:6" x14ac:dyDescent="0.25">
      <c r="B4007">
        <v>8520690</v>
      </c>
      <c r="C4007" t="s">
        <v>31</v>
      </c>
      <c r="D4007">
        <v>2055.79</v>
      </c>
      <c r="E4007">
        <v>0</v>
      </c>
      <c r="F4007" s="7"/>
    </row>
    <row r="4008" spans="2:6" x14ac:dyDescent="0.25">
      <c r="B4008">
        <v>8520691</v>
      </c>
      <c r="C4008" t="s">
        <v>1752</v>
      </c>
      <c r="D4008">
        <v>1800</v>
      </c>
      <c r="E4008">
        <v>82</v>
      </c>
      <c r="F4008" s="7"/>
    </row>
    <row r="4009" spans="2:6" x14ac:dyDescent="0.25">
      <c r="B4009">
        <v>8520710</v>
      </c>
      <c r="C4009" t="s">
        <v>1042</v>
      </c>
      <c r="D4009">
        <v>1229.81</v>
      </c>
      <c r="E4009">
        <v>0</v>
      </c>
      <c r="F4009" s="7"/>
    </row>
    <row r="4010" spans="2:6" x14ac:dyDescent="0.25">
      <c r="B4010">
        <v>8520726</v>
      </c>
      <c r="C4010" t="s">
        <v>1753</v>
      </c>
      <c r="D4010">
        <v>350</v>
      </c>
      <c r="E4010">
        <v>16</v>
      </c>
      <c r="F4010" s="7"/>
    </row>
    <row r="4011" spans="2:6" x14ac:dyDescent="0.25">
      <c r="B4011" t="s">
        <v>1859</v>
      </c>
      <c r="C4011" t="s">
        <v>1859</v>
      </c>
      <c r="D4011">
        <v>0</v>
      </c>
      <c r="E4011">
        <v>0</v>
      </c>
      <c r="F4011" s="7"/>
    </row>
    <row r="4012" spans="2:6" x14ac:dyDescent="0.25">
      <c r="B4012">
        <v>8520728</v>
      </c>
      <c r="C4012" t="s">
        <v>2789</v>
      </c>
      <c r="D4012">
        <v>0</v>
      </c>
      <c r="E4012">
        <v>0</v>
      </c>
      <c r="F4012" s="7"/>
    </row>
    <row r="4013" spans="2:6" x14ac:dyDescent="0.25">
      <c r="B4013">
        <v>8520729</v>
      </c>
      <c r="C4013" t="s">
        <v>1754</v>
      </c>
      <c r="D4013">
        <v>1200</v>
      </c>
      <c r="E4013">
        <v>113</v>
      </c>
      <c r="F4013" s="7"/>
    </row>
    <row r="4014" spans="2:6" x14ac:dyDescent="0.25">
      <c r="B4014">
        <v>8520733</v>
      </c>
      <c r="C4014" t="s">
        <v>844</v>
      </c>
      <c r="D4014">
        <v>2200</v>
      </c>
      <c r="E4014">
        <v>19</v>
      </c>
      <c r="F4014" s="7"/>
    </row>
    <row r="4015" spans="2:6" x14ac:dyDescent="0.25">
      <c r="B4015">
        <v>8520738</v>
      </c>
      <c r="C4015" t="s">
        <v>1755</v>
      </c>
      <c r="D4015">
        <v>800</v>
      </c>
      <c r="E4015">
        <v>248</v>
      </c>
      <c r="F4015" s="7"/>
    </row>
    <row r="4016" spans="2:6" x14ac:dyDescent="0.25">
      <c r="B4016" t="s">
        <v>1859</v>
      </c>
      <c r="C4016" t="s">
        <v>1859</v>
      </c>
      <c r="D4016">
        <v>0</v>
      </c>
      <c r="E4016">
        <v>0</v>
      </c>
      <c r="F4016" s="7"/>
    </row>
    <row r="4017" spans="2:6" x14ac:dyDescent="0.25">
      <c r="B4017">
        <v>8520739</v>
      </c>
      <c r="C4017" t="s">
        <v>2790</v>
      </c>
      <c r="D4017">
        <v>0</v>
      </c>
      <c r="E4017">
        <v>3</v>
      </c>
      <c r="F4017" s="7"/>
    </row>
    <row r="4018" spans="2:6" x14ac:dyDescent="0.25">
      <c r="B4018">
        <v>8520745</v>
      </c>
      <c r="C4018" t="s">
        <v>1423</v>
      </c>
      <c r="D4018">
        <v>700</v>
      </c>
      <c r="E4018">
        <v>139</v>
      </c>
      <c r="F4018" s="7"/>
    </row>
    <row r="4019" spans="2:6" x14ac:dyDescent="0.25">
      <c r="B4019" t="s">
        <v>1859</v>
      </c>
      <c r="C4019" t="s">
        <v>1859</v>
      </c>
      <c r="D4019">
        <v>0</v>
      </c>
      <c r="E4019">
        <v>0</v>
      </c>
      <c r="F4019" s="7"/>
    </row>
    <row r="4020" spans="2:6" x14ac:dyDescent="0.25">
      <c r="B4020">
        <v>8520746</v>
      </c>
      <c r="C4020" t="s">
        <v>2791</v>
      </c>
      <c r="D4020">
        <v>0</v>
      </c>
      <c r="E4020">
        <v>0</v>
      </c>
      <c r="F4020" s="7"/>
    </row>
    <row r="4021" spans="2:6" x14ac:dyDescent="0.25">
      <c r="B4021">
        <v>8520750</v>
      </c>
      <c r="C4021" t="s">
        <v>1756</v>
      </c>
      <c r="D4021">
        <v>700</v>
      </c>
      <c r="E4021">
        <v>180</v>
      </c>
      <c r="F4021" s="7"/>
    </row>
    <row r="4022" spans="2:6" x14ac:dyDescent="0.25">
      <c r="B4022" t="s">
        <v>1859</v>
      </c>
      <c r="C4022" t="s">
        <v>1859</v>
      </c>
      <c r="D4022">
        <v>0</v>
      </c>
      <c r="E4022">
        <v>0</v>
      </c>
      <c r="F4022" s="7"/>
    </row>
    <row r="4023" spans="2:6" x14ac:dyDescent="0.25">
      <c r="B4023">
        <v>8520751</v>
      </c>
      <c r="C4023" t="s">
        <v>2792</v>
      </c>
      <c r="D4023">
        <v>0</v>
      </c>
      <c r="E4023">
        <v>0</v>
      </c>
      <c r="F4023" s="7"/>
    </row>
    <row r="4024" spans="2:6" x14ac:dyDescent="0.25">
      <c r="B4024" t="s">
        <v>1859</v>
      </c>
      <c r="C4024" t="s">
        <v>1859</v>
      </c>
      <c r="D4024">
        <v>0</v>
      </c>
      <c r="E4024">
        <v>0</v>
      </c>
      <c r="F4024" s="7"/>
    </row>
    <row r="4025" spans="2:6" x14ac:dyDescent="0.25">
      <c r="B4025">
        <v>8520776</v>
      </c>
      <c r="C4025" t="s">
        <v>2747</v>
      </c>
      <c r="D4025">
        <v>0</v>
      </c>
      <c r="E4025">
        <v>0</v>
      </c>
      <c r="F4025" s="7"/>
    </row>
    <row r="4026" spans="2:6" x14ac:dyDescent="0.25">
      <c r="B4026">
        <v>8520779</v>
      </c>
      <c r="C4026" t="s">
        <v>2793</v>
      </c>
      <c r="D4026">
        <v>0</v>
      </c>
      <c r="E4026">
        <v>0</v>
      </c>
      <c r="F4026" s="7"/>
    </row>
    <row r="4027" spans="2:6" x14ac:dyDescent="0.25">
      <c r="B4027">
        <v>8520781</v>
      </c>
      <c r="C4027" t="s">
        <v>1757</v>
      </c>
      <c r="D4027">
        <v>1450.79</v>
      </c>
      <c r="E4027">
        <v>0</v>
      </c>
      <c r="F4027" s="7"/>
    </row>
    <row r="4028" spans="2:6" x14ac:dyDescent="0.25">
      <c r="B4028" t="s">
        <v>1859</v>
      </c>
      <c r="C4028" t="s">
        <v>1859</v>
      </c>
      <c r="D4028">
        <v>0</v>
      </c>
      <c r="E4028">
        <v>0</v>
      </c>
      <c r="F4028" s="7"/>
    </row>
    <row r="4029" spans="2:6" x14ac:dyDescent="0.25">
      <c r="B4029">
        <v>8520802</v>
      </c>
      <c r="C4029" t="s">
        <v>2794</v>
      </c>
      <c r="D4029">
        <v>0</v>
      </c>
      <c r="E4029">
        <v>0</v>
      </c>
      <c r="F4029" s="7"/>
    </row>
    <row r="4030" spans="2:6" x14ac:dyDescent="0.25">
      <c r="B4030">
        <v>8520804</v>
      </c>
      <c r="C4030" t="s">
        <v>1040</v>
      </c>
      <c r="D4030">
        <v>1598.75</v>
      </c>
      <c r="E4030">
        <v>0</v>
      </c>
      <c r="F4030" s="7"/>
    </row>
    <row r="4031" spans="2:6" x14ac:dyDescent="0.25">
      <c r="B4031">
        <v>8520813</v>
      </c>
      <c r="C4031" t="s">
        <v>1050</v>
      </c>
      <c r="D4031">
        <v>250</v>
      </c>
      <c r="E4031">
        <v>126</v>
      </c>
      <c r="F4031" s="7"/>
    </row>
    <row r="4032" spans="2:6" x14ac:dyDescent="0.25">
      <c r="B4032" t="s">
        <v>1859</v>
      </c>
      <c r="C4032" t="s">
        <v>1859</v>
      </c>
      <c r="D4032">
        <v>0</v>
      </c>
      <c r="E4032">
        <v>0</v>
      </c>
      <c r="F4032" s="7"/>
    </row>
    <row r="4033" spans="2:6" x14ac:dyDescent="0.25">
      <c r="B4033">
        <v>8520814</v>
      </c>
      <c r="C4033" t="s">
        <v>2795</v>
      </c>
      <c r="D4033">
        <v>0</v>
      </c>
      <c r="E4033">
        <v>0</v>
      </c>
      <c r="F4033" s="7"/>
    </row>
    <row r="4034" spans="2:6" x14ac:dyDescent="0.25">
      <c r="B4034">
        <v>8520817</v>
      </c>
      <c r="C4034" t="s">
        <v>1758</v>
      </c>
      <c r="D4034">
        <v>1362.28</v>
      </c>
      <c r="E4034">
        <v>0</v>
      </c>
      <c r="F4034" s="7"/>
    </row>
    <row r="4035" spans="2:6" x14ac:dyDescent="0.25">
      <c r="B4035" t="s">
        <v>1859</v>
      </c>
      <c r="C4035" t="s">
        <v>1859</v>
      </c>
      <c r="D4035">
        <v>0</v>
      </c>
      <c r="E4035">
        <v>0</v>
      </c>
      <c r="F4035" s="7"/>
    </row>
    <row r="4036" spans="2:6" x14ac:dyDescent="0.25">
      <c r="B4036">
        <v>8520821</v>
      </c>
      <c r="C4036" t="s">
        <v>2796</v>
      </c>
      <c r="D4036">
        <v>0</v>
      </c>
      <c r="E4036">
        <v>0</v>
      </c>
      <c r="F4036" s="7"/>
    </row>
    <row r="4037" spans="2:6" x14ac:dyDescent="0.25">
      <c r="B4037">
        <v>8520824</v>
      </c>
      <c r="C4037" t="s">
        <v>1152</v>
      </c>
      <c r="D4037">
        <v>48.84</v>
      </c>
      <c r="E4037">
        <v>0</v>
      </c>
      <c r="F4037" s="7"/>
    </row>
    <row r="4038" spans="2:6" x14ac:dyDescent="0.25">
      <c r="B4038">
        <v>8520866</v>
      </c>
      <c r="C4038" t="s">
        <v>1056</v>
      </c>
      <c r="D4038">
        <v>665.5</v>
      </c>
      <c r="E4038">
        <v>8</v>
      </c>
      <c r="F4038" s="7"/>
    </row>
    <row r="4039" spans="2:6" x14ac:dyDescent="0.25">
      <c r="B4039">
        <v>8520925</v>
      </c>
      <c r="C4039" t="s">
        <v>1052</v>
      </c>
      <c r="D4039">
        <v>109.89</v>
      </c>
      <c r="E4039">
        <v>0</v>
      </c>
      <c r="F4039" s="7"/>
    </row>
    <row r="4040" spans="2:6" x14ac:dyDescent="0.25">
      <c r="B4040">
        <v>8520932</v>
      </c>
      <c r="C4040" t="s">
        <v>1760</v>
      </c>
      <c r="D4040">
        <v>900</v>
      </c>
      <c r="E4040">
        <v>32</v>
      </c>
      <c r="F4040" s="7"/>
    </row>
    <row r="4041" spans="2:6" x14ac:dyDescent="0.25">
      <c r="B4041">
        <v>8520936</v>
      </c>
      <c r="C4041" t="s">
        <v>1420</v>
      </c>
      <c r="D4041">
        <v>900</v>
      </c>
      <c r="E4041">
        <v>105</v>
      </c>
      <c r="F4041" s="7"/>
    </row>
    <row r="4042" spans="2:6" x14ac:dyDescent="0.25">
      <c r="B4042">
        <v>8520941</v>
      </c>
      <c r="C4042" t="s">
        <v>1762</v>
      </c>
      <c r="D4042">
        <v>1000</v>
      </c>
      <c r="E4042">
        <v>522</v>
      </c>
      <c r="F4042" s="7"/>
    </row>
    <row r="4043" spans="2:6" x14ac:dyDescent="0.25">
      <c r="B4043" t="s">
        <v>1859</v>
      </c>
      <c r="C4043" t="s">
        <v>1859</v>
      </c>
      <c r="D4043">
        <v>0</v>
      </c>
      <c r="E4043">
        <v>0</v>
      </c>
      <c r="F4043" s="7"/>
    </row>
    <row r="4044" spans="2:6" x14ac:dyDescent="0.25">
      <c r="B4044">
        <v>8520942</v>
      </c>
      <c r="C4044" t="s">
        <v>2797</v>
      </c>
      <c r="D4044">
        <v>0</v>
      </c>
      <c r="E4044">
        <v>0</v>
      </c>
      <c r="F4044" s="7"/>
    </row>
    <row r="4045" spans="2:6" x14ac:dyDescent="0.25">
      <c r="B4045" t="s">
        <v>1859</v>
      </c>
      <c r="C4045" t="s">
        <v>1859</v>
      </c>
      <c r="D4045">
        <v>0</v>
      </c>
      <c r="E4045">
        <v>0</v>
      </c>
      <c r="F4045" s="7"/>
    </row>
    <row r="4046" spans="2:6" x14ac:dyDescent="0.25">
      <c r="B4046">
        <v>8520945</v>
      </c>
      <c r="C4046" t="s">
        <v>2798</v>
      </c>
      <c r="D4046">
        <v>0</v>
      </c>
      <c r="E4046">
        <v>0</v>
      </c>
      <c r="F4046" s="7"/>
    </row>
    <row r="4047" spans="2:6" x14ac:dyDescent="0.25">
      <c r="B4047">
        <v>8520946</v>
      </c>
      <c r="C4047" t="s">
        <v>1764</v>
      </c>
      <c r="D4047">
        <v>1300</v>
      </c>
      <c r="E4047">
        <v>835</v>
      </c>
      <c r="F4047" s="7"/>
    </row>
    <row r="4048" spans="2:6" x14ac:dyDescent="0.25">
      <c r="B4048">
        <v>8520947</v>
      </c>
      <c r="C4048" t="s">
        <v>2799</v>
      </c>
      <c r="D4048">
        <v>966.79</v>
      </c>
      <c r="E4048">
        <v>0</v>
      </c>
      <c r="F4048" s="7"/>
    </row>
    <row r="4049" spans="2:6" x14ac:dyDescent="0.25">
      <c r="B4049" t="s">
        <v>1859</v>
      </c>
      <c r="C4049" t="s">
        <v>1859</v>
      </c>
      <c r="D4049">
        <v>0</v>
      </c>
      <c r="E4049">
        <v>0</v>
      </c>
      <c r="F4049" s="7"/>
    </row>
    <row r="4050" spans="2:6" x14ac:dyDescent="0.25">
      <c r="B4050">
        <v>8520953</v>
      </c>
      <c r="C4050" t="s">
        <v>2800</v>
      </c>
      <c r="D4050">
        <v>0</v>
      </c>
      <c r="E4050">
        <v>0</v>
      </c>
      <c r="F4050" s="7"/>
    </row>
    <row r="4051" spans="2:6" x14ac:dyDescent="0.25">
      <c r="B4051" t="s">
        <v>1859</v>
      </c>
      <c r="C4051" t="s">
        <v>1859</v>
      </c>
      <c r="D4051">
        <v>0</v>
      </c>
      <c r="E4051">
        <v>0</v>
      </c>
      <c r="F4051" s="7"/>
    </row>
    <row r="4052" spans="2:6" x14ac:dyDescent="0.25">
      <c r="B4052">
        <v>8520987</v>
      </c>
      <c r="C4052" t="s">
        <v>1859</v>
      </c>
      <c r="D4052">
        <v>0</v>
      </c>
      <c r="E4052">
        <v>0</v>
      </c>
      <c r="F4052" s="7"/>
    </row>
    <row r="4053" spans="2:6" x14ac:dyDescent="0.25">
      <c r="B4053" t="s">
        <v>1859</v>
      </c>
      <c r="C4053" t="s">
        <v>1859</v>
      </c>
      <c r="D4053">
        <v>0</v>
      </c>
      <c r="E4053">
        <v>0</v>
      </c>
      <c r="F4053" s="7"/>
    </row>
    <row r="4054" spans="2:6" x14ac:dyDescent="0.25">
      <c r="B4054">
        <v>8520994</v>
      </c>
      <c r="C4054" t="s">
        <v>2801</v>
      </c>
      <c r="D4054">
        <v>0</v>
      </c>
      <c r="E4054">
        <v>0</v>
      </c>
      <c r="F4054" s="7"/>
    </row>
    <row r="4055" spans="2:6" x14ac:dyDescent="0.25">
      <c r="B4055">
        <v>8520999</v>
      </c>
      <c r="C4055" t="s">
        <v>477</v>
      </c>
      <c r="D4055">
        <v>362.62</v>
      </c>
      <c r="E4055">
        <v>0</v>
      </c>
      <c r="F4055" s="7"/>
    </row>
    <row r="4056" spans="2:6" x14ac:dyDescent="0.25">
      <c r="B4056" t="s">
        <v>1859</v>
      </c>
      <c r="C4056" t="s">
        <v>1859</v>
      </c>
      <c r="D4056">
        <v>0</v>
      </c>
      <c r="E4056">
        <v>0</v>
      </c>
      <c r="F4056" s="7"/>
    </row>
    <row r="4057" spans="2:6" x14ac:dyDescent="0.25">
      <c r="B4057">
        <v>8521001</v>
      </c>
      <c r="C4057" t="s">
        <v>2802</v>
      </c>
      <c r="D4057">
        <v>0</v>
      </c>
      <c r="E4057">
        <v>0</v>
      </c>
      <c r="F4057" s="7"/>
    </row>
    <row r="4058" spans="2:6" x14ac:dyDescent="0.25">
      <c r="B4058">
        <v>8521002</v>
      </c>
      <c r="C4058" t="s">
        <v>492</v>
      </c>
      <c r="D4058">
        <v>737.87</v>
      </c>
      <c r="E4058">
        <v>0</v>
      </c>
      <c r="F4058" s="7"/>
    </row>
    <row r="4059" spans="2:6" x14ac:dyDescent="0.25">
      <c r="B4059">
        <v>8521013</v>
      </c>
      <c r="C4059" t="s">
        <v>485</v>
      </c>
      <c r="D4059">
        <v>983.84</v>
      </c>
      <c r="E4059">
        <v>1</v>
      </c>
      <c r="F4059" s="7"/>
    </row>
    <row r="4060" spans="2:6" x14ac:dyDescent="0.25">
      <c r="B4060">
        <v>8521014</v>
      </c>
      <c r="C4060" t="s">
        <v>487</v>
      </c>
      <c r="D4060">
        <v>3200</v>
      </c>
      <c r="E4060">
        <v>62</v>
      </c>
      <c r="F4060" s="7"/>
    </row>
    <row r="4061" spans="2:6" x14ac:dyDescent="0.25">
      <c r="B4061">
        <v>8521015</v>
      </c>
      <c r="C4061" t="s">
        <v>491</v>
      </c>
      <c r="D4061">
        <v>782.6</v>
      </c>
      <c r="E4061">
        <v>0</v>
      </c>
      <c r="F4061" s="7"/>
    </row>
    <row r="4062" spans="2:6" x14ac:dyDescent="0.25">
      <c r="B4062" t="s">
        <v>1859</v>
      </c>
      <c r="C4062" t="s">
        <v>1859</v>
      </c>
      <c r="D4062">
        <v>0</v>
      </c>
      <c r="E4062">
        <v>0</v>
      </c>
      <c r="F4062" s="7"/>
    </row>
    <row r="4063" spans="2:6" x14ac:dyDescent="0.25">
      <c r="B4063">
        <v>8521021</v>
      </c>
      <c r="C4063" t="s">
        <v>2803</v>
      </c>
      <c r="D4063">
        <v>0</v>
      </c>
      <c r="E4063">
        <v>0</v>
      </c>
      <c r="F4063" s="7"/>
    </row>
    <row r="4064" spans="2:6" x14ac:dyDescent="0.25">
      <c r="B4064" t="s">
        <v>1859</v>
      </c>
      <c r="C4064" t="s">
        <v>1859</v>
      </c>
      <c r="D4064">
        <v>0</v>
      </c>
      <c r="E4064">
        <v>0</v>
      </c>
      <c r="F4064" s="7"/>
    </row>
    <row r="4065" spans="2:6" x14ac:dyDescent="0.25">
      <c r="B4065">
        <v>8521024</v>
      </c>
      <c r="C4065" t="s">
        <v>2804</v>
      </c>
      <c r="D4065">
        <v>0</v>
      </c>
      <c r="E4065">
        <v>0</v>
      </c>
      <c r="F4065" s="7"/>
    </row>
    <row r="4066" spans="2:6" x14ac:dyDescent="0.25">
      <c r="B4066" t="s">
        <v>1859</v>
      </c>
      <c r="C4066" t="s">
        <v>1859</v>
      </c>
      <c r="D4066">
        <v>0</v>
      </c>
      <c r="E4066">
        <v>0</v>
      </c>
      <c r="F4066" s="7"/>
    </row>
    <row r="4067" spans="2:6" x14ac:dyDescent="0.25">
      <c r="B4067">
        <v>8521029</v>
      </c>
      <c r="C4067" t="s">
        <v>2805</v>
      </c>
      <c r="D4067">
        <v>0</v>
      </c>
      <c r="E4067">
        <v>0</v>
      </c>
      <c r="F4067" s="7"/>
    </row>
    <row r="4068" spans="2:6" x14ac:dyDescent="0.25">
      <c r="B4068" t="s">
        <v>1859</v>
      </c>
      <c r="C4068" t="s">
        <v>1859</v>
      </c>
      <c r="D4068">
        <v>0</v>
      </c>
      <c r="E4068">
        <v>0</v>
      </c>
      <c r="F4068" s="7"/>
    </row>
    <row r="4069" spans="2:6" x14ac:dyDescent="0.25">
      <c r="B4069">
        <v>8521030</v>
      </c>
      <c r="C4069" t="s">
        <v>2806</v>
      </c>
      <c r="D4069">
        <v>0</v>
      </c>
      <c r="E4069">
        <v>0</v>
      </c>
      <c r="F4069" s="7"/>
    </row>
    <row r="4070" spans="2:6" x14ac:dyDescent="0.25">
      <c r="B4070" t="s">
        <v>1859</v>
      </c>
      <c r="C4070" t="s">
        <v>1859</v>
      </c>
      <c r="D4070">
        <v>0</v>
      </c>
      <c r="E4070">
        <v>0</v>
      </c>
      <c r="F4070" s="7"/>
    </row>
    <row r="4071" spans="2:6" x14ac:dyDescent="0.25">
      <c r="B4071">
        <v>8521031</v>
      </c>
      <c r="C4071" t="s">
        <v>2807</v>
      </c>
      <c r="D4071">
        <v>0</v>
      </c>
      <c r="E4071">
        <v>0</v>
      </c>
      <c r="F4071" s="7"/>
    </row>
    <row r="4072" spans="2:6" x14ac:dyDescent="0.25">
      <c r="B4072" t="s">
        <v>1859</v>
      </c>
      <c r="C4072" t="s">
        <v>1859</v>
      </c>
      <c r="D4072">
        <v>0</v>
      </c>
      <c r="E4072">
        <v>0</v>
      </c>
      <c r="F4072" s="7"/>
    </row>
    <row r="4073" spans="2:6" x14ac:dyDescent="0.25">
      <c r="B4073">
        <v>8521032</v>
      </c>
      <c r="C4073" t="s">
        <v>2808</v>
      </c>
      <c r="D4073">
        <v>0</v>
      </c>
      <c r="E4073">
        <v>0</v>
      </c>
      <c r="F4073" s="7"/>
    </row>
    <row r="4074" spans="2:6" x14ac:dyDescent="0.25">
      <c r="B4074" t="s">
        <v>1859</v>
      </c>
      <c r="C4074" t="s">
        <v>1859</v>
      </c>
      <c r="D4074">
        <v>0</v>
      </c>
      <c r="E4074">
        <v>0</v>
      </c>
      <c r="F4074" s="7"/>
    </row>
    <row r="4075" spans="2:6" x14ac:dyDescent="0.25">
      <c r="B4075">
        <v>8521033</v>
      </c>
      <c r="C4075" t="s">
        <v>2809</v>
      </c>
      <c r="D4075">
        <v>0</v>
      </c>
      <c r="E4075">
        <v>0</v>
      </c>
      <c r="F4075" s="7"/>
    </row>
    <row r="4076" spans="2:6" x14ac:dyDescent="0.25">
      <c r="B4076">
        <v>8521034</v>
      </c>
      <c r="C4076" t="s">
        <v>488</v>
      </c>
      <c r="D4076">
        <v>491.91</v>
      </c>
      <c r="E4076">
        <v>0</v>
      </c>
      <c r="F4076" s="7"/>
    </row>
    <row r="4077" spans="2:6" x14ac:dyDescent="0.25">
      <c r="B4077">
        <v>8521036</v>
      </c>
      <c r="C4077" t="s">
        <v>483</v>
      </c>
      <c r="D4077">
        <v>1100</v>
      </c>
      <c r="E4077">
        <v>50</v>
      </c>
    </row>
    <row r="4078" spans="2:6" x14ac:dyDescent="0.25">
      <c r="B4078" t="s">
        <v>1859</v>
      </c>
      <c r="C4078" t="s">
        <v>1859</v>
      </c>
      <c r="D4078">
        <v>0</v>
      </c>
      <c r="E4078">
        <v>0</v>
      </c>
    </row>
    <row r="4079" spans="2:6" x14ac:dyDescent="0.25">
      <c r="B4079">
        <v>8521040</v>
      </c>
      <c r="C4079" t="s">
        <v>2810</v>
      </c>
      <c r="D4079">
        <v>0</v>
      </c>
      <c r="E4079">
        <v>0</v>
      </c>
    </row>
    <row r="4080" spans="2:6" x14ac:dyDescent="0.25">
      <c r="B4080" t="s">
        <v>1859</v>
      </c>
      <c r="C4080" t="s">
        <v>1859</v>
      </c>
      <c r="D4080">
        <v>0</v>
      </c>
      <c r="E4080">
        <v>0</v>
      </c>
    </row>
    <row r="4081" spans="2:5" x14ac:dyDescent="0.25">
      <c r="B4081">
        <v>8521042</v>
      </c>
      <c r="C4081" t="s">
        <v>2811</v>
      </c>
      <c r="D4081">
        <v>0</v>
      </c>
      <c r="E4081">
        <v>0</v>
      </c>
    </row>
    <row r="4082" spans="2:5" x14ac:dyDescent="0.25">
      <c r="B4082" t="s">
        <v>1859</v>
      </c>
      <c r="C4082" t="s">
        <v>1859</v>
      </c>
      <c r="D4082">
        <v>0</v>
      </c>
      <c r="E4082">
        <v>0</v>
      </c>
    </row>
    <row r="4083" spans="2:5" x14ac:dyDescent="0.25">
      <c r="B4083">
        <v>8521043</v>
      </c>
      <c r="C4083" t="s">
        <v>2812</v>
      </c>
      <c r="D4083">
        <v>0</v>
      </c>
      <c r="E4083">
        <v>0</v>
      </c>
    </row>
    <row r="4084" spans="2:5" x14ac:dyDescent="0.25">
      <c r="B4084" t="s">
        <v>1859</v>
      </c>
      <c r="C4084" t="s">
        <v>1859</v>
      </c>
      <c r="D4084">
        <v>0</v>
      </c>
      <c r="E4084">
        <v>0</v>
      </c>
    </row>
    <row r="4085" spans="2:5" x14ac:dyDescent="0.25">
      <c r="B4085">
        <v>8521045</v>
      </c>
      <c r="C4085" t="s">
        <v>2813</v>
      </c>
      <c r="D4085">
        <v>0</v>
      </c>
      <c r="E4085">
        <v>0</v>
      </c>
    </row>
    <row r="4086" spans="2:5" x14ac:dyDescent="0.25">
      <c r="B4086" t="s">
        <v>1859</v>
      </c>
      <c r="C4086" t="s">
        <v>1859</v>
      </c>
      <c r="D4086">
        <v>0</v>
      </c>
      <c r="E4086">
        <v>0</v>
      </c>
    </row>
    <row r="4087" spans="2:5" x14ac:dyDescent="0.25">
      <c r="B4087">
        <v>8521046</v>
      </c>
      <c r="C4087" t="s">
        <v>2814</v>
      </c>
      <c r="D4087">
        <v>0</v>
      </c>
      <c r="E4087">
        <v>0</v>
      </c>
    </row>
    <row r="4088" spans="2:5" x14ac:dyDescent="0.25">
      <c r="B4088">
        <v>8521050</v>
      </c>
      <c r="C4088" t="s">
        <v>1379</v>
      </c>
      <c r="D4088">
        <v>983.84</v>
      </c>
      <c r="E4088">
        <v>0</v>
      </c>
    </row>
    <row r="4089" spans="2:5" x14ac:dyDescent="0.25">
      <c r="B4089">
        <v>8521060</v>
      </c>
      <c r="C4089" t="s">
        <v>490</v>
      </c>
      <c r="D4089">
        <v>491.91</v>
      </c>
      <c r="E4089">
        <v>0</v>
      </c>
    </row>
    <row r="4090" spans="2:5" x14ac:dyDescent="0.25">
      <c r="B4090" t="s">
        <v>1859</v>
      </c>
      <c r="C4090" t="s">
        <v>1859</v>
      </c>
      <c r="D4090">
        <v>0</v>
      </c>
      <c r="E4090">
        <v>0</v>
      </c>
    </row>
    <row r="4091" spans="2:5" x14ac:dyDescent="0.25">
      <c r="B4091">
        <v>8521061</v>
      </c>
      <c r="C4091" t="s">
        <v>2815</v>
      </c>
      <c r="D4091">
        <v>0</v>
      </c>
      <c r="E4091">
        <v>0</v>
      </c>
    </row>
    <row r="4092" spans="2:5" x14ac:dyDescent="0.25">
      <c r="B4092" t="s">
        <v>1859</v>
      </c>
      <c r="C4092" t="s">
        <v>1859</v>
      </c>
      <c r="D4092">
        <v>0</v>
      </c>
      <c r="E4092">
        <v>0</v>
      </c>
    </row>
    <row r="4093" spans="2:5" x14ac:dyDescent="0.25">
      <c r="B4093">
        <v>8521062</v>
      </c>
      <c r="C4093" t="s">
        <v>2816</v>
      </c>
      <c r="D4093">
        <v>0</v>
      </c>
      <c r="E4093">
        <v>0</v>
      </c>
    </row>
    <row r="4094" spans="2:5" x14ac:dyDescent="0.25">
      <c r="B4094">
        <v>8521063</v>
      </c>
      <c r="C4094" t="s">
        <v>478</v>
      </c>
      <c r="D4094">
        <v>900</v>
      </c>
      <c r="E4094">
        <v>205</v>
      </c>
    </row>
    <row r="4095" spans="2:5" x14ac:dyDescent="0.25">
      <c r="B4095">
        <v>8521064</v>
      </c>
      <c r="C4095" t="s">
        <v>489</v>
      </c>
      <c r="D4095">
        <v>368.92</v>
      </c>
      <c r="E4095">
        <v>0</v>
      </c>
    </row>
    <row r="4096" spans="2:5" x14ac:dyDescent="0.25">
      <c r="B4096">
        <v>8521100</v>
      </c>
      <c r="C4096" t="s">
        <v>486</v>
      </c>
      <c r="D4096">
        <v>1200</v>
      </c>
      <c r="E4096">
        <v>104</v>
      </c>
    </row>
    <row r="4097" spans="2:5" x14ac:dyDescent="0.25">
      <c r="B4097" t="s">
        <v>1859</v>
      </c>
      <c r="C4097" t="s">
        <v>1859</v>
      </c>
      <c r="D4097">
        <v>0</v>
      </c>
      <c r="E4097">
        <v>0</v>
      </c>
    </row>
    <row r="4098" spans="2:5" x14ac:dyDescent="0.25">
      <c r="B4098">
        <v>8521101</v>
      </c>
      <c r="C4098" t="s">
        <v>2817</v>
      </c>
      <c r="D4098">
        <v>0</v>
      </c>
      <c r="E4098">
        <v>0</v>
      </c>
    </row>
    <row r="4099" spans="2:5" x14ac:dyDescent="0.25">
      <c r="B4099">
        <v>8521102</v>
      </c>
      <c r="C4099" t="s">
        <v>496</v>
      </c>
      <c r="D4099">
        <v>1100</v>
      </c>
      <c r="E4099">
        <v>108</v>
      </c>
    </row>
    <row r="4100" spans="2:5" x14ac:dyDescent="0.25">
      <c r="B4100">
        <v>8521120</v>
      </c>
      <c r="C4100" t="s">
        <v>481</v>
      </c>
      <c r="D4100">
        <v>1721.75</v>
      </c>
      <c r="E4100">
        <v>0</v>
      </c>
    </row>
    <row r="4101" spans="2:5" x14ac:dyDescent="0.25">
      <c r="B4101" t="s">
        <v>1859</v>
      </c>
      <c r="C4101" t="s">
        <v>1859</v>
      </c>
      <c r="D4101">
        <v>0</v>
      </c>
      <c r="E4101">
        <v>0</v>
      </c>
    </row>
    <row r="4102" spans="2:5" x14ac:dyDescent="0.25">
      <c r="B4102">
        <v>8521129</v>
      </c>
      <c r="C4102" t="s">
        <v>2818</v>
      </c>
      <c r="D4102">
        <v>0</v>
      </c>
      <c r="E4102">
        <v>0</v>
      </c>
    </row>
    <row r="4103" spans="2:5" x14ac:dyDescent="0.25">
      <c r="B4103" t="s">
        <v>1859</v>
      </c>
      <c r="C4103" t="s">
        <v>1859</v>
      </c>
      <c r="D4103">
        <v>0</v>
      </c>
      <c r="E4103">
        <v>0</v>
      </c>
    </row>
    <row r="4104" spans="2:5" x14ac:dyDescent="0.25">
      <c r="B4104">
        <v>8521160</v>
      </c>
      <c r="C4104" t="s">
        <v>2819</v>
      </c>
      <c r="D4104">
        <v>0</v>
      </c>
      <c r="E4104">
        <v>0</v>
      </c>
    </row>
    <row r="4105" spans="2:5" x14ac:dyDescent="0.25">
      <c r="B4105" t="s">
        <v>1859</v>
      </c>
      <c r="C4105" t="s">
        <v>1859</v>
      </c>
      <c r="D4105">
        <v>0</v>
      </c>
      <c r="E4105">
        <v>0</v>
      </c>
    </row>
    <row r="4106" spans="2:5" x14ac:dyDescent="0.25">
      <c r="B4106">
        <v>8521290</v>
      </c>
      <c r="C4106" t="s">
        <v>2820</v>
      </c>
      <c r="D4106">
        <v>0</v>
      </c>
      <c r="E4106">
        <v>0</v>
      </c>
    </row>
    <row r="4107" spans="2:5" x14ac:dyDescent="0.25">
      <c r="B4107">
        <v>8521300</v>
      </c>
      <c r="C4107" t="s">
        <v>495</v>
      </c>
      <c r="D4107">
        <v>368.91</v>
      </c>
      <c r="E4107">
        <v>0</v>
      </c>
    </row>
    <row r="4108" spans="2:5" x14ac:dyDescent="0.25">
      <c r="B4108">
        <v>8521301</v>
      </c>
      <c r="C4108" t="s">
        <v>1051</v>
      </c>
      <c r="D4108">
        <v>250</v>
      </c>
      <c r="E4108">
        <v>76</v>
      </c>
    </row>
    <row r="4109" spans="2:5" x14ac:dyDescent="0.25">
      <c r="B4109">
        <v>8521302</v>
      </c>
      <c r="C4109" t="s">
        <v>1053</v>
      </c>
      <c r="D4109">
        <v>800</v>
      </c>
      <c r="E4109">
        <v>91</v>
      </c>
    </row>
    <row r="4110" spans="2:5" x14ac:dyDescent="0.25">
      <c r="B4110">
        <v>8521303</v>
      </c>
      <c r="C4110" t="s">
        <v>1049</v>
      </c>
      <c r="D4110">
        <v>900</v>
      </c>
      <c r="E4110">
        <v>1</v>
      </c>
    </row>
    <row r="4111" spans="2:5" x14ac:dyDescent="0.25">
      <c r="B4111">
        <v>8521304</v>
      </c>
      <c r="C4111" t="s">
        <v>1058</v>
      </c>
      <c r="D4111">
        <v>900</v>
      </c>
      <c r="E4111">
        <v>48</v>
      </c>
    </row>
    <row r="4112" spans="2:5" x14ac:dyDescent="0.25">
      <c r="B4112">
        <v>8521305</v>
      </c>
      <c r="C4112" t="s">
        <v>1057</v>
      </c>
      <c r="D4112">
        <v>400</v>
      </c>
      <c r="E4112">
        <v>83</v>
      </c>
    </row>
    <row r="4113" spans="2:5" x14ac:dyDescent="0.25">
      <c r="B4113">
        <v>8521306</v>
      </c>
      <c r="C4113" t="s">
        <v>1059</v>
      </c>
      <c r="D4113">
        <v>1200</v>
      </c>
      <c r="E4113">
        <v>334</v>
      </c>
    </row>
    <row r="4114" spans="2:5" x14ac:dyDescent="0.25">
      <c r="B4114" t="s">
        <v>1859</v>
      </c>
      <c r="C4114" t="s">
        <v>1859</v>
      </c>
      <c r="D4114">
        <v>0</v>
      </c>
      <c r="E4114">
        <v>0</v>
      </c>
    </row>
    <row r="4115" spans="2:5" x14ac:dyDescent="0.25">
      <c r="B4115">
        <v>8521374</v>
      </c>
      <c r="C4115" t="s">
        <v>2821</v>
      </c>
      <c r="D4115">
        <v>0</v>
      </c>
      <c r="E4115">
        <v>0</v>
      </c>
    </row>
    <row r="4116" spans="2:5" x14ac:dyDescent="0.25">
      <c r="B4116">
        <v>8521443</v>
      </c>
      <c r="C4116" t="s">
        <v>479</v>
      </c>
      <c r="D4116">
        <v>1721.75</v>
      </c>
      <c r="E4116">
        <v>0</v>
      </c>
    </row>
    <row r="4117" spans="2:5" x14ac:dyDescent="0.25">
      <c r="B4117">
        <v>8521455</v>
      </c>
      <c r="C4117" t="s">
        <v>493</v>
      </c>
      <c r="D4117">
        <v>447.19</v>
      </c>
      <c r="E4117">
        <v>0</v>
      </c>
    </row>
    <row r="4118" spans="2:5" x14ac:dyDescent="0.25">
      <c r="B4118">
        <v>8521458</v>
      </c>
      <c r="C4118" t="s">
        <v>494</v>
      </c>
      <c r="D4118">
        <v>437.32</v>
      </c>
      <c r="E4118">
        <v>0</v>
      </c>
    </row>
    <row r="4119" spans="2:5" x14ac:dyDescent="0.25">
      <c r="B4119" t="s">
        <v>1859</v>
      </c>
      <c r="C4119" t="s">
        <v>1859</v>
      </c>
      <c r="D4119">
        <v>0</v>
      </c>
      <c r="E4119">
        <v>0</v>
      </c>
    </row>
    <row r="4120" spans="2:5" x14ac:dyDescent="0.25">
      <c r="B4120">
        <v>8521467</v>
      </c>
      <c r="C4120" t="s">
        <v>2822</v>
      </c>
      <c r="D4120">
        <v>0</v>
      </c>
      <c r="E4120">
        <v>0</v>
      </c>
    </row>
    <row r="4121" spans="2:5" x14ac:dyDescent="0.25">
      <c r="B4121">
        <v>8521472</v>
      </c>
      <c r="C4121" t="s">
        <v>1770</v>
      </c>
      <c r="D4121">
        <v>1967.71</v>
      </c>
      <c r="E4121">
        <v>0</v>
      </c>
    </row>
    <row r="4122" spans="2:5" x14ac:dyDescent="0.25">
      <c r="B4122">
        <v>8521498</v>
      </c>
      <c r="C4122" t="s">
        <v>1155</v>
      </c>
      <c r="D4122">
        <v>368.92</v>
      </c>
      <c r="E4122">
        <v>0</v>
      </c>
    </row>
    <row r="4123" spans="2:5" x14ac:dyDescent="0.25">
      <c r="B4123" t="s">
        <v>1859</v>
      </c>
      <c r="C4123" t="s">
        <v>1859</v>
      </c>
      <c r="D4123">
        <v>0</v>
      </c>
      <c r="E4123">
        <v>0</v>
      </c>
    </row>
    <row r="4124" spans="2:5" x14ac:dyDescent="0.25">
      <c r="B4124">
        <v>8521499</v>
      </c>
      <c r="C4124" t="s">
        <v>2823</v>
      </c>
      <c r="D4124">
        <v>0</v>
      </c>
      <c r="E4124">
        <v>0</v>
      </c>
    </row>
    <row r="4125" spans="2:5" x14ac:dyDescent="0.25">
      <c r="B4125">
        <v>8521551</v>
      </c>
      <c r="C4125" t="s">
        <v>482</v>
      </c>
      <c r="D4125">
        <v>1475.79</v>
      </c>
      <c r="E4125">
        <v>0</v>
      </c>
    </row>
    <row r="4126" spans="2:5" x14ac:dyDescent="0.25">
      <c r="B4126" t="s">
        <v>1859</v>
      </c>
      <c r="C4126" t="s">
        <v>1859</v>
      </c>
      <c r="D4126">
        <v>0</v>
      </c>
      <c r="E4126">
        <v>0</v>
      </c>
    </row>
    <row r="4127" spans="2:5" x14ac:dyDescent="0.25">
      <c r="B4127">
        <v>8521572</v>
      </c>
      <c r="C4127" t="s">
        <v>2824</v>
      </c>
      <c r="D4127">
        <v>0</v>
      </c>
      <c r="E4127">
        <v>0</v>
      </c>
    </row>
    <row r="4128" spans="2:5" x14ac:dyDescent="0.25">
      <c r="B4128">
        <v>8521580</v>
      </c>
      <c r="C4128" t="s">
        <v>484</v>
      </c>
      <c r="D4128">
        <v>1475.79</v>
      </c>
      <c r="E4128">
        <v>0</v>
      </c>
    </row>
    <row r="4129" spans="2:5" x14ac:dyDescent="0.25">
      <c r="B4129" t="s">
        <v>1859</v>
      </c>
      <c r="C4129" t="s">
        <v>1859</v>
      </c>
      <c r="D4129">
        <v>0</v>
      </c>
      <c r="E4129">
        <v>0</v>
      </c>
    </row>
    <row r="4130" spans="2:5" x14ac:dyDescent="0.25">
      <c r="B4130">
        <v>8521593</v>
      </c>
      <c r="C4130" t="s">
        <v>2825</v>
      </c>
      <c r="D4130">
        <v>0</v>
      </c>
      <c r="E4130">
        <v>0</v>
      </c>
    </row>
    <row r="4131" spans="2:5" x14ac:dyDescent="0.25">
      <c r="B4131">
        <v>8521660</v>
      </c>
      <c r="C4131" t="s">
        <v>480</v>
      </c>
      <c r="D4131">
        <v>1721.75</v>
      </c>
      <c r="E4131">
        <v>0</v>
      </c>
    </row>
    <row r="4132" spans="2:5" x14ac:dyDescent="0.25">
      <c r="B4132">
        <v>8521674</v>
      </c>
      <c r="C4132" t="s">
        <v>1771</v>
      </c>
      <c r="D4132">
        <v>2197.5</v>
      </c>
      <c r="E4132">
        <v>0</v>
      </c>
    </row>
    <row r="4133" spans="2:5" x14ac:dyDescent="0.25">
      <c r="B4133" t="s">
        <v>1859</v>
      </c>
      <c r="C4133" t="s">
        <v>1859</v>
      </c>
      <c r="D4133">
        <v>0</v>
      </c>
      <c r="E4133">
        <v>0</v>
      </c>
    </row>
    <row r="4134" spans="2:5" x14ac:dyDescent="0.25">
      <c r="B4134">
        <v>8521903</v>
      </c>
      <c r="C4134" t="s">
        <v>2826</v>
      </c>
      <c r="D4134">
        <v>0</v>
      </c>
      <c r="E4134">
        <v>0</v>
      </c>
    </row>
    <row r="4135" spans="2:5" x14ac:dyDescent="0.25">
      <c r="B4135" t="s">
        <v>1859</v>
      </c>
      <c r="C4135" t="s">
        <v>1859</v>
      </c>
      <c r="D4135">
        <v>0</v>
      </c>
      <c r="E4135">
        <v>0</v>
      </c>
    </row>
    <row r="4136" spans="2:5" x14ac:dyDescent="0.25">
      <c r="B4136">
        <v>8522001</v>
      </c>
      <c r="C4136" t="s">
        <v>2827</v>
      </c>
      <c r="D4136">
        <v>0</v>
      </c>
      <c r="E4136">
        <v>0</v>
      </c>
    </row>
    <row r="4137" spans="2:5" x14ac:dyDescent="0.25">
      <c r="B4137">
        <v>8522011</v>
      </c>
      <c r="C4137" t="s">
        <v>1341</v>
      </c>
      <c r="D4137">
        <v>390</v>
      </c>
      <c r="E4137">
        <v>177</v>
      </c>
    </row>
    <row r="4138" spans="2:5" x14ac:dyDescent="0.25">
      <c r="B4138">
        <v>8522012</v>
      </c>
      <c r="C4138" t="s">
        <v>473</v>
      </c>
      <c r="D4138">
        <v>200</v>
      </c>
      <c r="E4138">
        <v>0</v>
      </c>
    </row>
    <row r="4139" spans="2:5" x14ac:dyDescent="0.25">
      <c r="B4139">
        <v>8522030</v>
      </c>
      <c r="C4139" t="s">
        <v>1342</v>
      </c>
      <c r="D4139">
        <v>990</v>
      </c>
      <c r="E4139">
        <v>333</v>
      </c>
    </row>
    <row r="4140" spans="2:5" x14ac:dyDescent="0.25">
      <c r="B4140">
        <v>8522101</v>
      </c>
      <c r="C4140" t="s">
        <v>1340</v>
      </c>
      <c r="D4140">
        <v>1980</v>
      </c>
      <c r="E4140">
        <v>1</v>
      </c>
    </row>
    <row r="4141" spans="2:5" x14ac:dyDescent="0.25">
      <c r="B4141">
        <v>8522999</v>
      </c>
      <c r="C4141" t="s">
        <v>1339</v>
      </c>
      <c r="D4141">
        <v>1331</v>
      </c>
      <c r="E4141">
        <v>672</v>
      </c>
    </row>
    <row r="4142" spans="2:5" x14ac:dyDescent="0.25">
      <c r="B4142">
        <v>8523071</v>
      </c>
      <c r="C4142" t="s">
        <v>476</v>
      </c>
      <c r="D4142">
        <v>1666.89</v>
      </c>
      <c r="E4142">
        <v>0</v>
      </c>
    </row>
    <row r="4143" spans="2:5" x14ac:dyDescent="0.25">
      <c r="B4143" t="s">
        <v>1859</v>
      </c>
      <c r="C4143" t="s">
        <v>1859</v>
      </c>
      <c r="D4143">
        <v>0</v>
      </c>
      <c r="E4143">
        <v>0</v>
      </c>
    </row>
    <row r="4144" spans="2:5" x14ac:dyDescent="0.25">
      <c r="B4144">
        <v>8523072</v>
      </c>
      <c r="C4144" t="s">
        <v>2828</v>
      </c>
      <c r="D4144">
        <v>0</v>
      </c>
      <c r="E4144">
        <v>0</v>
      </c>
    </row>
    <row r="4145" spans="2:5" x14ac:dyDescent="0.25">
      <c r="B4145" t="s">
        <v>1859</v>
      </c>
      <c r="C4145" t="s">
        <v>1859</v>
      </c>
      <c r="D4145">
        <v>0</v>
      </c>
      <c r="E4145">
        <v>0</v>
      </c>
    </row>
    <row r="4146" spans="2:5" x14ac:dyDescent="0.25">
      <c r="B4146">
        <v>8523073</v>
      </c>
      <c r="C4146" t="s">
        <v>2829</v>
      </c>
      <c r="D4146">
        <v>0</v>
      </c>
      <c r="E4146">
        <v>0</v>
      </c>
    </row>
    <row r="4147" spans="2:5" x14ac:dyDescent="0.25">
      <c r="B4147">
        <v>8525001</v>
      </c>
      <c r="C4147" t="s">
        <v>1384</v>
      </c>
      <c r="D4147">
        <v>150</v>
      </c>
      <c r="E4147">
        <v>0</v>
      </c>
    </row>
    <row r="4148" spans="2:5" x14ac:dyDescent="0.25">
      <c r="B4148">
        <v>8525576</v>
      </c>
      <c r="C4148" t="s">
        <v>1385</v>
      </c>
      <c r="D4148">
        <v>90</v>
      </c>
      <c r="E4148">
        <v>399</v>
      </c>
    </row>
    <row r="4149" spans="2:5" x14ac:dyDescent="0.25">
      <c r="B4149">
        <v>8525999</v>
      </c>
      <c r="C4149" t="s">
        <v>1383</v>
      </c>
      <c r="D4149">
        <v>130</v>
      </c>
      <c r="E4149">
        <v>170</v>
      </c>
    </row>
    <row r="4150" spans="2:5" x14ac:dyDescent="0.25">
      <c r="B4150">
        <v>8549042</v>
      </c>
      <c r="C4150" t="s">
        <v>2830</v>
      </c>
      <c r="D4150">
        <v>1988.32</v>
      </c>
      <c r="E4150">
        <v>0</v>
      </c>
    </row>
    <row r="4151" spans="2:5" x14ac:dyDescent="0.25">
      <c r="B4151" t="s">
        <v>1859</v>
      </c>
      <c r="C4151" t="s">
        <v>1859</v>
      </c>
      <c r="D4151">
        <v>0</v>
      </c>
      <c r="E4151">
        <v>0</v>
      </c>
    </row>
    <row r="4152" spans="2:5" x14ac:dyDescent="0.25">
      <c r="B4152">
        <v>8601008</v>
      </c>
      <c r="C4152" t="s">
        <v>2831</v>
      </c>
      <c r="D4152">
        <v>0</v>
      </c>
      <c r="E4152">
        <v>0</v>
      </c>
    </row>
    <row r="4153" spans="2:5" x14ac:dyDescent="0.25">
      <c r="B4153">
        <v>8612001</v>
      </c>
      <c r="C4153" t="s">
        <v>1772</v>
      </c>
      <c r="D4153">
        <v>2600.58</v>
      </c>
      <c r="E4153">
        <v>0</v>
      </c>
    </row>
    <row r="4154" spans="2:5" x14ac:dyDescent="0.25">
      <c r="B4154">
        <v>8612002</v>
      </c>
      <c r="C4154" t="s">
        <v>37</v>
      </c>
      <c r="D4154">
        <v>2906.71</v>
      </c>
      <c r="E4154">
        <v>0</v>
      </c>
    </row>
    <row r="4155" spans="2:5" x14ac:dyDescent="0.25">
      <c r="B4155">
        <v>8612006</v>
      </c>
      <c r="C4155" t="s">
        <v>825</v>
      </c>
      <c r="D4155">
        <v>657.07</v>
      </c>
      <c r="E4155">
        <v>0</v>
      </c>
    </row>
    <row r="4156" spans="2:5" x14ac:dyDescent="0.25">
      <c r="B4156" t="s">
        <v>1859</v>
      </c>
      <c r="C4156" t="s">
        <v>1859</v>
      </c>
      <c r="D4156">
        <v>0</v>
      </c>
      <c r="E4156">
        <v>0</v>
      </c>
    </row>
    <row r="4157" spans="2:5" x14ac:dyDescent="0.25">
      <c r="B4157">
        <v>8612009</v>
      </c>
      <c r="C4157" t="s">
        <v>2831</v>
      </c>
      <c r="D4157">
        <v>0</v>
      </c>
      <c r="E4157">
        <v>0</v>
      </c>
    </row>
    <row r="4158" spans="2:5" x14ac:dyDescent="0.25">
      <c r="B4158">
        <v>8612051</v>
      </c>
      <c r="C4158" t="s">
        <v>376</v>
      </c>
      <c r="D4158">
        <v>10100.61</v>
      </c>
      <c r="E4158">
        <v>0</v>
      </c>
    </row>
    <row r="4159" spans="2:5" x14ac:dyDescent="0.25">
      <c r="B4159">
        <v>8612052</v>
      </c>
      <c r="C4159" t="s">
        <v>372</v>
      </c>
      <c r="D4159">
        <v>10942.47</v>
      </c>
      <c r="E4159">
        <v>0</v>
      </c>
    </row>
    <row r="4160" spans="2:5" x14ac:dyDescent="0.25">
      <c r="B4160">
        <v>8612053</v>
      </c>
      <c r="C4160" t="s">
        <v>375</v>
      </c>
      <c r="D4160">
        <v>10942.47</v>
      </c>
      <c r="E4160">
        <v>0</v>
      </c>
    </row>
    <row r="4161" spans="2:5" x14ac:dyDescent="0.25">
      <c r="B4161">
        <v>8612054</v>
      </c>
      <c r="C4161" t="s">
        <v>373</v>
      </c>
      <c r="D4161">
        <v>3365.75</v>
      </c>
      <c r="E4161">
        <v>0</v>
      </c>
    </row>
    <row r="4162" spans="2:5" x14ac:dyDescent="0.25">
      <c r="B4162">
        <v>8612055</v>
      </c>
      <c r="C4162" t="s">
        <v>374</v>
      </c>
      <c r="D4162">
        <v>4207.6099999999997</v>
      </c>
      <c r="E4162">
        <v>0</v>
      </c>
    </row>
    <row r="4163" spans="2:5" x14ac:dyDescent="0.25">
      <c r="B4163" t="s">
        <v>1859</v>
      </c>
      <c r="C4163" t="s">
        <v>1859</v>
      </c>
      <c r="D4163">
        <v>0</v>
      </c>
      <c r="E4163">
        <v>0</v>
      </c>
    </row>
    <row r="4164" spans="2:5" x14ac:dyDescent="0.25">
      <c r="B4164">
        <v>8612056</v>
      </c>
      <c r="C4164" t="s">
        <v>2832</v>
      </c>
      <c r="D4164">
        <v>0</v>
      </c>
      <c r="E4164">
        <v>0</v>
      </c>
    </row>
    <row r="4165" spans="2:5" x14ac:dyDescent="0.25">
      <c r="B4165" t="s">
        <v>1859</v>
      </c>
      <c r="C4165" t="s">
        <v>1859</v>
      </c>
      <c r="D4165">
        <v>0</v>
      </c>
      <c r="E4165">
        <v>0</v>
      </c>
    </row>
    <row r="4166" spans="2:5" x14ac:dyDescent="0.25">
      <c r="B4166">
        <v>8612057</v>
      </c>
      <c r="C4166" t="s">
        <v>2833</v>
      </c>
      <c r="D4166">
        <v>0</v>
      </c>
      <c r="E4166">
        <v>0</v>
      </c>
    </row>
    <row r="4167" spans="2:5" x14ac:dyDescent="0.25">
      <c r="B4167" t="s">
        <v>1859</v>
      </c>
      <c r="C4167" t="s">
        <v>1859</v>
      </c>
      <c r="D4167">
        <v>0</v>
      </c>
      <c r="E4167">
        <v>0</v>
      </c>
    </row>
    <row r="4168" spans="2:5" x14ac:dyDescent="0.25">
      <c r="B4168">
        <v>8612058</v>
      </c>
      <c r="C4168" t="s">
        <v>2834</v>
      </c>
      <c r="D4168">
        <v>0</v>
      </c>
      <c r="E4168">
        <v>0</v>
      </c>
    </row>
    <row r="4169" spans="2:5" x14ac:dyDescent="0.25">
      <c r="B4169" t="s">
        <v>1859</v>
      </c>
      <c r="C4169" t="s">
        <v>1859</v>
      </c>
      <c r="D4169">
        <v>0</v>
      </c>
      <c r="E4169">
        <v>0</v>
      </c>
    </row>
    <row r="4170" spans="2:5" x14ac:dyDescent="0.25">
      <c r="B4170">
        <v>8612059</v>
      </c>
      <c r="C4170" t="s">
        <v>2835</v>
      </c>
      <c r="D4170">
        <v>0</v>
      </c>
      <c r="E4170">
        <v>0</v>
      </c>
    </row>
    <row r="4171" spans="2:5" x14ac:dyDescent="0.25">
      <c r="B4171">
        <v>8612101</v>
      </c>
      <c r="C4171" t="s">
        <v>467</v>
      </c>
      <c r="D4171">
        <v>2087.62</v>
      </c>
      <c r="E4171">
        <v>0</v>
      </c>
    </row>
    <row r="4172" spans="2:5" x14ac:dyDescent="0.25">
      <c r="B4172" t="s">
        <v>1859</v>
      </c>
      <c r="C4172" t="s">
        <v>1859</v>
      </c>
      <c r="D4172">
        <v>0</v>
      </c>
      <c r="E4172">
        <v>0</v>
      </c>
    </row>
    <row r="4173" spans="2:5" x14ac:dyDescent="0.25">
      <c r="B4173">
        <v>8612102</v>
      </c>
      <c r="C4173" t="s">
        <v>2836</v>
      </c>
      <c r="D4173">
        <v>0</v>
      </c>
      <c r="E4173">
        <v>0</v>
      </c>
    </row>
    <row r="4174" spans="2:5" x14ac:dyDescent="0.25">
      <c r="B4174">
        <v>8612151</v>
      </c>
      <c r="C4174" t="s">
        <v>1773</v>
      </c>
      <c r="D4174">
        <v>1757.99</v>
      </c>
      <c r="E4174">
        <v>0</v>
      </c>
    </row>
    <row r="4175" spans="2:5" x14ac:dyDescent="0.25">
      <c r="B4175">
        <v>8612200</v>
      </c>
      <c r="C4175" t="s">
        <v>2837</v>
      </c>
      <c r="D4175">
        <v>0</v>
      </c>
      <c r="E4175">
        <v>0</v>
      </c>
    </row>
    <row r="4176" spans="2:5" x14ac:dyDescent="0.25">
      <c r="B4176">
        <v>8612201</v>
      </c>
      <c r="C4176" t="s">
        <v>883</v>
      </c>
      <c r="D4176">
        <v>5049.46</v>
      </c>
      <c r="E4176">
        <v>0</v>
      </c>
    </row>
    <row r="4177" spans="2:5" x14ac:dyDescent="0.25">
      <c r="B4177">
        <v>8612300</v>
      </c>
      <c r="C4177" t="s">
        <v>1344</v>
      </c>
      <c r="D4177">
        <v>1500</v>
      </c>
      <c r="E4177">
        <v>2</v>
      </c>
    </row>
    <row r="4178" spans="2:5" x14ac:dyDescent="0.25">
      <c r="B4178">
        <v>8612416</v>
      </c>
      <c r="C4178" t="s">
        <v>1070</v>
      </c>
      <c r="D4178">
        <v>536.65</v>
      </c>
      <c r="E4178">
        <v>0</v>
      </c>
    </row>
    <row r="4179" spans="2:5" x14ac:dyDescent="0.25">
      <c r="B4179">
        <v>8612418</v>
      </c>
      <c r="C4179" t="s">
        <v>1396</v>
      </c>
      <c r="D4179">
        <v>100</v>
      </c>
      <c r="E4179">
        <v>371</v>
      </c>
    </row>
    <row r="4180" spans="2:5" x14ac:dyDescent="0.25">
      <c r="B4180" t="s">
        <v>1859</v>
      </c>
      <c r="C4180" t="s">
        <v>1859</v>
      </c>
      <c r="D4180">
        <v>0</v>
      </c>
      <c r="E4180">
        <v>0</v>
      </c>
    </row>
    <row r="4181" spans="2:5" x14ac:dyDescent="0.25">
      <c r="B4181">
        <v>8612420</v>
      </c>
      <c r="C4181" t="s">
        <v>2838</v>
      </c>
      <c r="D4181">
        <v>0</v>
      </c>
      <c r="E4181">
        <v>0</v>
      </c>
    </row>
    <row r="4182" spans="2:5" x14ac:dyDescent="0.25">
      <c r="B4182">
        <v>8612462</v>
      </c>
      <c r="C4182" t="s">
        <v>1774</v>
      </c>
      <c r="D4182">
        <v>4400</v>
      </c>
      <c r="E4182">
        <v>2</v>
      </c>
    </row>
    <row r="4183" spans="2:5" x14ac:dyDescent="0.25">
      <c r="B4183">
        <v>8612468</v>
      </c>
      <c r="C4183" t="s">
        <v>1775</v>
      </c>
      <c r="D4183">
        <v>3500</v>
      </c>
      <c r="E4183">
        <v>1</v>
      </c>
    </row>
    <row r="4184" spans="2:5" x14ac:dyDescent="0.25">
      <c r="B4184">
        <v>8612500</v>
      </c>
      <c r="C4184" t="s">
        <v>1776</v>
      </c>
      <c r="D4184">
        <v>605</v>
      </c>
      <c r="E4184">
        <v>0</v>
      </c>
    </row>
    <row r="4185" spans="2:5" x14ac:dyDescent="0.25">
      <c r="B4185">
        <v>8612523</v>
      </c>
      <c r="C4185" t="s">
        <v>1777</v>
      </c>
      <c r="D4185">
        <v>7200</v>
      </c>
      <c r="E4185">
        <v>3</v>
      </c>
    </row>
    <row r="4186" spans="2:5" x14ac:dyDescent="0.25">
      <c r="B4186">
        <v>8612600</v>
      </c>
      <c r="C4186" t="s">
        <v>368</v>
      </c>
      <c r="D4186">
        <v>5300</v>
      </c>
      <c r="E4186">
        <v>2</v>
      </c>
    </row>
    <row r="4187" spans="2:5" x14ac:dyDescent="0.25">
      <c r="B4187">
        <v>8612601</v>
      </c>
      <c r="C4187" t="s">
        <v>2839</v>
      </c>
      <c r="D4187">
        <v>0</v>
      </c>
      <c r="E4187">
        <v>0</v>
      </c>
    </row>
    <row r="4188" spans="2:5" x14ac:dyDescent="0.25">
      <c r="B4188" t="s">
        <v>1859</v>
      </c>
      <c r="C4188" t="s">
        <v>1859</v>
      </c>
      <c r="D4188">
        <v>0</v>
      </c>
      <c r="E4188">
        <v>0</v>
      </c>
    </row>
    <row r="4189" spans="2:5" x14ac:dyDescent="0.25">
      <c r="B4189">
        <v>8612697</v>
      </c>
      <c r="C4189" t="s">
        <v>2840</v>
      </c>
      <c r="D4189">
        <v>0</v>
      </c>
      <c r="E4189">
        <v>0</v>
      </c>
    </row>
    <row r="4190" spans="2:5" x14ac:dyDescent="0.25">
      <c r="B4190">
        <v>8612793</v>
      </c>
      <c r="C4190" t="s">
        <v>1778</v>
      </c>
      <c r="D4190">
        <v>3600</v>
      </c>
      <c r="E4190">
        <v>4</v>
      </c>
    </row>
    <row r="4191" spans="2:5" x14ac:dyDescent="0.25">
      <c r="B4191">
        <v>8612794</v>
      </c>
      <c r="C4191" t="s">
        <v>1779</v>
      </c>
      <c r="D4191">
        <v>4300</v>
      </c>
      <c r="E4191">
        <v>3</v>
      </c>
    </row>
    <row r="4192" spans="2:5" x14ac:dyDescent="0.25">
      <c r="B4192">
        <v>8614014</v>
      </c>
      <c r="C4192" t="s">
        <v>774</v>
      </c>
      <c r="D4192">
        <v>966.79</v>
      </c>
      <c r="E4192">
        <v>0</v>
      </c>
    </row>
    <row r="4193" spans="2:5" x14ac:dyDescent="0.25">
      <c r="B4193" t="s">
        <v>1859</v>
      </c>
      <c r="C4193" t="s">
        <v>1859</v>
      </c>
      <c r="D4193">
        <v>0</v>
      </c>
      <c r="E4193">
        <v>0</v>
      </c>
    </row>
    <row r="4194" spans="2:5" x14ac:dyDescent="0.25">
      <c r="B4194">
        <v>8614015</v>
      </c>
      <c r="C4194" t="s">
        <v>2841</v>
      </c>
      <c r="D4194">
        <v>0</v>
      </c>
      <c r="E4194">
        <v>0</v>
      </c>
    </row>
    <row r="4195" spans="2:5" x14ac:dyDescent="0.25">
      <c r="B4195" t="s">
        <v>1859</v>
      </c>
      <c r="C4195" t="s">
        <v>1859</v>
      </c>
      <c r="D4195">
        <v>0</v>
      </c>
      <c r="E4195">
        <v>0</v>
      </c>
    </row>
    <row r="4196" spans="2:5" x14ac:dyDescent="0.25">
      <c r="B4196">
        <v>8660019</v>
      </c>
      <c r="C4196" t="s">
        <v>2842</v>
      </c>
      <c r="D4196">
        <v>0</v>
      </c>
      <c r="E4196">
        <v>0</v>
      </c>
    </row>
    <row r="4197" spans="2:5" x14ac:dyDescent="0.25">
      <c r="B4197">
        <v>8676004</v>
      </c>
      <c r="C4197" t="s">
        <v>1780</v>
      </c>
      <c r="D4197">
        <v>800</v>
      </c>
      <c r="E4197">
        <v>0</v>
      </c>
    </row>
    <row r="4198" spans="2:5" x14ac:dyDescent="0.25">
      <c r="B4198">
        <v>8686003</v>
      </c>
      <c r="C4198" t="s">
        <v>184</v>
      </c>
      <c r="D4198">
        <v>900</v>
      </c>
      <c r="E4198">
        <v>52</v>
      </c>
    </row>
    <row r="4199" spans="2:5" x14ac:dyDescent="0.25">
      <c r="B4199" t="s">
        <v>1859</v>
      </c>
      <c r="C4199" t="s">
        <v>1859</v>
      </c>
      <c r="D4199">
        <v>0</v>
      </c>
      <c r="E4199">
        <v>0</v>
      </c>
    </row>
    <row r="4200" spans="2:5" x14ac:dyDescent="0.25">
      <c r="B4200">
        <v>8686004</v>
      </c>
      <c r="C4200" t="s">
        <v>2843</v>
      </c>
      <c r="D4200">
        <v>0</v>
      </c>
      <c r="E4200">
        <v>0</v>
      </c>
    </row>
    <row r="4201" spans="2:5" x14ac:dyDescent="0.25">
      <c r="B4201">
        <v>8686010</v>
      </c>
      <c r="C4201" t="s">
        <v>1346</v>
      </c>
      <c r="D4201">
        <v>3012.9</v>
      </c>
      <c r="E4201">
        <v>0</v>
      </c>
    </row>
    <row r="4202" spans="2:5" x14ac:dyDescent="0.25">
      <c r="B4202">
        <v>8686070</v>
      </c>
      <c r="C4202" t="s">
        <v>185</v>
      </c>
      <c r="D4202">
        <v>1934.79</v>
      </c>
      <c r="E4202">
        <v>0</v>
      </c>
    </row>
    <row r="4203" spans="2:5" x14ac:dyDescent="0.25">
      <c r="B4203">
        <v>8687002</v>
      </c>
      <c r="C4203" t="s">
        <v>186</v>
      </c>
      <c r="D4203">
        <v>1571.79</v>
      </c>
      <c r="E4203">
        <v>0</v>
      </c>
    </row>
    <row r="4204" spans="2:5" x14ac:dyDescent="0.25">
      <c r="B4204" t="s">
        <v>1859</v>
      </c>
      <c r="C4204" t="s">
        <v>1859</v>
      </c>
      <c r="D4204">
        <v>0</v>
      </c>
      <c r="E4204">
        <v>0</v>
      </c>
    </row>
    <row r="4205" spans="2:5" x14ac:dyDescent="0.25">
      <c r="B4205">
        <v>8691016</v>
      </c>
      <c r="C4205" t="s">
        <v>2844</v>
      </c>
      <c r="D4205">
        <v>0</v>
      </c>
      <c r="E4205">
        <v>0</v>
      </c>
    </row>
    <row r="4206" spans="2:5" x14ac:dyDescent="0.25">
      <c r="B4206" t="s">
        <v>1859</v>
      </c>
      <c r="C4206" t="s">
        <v>1859</v>
      </c>
      <c r="D4206">
        <v>0</v>
      </c>
      <c r="E4206">
        <v>0</v>
      </c>
    </row>
    <row r="4207" spans="2:5" x14ac:dyDescent="0.25">
      <c r="B4207">
        <v>8691508</v>
      </c>
      <c r="C4207" t="s">
        <v>2845</v>
      </c>
      <c r="D4207">
        <v>0</v>
      </c>
      <c r="E4207">
        <v>0</v>
      </c>
    </row>
    <row r="4208" spans="2:5" x14ac:dyDescent="0.25">
      <c r="B4208" t="s">
        <v>1859</v>
      </c>
      <c r="C4208" t="s">
        <v>1859</v>
      </c>
      <c r="D4208">
        <v>0</v>
      </c>
      <c r="E4208">
        <v>0</v>
      </c>
    </row>
    <row r="4209" spans="2:5" x14ac:dyDescent="0.25">
      <c r="B4209">
        <v>8692010</v>
      </c>
      <c r="C4209" t="s">
        <v>2846</v>
      </c>
      <c r="D4209">
        <v>0</v>
      </c>
      <c r="E4209">
        <v>0</v>
      </c>
    </row>
    <row r="4210" spans="2:5" x14ac:dyDescent="0.25">
      <c r="B4210" t="s">
        <v>1859</v>
      </c>
      <c r="C4210" t="s">
        <v>1859</v>
      </c>
      <c r="D4210">
        <v>0</v>
      </c>
      <c r="E4210">
        <v>0</v>
      </c>
    </row>
    <row r="4211" spans="2:5" x14ac:dyDescent="0.25">
      <c r="B4211">
        <v>8692011</v>
      </c>
      <c r="C4211" t="s">
        <v>2847</v>
      </c>
      <c r="D4211">
        <v>0</v>
      </c>
      <c r="E4211">
        <v>0</v>
      </c>
    </row>
    <row r="4212" spans="2:5" x14ac:dyDescent="0.25">
      <c r="B4212">
        <v>8692150</v>
      </c>
      <c r="C4212" t="s">
        <v>369</v>
      </c>
      <c r="D4212">
        <v>5891.33</v>
      </c>
      <c r="E4212">
        <v>0</v>
      </c>
    </row>
    <row r="4213" spans="2:5" x14ac:dyDescent="0.25">
      <c r="B4213">
        <v>8692210</v>
      </c>
      <c r="C4213" t="s">
        <v>370</v>
      </c>
      <c r="D4213">
        <v>7238.3</v>
      </c>
      <c r="E4213">
        <v>0</v>
      </c>
    </row>
    <row r="4214" spans="2:5" x14ac:dyDescent="0.25">
      <c r="B4214" t="s">
        <v>1859</v>
      </c>
      <c r="C4214" t="s">
        <v>1859</v>
      </c>
      <c r="D4214">
        <v>0</v>
      </c>
      <c r="E4214">
        <v>0</v>
      </c>
    </row>
    <row r="4215" spans="2:5" x14ac:dyDescent="0.25">
      <c r="B4215">
        <v>8692230</v>
      </c>
      <c r="C4215" t="s">
        <v>2848</v>
      </c>
      <c r="D4215">
        <v>0</v>
      </c>
      <c r="E4215">
        <v>0</v>
      </c>
    </row>
    <row r="4216" spans="2:5" x14ac:dyDescent="0.25">
      <c r="B4216">
        <v>8692240</v>
      </c>
      <c r="C4216" t="s">
        <v>371</v>
      </c>
      <c r="D4216">
        <v>7743.41</v>
      </c>
      <c r="E4216">
        <v>0</v>
      </c>
    </row>
    <row r="4217" spans="2:5" x14ac:dyDescent="0.25">
      <c r="B4217" t="s">
        <v>1859</v>
      </c>
      <c r="C4217" t="s">
        <v>1859</v>
      </c>
      <c r="D4217">
        <v>0</v>
      </c>
      <c r="E4217">
        <v>0</v>
      </c>
    </row>
    <row r="4218" spans="2:5" x14ac:dyDescent="0.25">
      <c r="B4218">
        <v>8692501</v>
      </c>
      <c r="C4218" t="s">
        <v>2849</v>
      </c>
      <c r="D4218">
        <v>0</v>
      </c>
      <c r="E4218">
        <v>0</v>
      </c>
    </row>
    <row r="4219" spans="2:5" x14ac:dyDescent="0.25">
      <c r="B4219" t="s">
        <v>1859</v>
      </c>
      <c r="C4219" t="s">
        <v>1859</v>
      </c>
      <c r="D4219">
        <v>0</v>
      </c>
      <c r="E4219">
        <v>0</v>
      </c>
    </row>
    <row r="4220" spans="2:5" x14ac:dyDescent="0.25">
      <c r="B4220">
        <v>8692502</v>
      </c>
      <c r="C4220" t="s">
        <v>2850</v>
      </c>
      <c r="D4220">
        <v>0</v>
      </c>
      <c r="E4220">
        <v>0</v>
      </c>
    </row>
    <row r="4221" spans="2:5" x14ac:dyDescent="0.25">
      <c r="B4221" t="s">
        <v>1859</v>
      </c>
      <c r="C4221" t="s">
        <v>1859</v>
      </c>
      <c r="D4221">
        <v>0</v>
      </c>
      <c r="E4221">
        <v>0</v>
      </c>
    </row>
    <row r="4222" spans="2:5" x14ac:dyDescent="0.25">
      <c r="B4222">
        <v>8692503</v>
      </c>
      <c r="C4222" t="s">
        <v>2851</v>
      </c>
      <c r="D4222">
        <v>0</v>
      </c>
      <c r="E4222">
        <v>0</v>
      </c>
    </row>
    <row r="4223" spans="2:5" x14ac:dyDescent="0.25">
      <c r="B4223">
        <v>8692504</v>
      </c>
      <c r="C4223" t="s">
        <v>457</v>
      </c>
      <c r="D4223">
        <v>5411.23</v>
      </c>
      <c r="E4223">
        <v>0</v>
      </c>
    </row>
    <row r="4224" spans="2:5" x14ac:dyDescent="0.25">
      <c r="B4224">
        <v>8692505</v>
      </c>
      <c r="C4224" t="s">
        <v>458</v>
      </c>
      <c r="D4224">
        <v>5903.14</v>
      </c>
      <c r="E4224">
        <v>0</v>
      </c>
    </row>
    <row r="4225" spans="2:5" x14ac:dyDescent="0.25">
      <c r="B4225">
        <v>8692506</v>
      </c>
      <c r="C4225" t="s">
        <v>287</v>
      </c>
      <c r="D4225">
        <v>5355.75</v>
      </c>
      <c r="E4225">
        <v>0</v>
      </c>
    </row>
    <row r="4226" spans="2:5" x14ac:dyDescent="0.25">
      <c r="B4226" t="s">
        <v>1859</v>
      </c>
      <c r="C4226" t="s">
        <v>1859</v>
      </c>
      <c r="D4226">
        <v>0</v>
      </c>
      <c r="E4226">
        <v>0</v>
      </c>
    </row>
    <row r="4227" spans="2:5" x14ac:dyDescent="0.25">
      <c r="B4227">
        <v>8692507</v>
      </c>
      <c r="C4227" t="s">
        <v>2852</v>
      </c>
      <c r="D4227">
        <v>0</v>
      </c>
      <c r="E4227">
        <v>0</v>
      </c>
    </row>
    <row r="4228" spans="2:5" x14ac:dyDescent="0.25">
      <c r="B4228" t="s">
        <v>1859</v>
      </c>
      <c r="C4228" t="s">
        <v>1859</v>
      </c>
      <c r="D4228">
        <v>0</v>
      </c>
      <c r="E4228">
        <v>0</v>
      </c>
    </row>
    <row r="4229" spans="2:5" x14ac:dyDescent="0.25">
      <c r="B4229">
        <v>8692508</v>
      </c>
      <c r="C4229" t="s">
        <v>2845</v>
      </c>
      <c r="D4229">
        <v>0</v>
      </c>
      <c r="E4229">
        <v>0</v>
      </c>
    </row>
    <row r="4230" spans="2:5" x14ac:dyDescent="0.25">
      <c r="B4230" t="s">
        <v>1859</v>
      </c>
      <c r="C4230" t="s">
        <v>1859</v>
      </c>
      <c r="D4230">
        <v>0</v>
      </c>
      <c r="E4230">
        <v>0</v>
      </c>
    </row>
    <row r="4231" spans="2:5" x14ac:dyDescent="0.25">
      <c r="B4231">
        <v>8692851</v>
      </c>
      <c r="C4231" t="s">
        <v>2853</v>
      </c>
      <c r="D4231">
        <v>0</v>
      </c>
      <c r="E4231">
        <v>0</v>
      </c>
    </row>
    <row r="4232" spans="2:5" x14ac:dyDescent="0.25">
      <c r="B4232" t="s">
        <v>1859</v>
      </c>
      <c r="C4232" t="s">
        <v>1859</v>
      </c>
      <c r="D4232">
        <v>0</v>
      </c>
      <c r="E4232">
        <v>0</v>
      </c>
    </row>
    <row r="4233" spans="2:5" x14ac:dyDescent="0.25">
      <c r="B4233">
        <v>8693012</v>
      </c>
      <c r="C4233" t="s">
        <v>2854</v>
      </c>
      <c r="D4233">
        <v>0</v>
      </c>
      <c r="E4233">
        <v>0</v>
      </c>
    </row>
    <row r="4234" spans="2:5" x14ac:dyDescent="0.25">
      <c r="B4234" t="s">
        <v>1859</v>
      </c>
      <c r="C4234" t="s">
        <v>1859</v>
      </c>
      <c r="D4234">
        <v>0</v>
      </c>
      <c r="E4234">
        <v>0</v>
      </c>
    </row>
    <row r="4235" spans="2:5" x14ac:dyDescent="0.25">
      <c r="B4235">
        <v>8694014</v>
      </c>
      <c r="C4235" t="s">
        <v>2854</v>
      </c>
      <c r="D4235">
        <v>0</v>
      </c>
      <c r="E4235">
        <v>0</v>
      </c>
    </row>
    <row r="4236" spans="2:5" x14ac:dyDescent="0.25">
      <c r="B4236" t="s">
        <v>1859</v>
      </c>
      <c r="C4236" t="s">
        <v>1859</v>
      </c>
      <c r="D4236">
        <v>0</v>
      </c>
      <c r="E4236">
        <v>0</v>
      </c>
    </row>
    <row r="4237" spans="2:5" x14ac:dyDescent="0.25">
      <c r="B4237">
        <v>8695001</v>
      </c>
      <c r="C4237" t="s">
        <v>2855</v>
      </c>
      <c r="D4237">
        <v>0</v>
      </c>
      <c r="E4237">
        <v>0</v>
      </c>
    </row>
    <row r="4238" spans="2:5" x14ac:dyDescent="0.25">
      <c r="B4238" t="s">
        <v>1859</v>
      </c>
      <c r="C4238" t="s">
        <v>1859</v>
      </c>
      <c r="D4238">
        <v>0</v>
      </c>
      <c r="E4238">
        <v>0</v>
      </c>
    </row>
    <row r="4239" spans="2:5" x14ac:dyDescent="0.25">
      <c r="B4239">
        <v>8697004</v>
      </c>
      <c r="C4239" t="s">
        <v>2831</v>
      </c>
      <c r="D4239">
        <v>0</v>
      </c>
      <c r="E4239">
        <v>0</v>
      </c>
    </row>
    <row r="4240" spans="2:5" x14ac:dyDescent="0.25">
      <c r="B4240">
        <v>87</v>
      </c>
      <c r="C4240" t="s">
        <v>1859</v>
      </c>
      <c r="D4240">
        <v>0</v>
      </c>
      <c r="E4240">
        <v>0</v>
      </c>
    </row>
    <row r="4241" spans="2:5" x14ac:dyDescent="0.25">
      <c r="B4241">
        <v>8701000</v>
      </c>
      <c r="C4241" t="s">
        <v>1781</v>
      </c>
      <c r="D4241">
        <v>1222.99</v>
      </c>
      <c r="E4241">
        <v>103</v>
      </c>
    </row>
    <row r="4242" spans="2:5" x14ac:dyDescent="0.25">
      <c r="B4242" t="s">
        <v>1859</v>
      </c>
      <c r="C4242" t="s">
        <v>2856</v>
      </c>
      <c r="D4242">
        <v>0</v>
      </c>
      <c r="E4242">
        <v>0</v>
      </c>
    </row>
    <row r="4243" spans="2:5" x14ac:dyDescent="0.25">
      <c r="B4243">
        <v>8701001</v>
      </c>
      <c r="C4243" t="s">
        <v>599</v>
      </c>
      <c r="D4243">
        <v>2142.91</v>
      </c>
      <c r="E4243">
        <v>0</v>
      </c>
    </row>
    <row r="4244" spans="2:5" x14ac:dyDescent="0.25">
      <c r="B4244">
        <v>8701002</v>
      </c>
      <c r="C4244" t="s">
        <v>1856</v>
      </c>
      <c r="D4244">
        <v>1020</v>
      </c>
      <c r="E4244">
        <v>6</v>
      </c>
    </row>
    <row r="4245" spans="2:5" x14ac:dyDescent="0.25">
      <c r="B4245">
        <v>870100222</v>
      </c>
      <c r="C4245" t="s">
        <v>1859</v>
      </c>
      <c r="D4245">
        <v>0</v>
      </c>
      <c r="E4245">
        <v>0</v>
      </c>
    </row>
    <row r="4246" spans="2:5" x14ac:dyDescent="0.25">
      <c r="B4246">
        <v>8701003</v>
      </c>
      <c r="C4246" t="s">
        <v>453</v>
      </c>
      <c r="D4246">
        <v>1050</v>
      </c>
      <c r="E4246">
        <v>0</v>
      </c>
    </row>
    <row r="4247" spans="2:5" x14ac:dyDescent="0.25">
      <c r="B4247">
        <v>8701005</v>
      </c>
      <c r="C4247" t="s">
        <v>1782</v>
      </c>
      <c r="D4247">
        <v>1376.06</v>
      </c>
      <c r="E4247">
        <v>0</v>
      </c>
    </row>
    <row r="4248" spans="2:5" x14ac:dyDescent="0.25">
      <c r="B4248" t="s">
        <v>1859</v>
      </c>
      <c r="C4248" t="s">
        <v>1859</v>
      </c>
      <c r="D4248">
        <v>0</v>
      </c>
      <c r="E4248">
        <v>0</v>
      </c>
    </row>
    <row r="4249" spans="2:5" x14ac:dyDescent="0.25">
      <c r="B4249">
        <v>8701020</v>
      </c>
      <c r="C4249" t="s">
        <v>2857</v>
      </c>
      <c r="D4249">
        <v>0</v>
      </c>
      <c r="E4249">
        <v>0</v>
      </c>
    </row>
    <row r="4250" spans="2:5" x14ac:dyDescent="0.25">
      <c r="B4250">
        <v>8701032</v>
      </c>
      <c r="C4250" t="s">
        <v>448</v>
      </c>
      <c r="D4250">
        <v>3330</v>
      </c>
      <c r="E4250">
        <v>3</v>
      </c>
    </row>
    <row r="4251" spans="2:5" x14ac:dyDescent="0.25">
      <c r="B4251">
        <v>8701033</v>
      </c>
      <c r="C4251" t="s">
        <v>447</v>
      </c>
      <c r="D4251">
        <v>4950</v>
      </c>
      <c r="E4251">
        <v>17</v>
      </c>
    </row>
    <row r="4252" spans="2:5" x14ac:dyDescent="0.25">
      <c r="B4252">
        <v>8701038</v>
      </c>
      <c r="C4252" t="s">
        <v>1418</v>
      </c>
      <c r="D4252">
        <v>1300</v>
      </c>
      <c r="E4252">
        <v>104</v>
      </c>
    </row>
    <row r="4253" spans="2:5" x14ac:dyDescent="0.25">
      <c r="B4253" t="s">
        <v>1859</v>
      </c>
      <c r="C4253" t="s">
        <v>1859</v>
      </c>
      <c r="D4253">
        <v>0</v>
      </c>
      <c r="E4253">
        <v>0</v>
      </c>
    </row>
    <row r="4254" spans="2:5" x14ac:dyDescent="0.25">
      <c r="B4254">
        <v>8701060</v>
      </c>
      <c r="C4254" t="s">
        <v>2858</v>
      </c>
      <c r="D4254">
        <v>0</v>
      </c>
      <c r="E4254">
        <v>0</v>
      </c>
    </row>
    <row r="4255" spans="2:5" x14ac:dyDescent="0.25">
      <c r="B4255">
        <v>8701090</v>
      </c>
      <c r="C4255" t="s">
        <v>440</v>
      </c>
      <c r="D4255">
        <v>1300</v>
      </c>
      <c r="E4255">
        <v>0</v>
      </c>
    </row>
    <row r="4256" spans="2:5" x14ac:dyDescent="0.25">
      <c r="B4256">
        <v>8701092</v>
      </c>
      <c r="C4256" t="s">
        <v>441</v>
      </c>
      <c r="D4256">
        <v>1300</v>
      </c>
      <c r="E4256">
        <v>18</v>
      </c>
    </row>
    <row r="4257" spans="2:5" x14ac:dyDescent="0.25">
      <c r="B4257">
        <v>8701093</v>
      </c>
      <c r="C4257" t="s">
        <v>439</v>
      </c>
      <c r="D4257">
        <v>1300</v>
      </c>
      <c r="E4257">
        <v>7</v>
      </c>
    </row>
    <row r="4258" spans="2:5" x14ac:dyDescent="0.25">
      <c r="B4258" t="s">
        <v>1859</v>
      </c>
      <c r="C4258" t="s">
        <v>1859</v>
      </c>
      <c r="D4258">
        <v>0</v>
      </c>
      <c r="E4258">
        <v>0</v>
      </c>
    </row>
    <row r="4259" spans="2:5" x14ac:dyDescent="0.25">
      <c r="B4259">
        <v>8701100</v>
      </c>
      <c r="C4259" t="s">
        <v>2859</v>
      </c>
      <c r="D4259">
        <v>0</v>
      </c>
      <c r="E4259">
        <v>0</v>
      </c>
    </row>
    <row r="4260" spans="2:5" x14ac:dyDescent="0.25">
      <c r="B4260">
        <v>8701120</v>
      </c>
      <c r="C4260" t="s">
        <v>2860</v>
      </c>
      <c r="D4260">
        <v>0</v>
      </c>
      <c r="E4260">
        <v>0</v>
      </c>
    </row>
    <row r="4261" spans="2:5" x14ac:dyDescent="0.25">
      <c r="B4261" t="s">
        <v>1859</v>
      </c>
      <c r="C4261" t="s">
        <v>1859</v>
      </c>
      <c r="D4261">
        <v>0</v>
      </c>
      <c r="E4261">
        <v>0</v>
      </c>
    </row>
    <row r="4262" spans="2:5" x14ac:dyDescent="0.25">
      <c r="B4262">
        <v>8701158</v>
      </c>
      <c r="C4262" t="s">
        <v>2861</v>
      </c>
      <c r="D4262">
        <v>0</v>
      </c>
      <c r="E4262">
        <v>0</v>
      </c>
    </row>
    <row r="4263" spans="2:5" x14ac:dyDescent="0.25">
      <c r="B4263">
        <v>8701162</v>
      </c>
      <c r="C4263" t="s">
        <v>452</v>
      </c>
      <c r="D4263">
        <v>1222.99</v>
      </c>
      <c r="E4263">
        <v>0</v>
      </c>
    </row>
    <row r="4264" spans="2:5" x14ac:dyDescent="0.25">
      <c r="B4264">
        <v>8701200</v>
      </c>
      <c r="C4264" t="s">
        <v>1783</v>
      </c>
      <c r="D4264">
        <v>3197.38</v>
      </c>
      <c r="E4264">
        <v>1</v>
      </c>
    </row>
    <row r="4265" spans="2:5" x14ac:dyDescent="0.25">
      <c r="B4265">
        <v>8701214</v>
      </c>
      <c r="C4265" t="s">
        <v>443</v>
      </c>
      <c r="D4265">
        <v>1170</v>
      </c>
      <c r="E4265">
        <v>585</v>
      </c>
    </row>
    <row r="4266" spans="2:5" x14ac:dyDescent="0.25">
      <c r="B4266" t="s">
        <v>1859</v>
      </c>
      <c r="C4266" t="s">
        <v>1859</v>
      </c>
      <c r="D4266">
        <v>0</v>
      </c>
      <c r="E4266">
        <v>0</v>
      </c>
    </row>
    <row r="4267" spans="2:5" x14ac:dyDescent="0.25">
      <c r="B4267">
        <v>8701215</v>
      </c>
      <c r="C4267" t="s">
        <v>2862</v>
      </c>
      <c r="D4267">
        <v>0</v>
      </c>
      <c r="E4267">
        <v>0</v>
      </c>
    </row>
    <row r="4268" spans="2:5" x14ac:dyDescent="0.25">
      <c r="B4268">
        <v>8701216</v>
      </c>
      <c r="C4268" t="s">
        <v>1784</v>
      </c>
      <c r="D4268">
        <v>3365.75</v>
      </c>
      <c r="E4268">
        <v>0</v>
      </c>
    </row>
    <row r="4269" spans="2:5" x14ac:dyDescent="0.25">
      <c r="B4269" t="s">
        <v>1859</v>
      </c>
      <c r="C4269" t="s">
        <v>1859</v>
      </c>
      <c r="D4269">
        <v>0</v>
      </c>
      <c r="E4269">
        <v>0</v>
      </c>
    </row>
    <row r="4270" spans="2:5" x14ac:dyDescent="0.25">
      <c r="B4270">
        <v>8701326</v>
      </c>
      <c r="C4270" t="s">
        <v>2863</v>
      </c>
      <c r="D4270">
        <v>0</v>
      </c>
      <c r="E4270">
        <v>0</v>
      </c>
    </row>
    <row r="4271" spans="2:5" x14ac:dyDescent="0.25">
      <c r="B4271">
        <v>8701350</v>
      </c>
      <c r="C4271" t="s">
        <v>1785</v>
      </c>
      <c r="D4271">
        <v>1400</v>
      </c>
      <c r="E4271">
        <v>0</v>
      </c>
    </row>
    <row r="4272" spans="2:5" x14ac:dyDescent="0.25">
      <c r="B4272" t="s">
        <v>1859</v>
      </c>
      <c r="C4272" t="s">
        <v>1859</v>
      </c>
      <c r="D4272">
        <v>0</v>
      </c>
      <c r="E4272">
        <v>0</v>
      </c>
    </row>
    <row r="4273" spans="2:5" x14ac:dyDescent="0.25">
      <c r="B4273">
        <v>8701351</v>
      </c>
      <c r="C4273" t="s">
        <v>2864</v>
      </c>
      <c r="D4273">
        <v>0</v>
      </c>
      <c r="E4273">
        <v>0</v>
      </c>
    </row>
    <row r="4274" spans="2:5" x14ac:dyDescent="0.25">
      <c r="B4274">
        <v>8701453</v>
      </c>
      <c r="C4274" t="s">
        <v>1786</v>
      </c>
      <c r="D4274">
        <v>1052.7</v>
      </c>
      <c r="E4274">
        <v>0</v>
      </c>
    </row>
    <row r="4275" spans="2:5" x14ac:dyDescent="0.25">
      <c r="B4275">
        <v>8701458</v>
      </c>
      <c r="C4275" t="s">
        <v>445</v>
      </c>
      <c r="D4275">
        <v>1170</v>
      </c>
      <c r="E4275">
        <v>0</v>
      </c>
    </row>
    <row r="4276" spans="2:5" x14ac:dyDescent="0.25">
      <c r="B4276">
        <v>8701494</v>
      </c>
      <c r="C4276" t="s">
        <v>1419</v>
      </c>
      <c r="D4276">
        <v>500</v>
      </c>
      <c r="E4276">
        <v>123</v>
      </c>
    </row>
    <row r="4277" spans="2:5" x14ac:dyDescent="0.25">
      <c r="B4277">
        <v>8701495</v>
      </c>
      <c r="C4277" t="s">
        <v>1787</v>
      </c>
      <c r="D4277">
        <v>350</v>
      </c>
      <c r="E4277">
        <v>143</v>
      </c>
    </row>
    <row r="4278" spans="2:5" x14ac:dyDescent="0.25">
      <c r="B4278">
        <v>8701500</v>
      </c>
      <c r="C4278" t="s">
        <v>1788</v>
      </c>
      <c r="D4278">
        <v>1300</v>
      </c>
      <c r="E4278">
        <v>272</v>
      </c>
    </row>
    <row r="4279" spans="2:5" x14ac:dyDescent="0.25">
      <c r="B4279">
        <v>8701541</v>
      </c>
      <c r="C4279" t="s">
        <v>1789</v>
      </c>
      <c r="D4279">
        <v>1200</v>
      </c>
      <c r="E4279">
        <v>38</v>
      </c>
    </row>
    <row r="4280" spans="2:5" x14ac:dyDescent="0.25">
      <c r="B4280">
        <v>8701542</v>
      </c>
      <c r="C4280" t="s">
        <v>444</v>
      </c>
      <c r="D4280">
        <v>1200</v>
      </c>
      <c r="E4280">
        <v>97</v>
      </c>
    </row>
    <row r="4281" spans="2:5" x14ac:dyDescent="0.25">
      <c r="B4281">
        <v>8701550</v>
      </c>
      <c r="C4281" t="s">
        <v>1790</v>
      </c>
      <c r="D4281">
        <v>1222.99</v>
      </c>
      <c r="E4281">
        <v>0</v>
      </c>
    </row>
    <row r="4282" spans="2:5" x14ac:dyDescent="0.25">
      <c r="B4282" t="s">
        <v>1859</v>
      </c>
      <c r="C4282" t="s">
        <v>1859</v>
      </c>
      <c r="D4282">
        <v>0</v>
      </c>
      <c r="E4282">
        <v>0</v>
      </c>
    </row>
    <row r="4283" spans="2:5" x14ac:dyDescent="0.25">
      <c r="B4283">
        <v>8701552</v>
      </c>
      <c r="C4283" t="s">
        <v>2865</v>
      </c>
      <c r="D4283">
        <v>0</v>
      </c>
      <c r="E4283">
        <v>0</v>
      </c>
    </row>
    <row r="4284" spans="2:5" x14ac:dyDescent="0.25">
      <c r="B4284">
        <v>8701575</v>
      </c>
      <c r="C4284" t="s">
        <v>455</v>
      </c>
      <c r="D4284">
        <v>450</v>
      </c>
      <c r="E4284">
        <v>178</v>
      </c>
    </row>
    <row r="4285" spans="2:5" x14ac:dyDescent="0.25">
      <c r="B4285">
        <v>8701576</v>
      </c>
      <c r="C4285" t="s">
        <v>456</v>
      </c>
      <c r="D4285">
        <v>1100</v>
      </c>
      <c r="E4285">
        <v>670</v>
      </c>
    </row>
    <row r="4286" spans="2:5" x14ac:dyDescent="0.25">
      <c r="B4286">
        <v>8701652</v>
      </c>
      <c r="C4286" t="s">
        <v>1376</v>
      </c>
      <c r="D4286">
        <v>555</v>
      </c>
      <c r="E4286">
        <v>48</v>
      </c>
    </row>
    <row r="4287" spans="2:5" x14ac:dyDescent="0.25">
      <c r="B4287">
        <v>8701653</v>
      </c>
      <c r="C4287" t="s">
        <v>1375</v>
      </c>
      <c r="D4287">
        <v>484</v>
      </c>
      <c r="E4287">
        <v>1</v>
      </c>
    </row>
    <row r="4288" spans="2:5" x14ac:dyDescent="0.25">
      <c r="B4288">
        <v>8701654</v>
      </c>
      <c r="C4288" t="s">
        <v>1374</v>
      </c>
      <c r="D4288">
        <v>330</v>
      </c>
      <c r="E4288">
        <v>8</v>
      </c>
    </row>
    <row r="4289" spans="2:5" x14ac:dyDescent="0.25">
      <c r="B4289">
        <v>8701655</v>
      </c>
      <c r="C4289" t="s">
        <v>451</v>
      </c>
      <c r="D4289">
        <v>1140</v>
      </c>
      <c r="E4289">
        <v>4</v>
      </c>
    </row>
    <row r="4290" spans="2:5" x14ac:dyDescent="0.25">
      <c r="B4290">
        <v>8701656</v>
      </c>
      <c r="C4290" t="s">
        <v>2866</v>
      </c>
      <c r="D4290">
        <v>2310</v>
      </c>
      <c r="E4290">
        <v>0</v>
      </c>
    </row>
    <row r="4291" spans="2:5" x14ac:dyDescent="0.25">
      <c r="B4291">
        <v>8701657</v>
      </c>
      <c r="C4291" t="s">
        <v>1377</v>
      </c>
      <c r="D4291">
        <v>750</v>
      </c>
      <c r="E4291">
        <v>7</v>
      </c>
    </row>
    <row r="4292" spans="2:5" x14ac:dyDescent="0.25">
      <c r="B4292" t="s">
        <v>1859</v>
      </c>
      <c r="C4292" t="s">
        <v>1859</v>
      </c>
      <c r="D4292">
        <v>0</v>
      </c>
      <c r="E4292">
        <v>0</v>
      </c>
    </row>
    <row r="4293" spans="2:5" x14ac:dyDescent="0.25">
      <c r="B4293">
        <v>8701658</v>
      </c>
      <c r="C4293" t="s">
        <v>2867</v>
      </c>
      <c r="D4293">
        <v>0</v>
      </c>
      <c r="E4293">
        <v>0</v>
      </c>
    </row>
    <row r="4294" spans="2:5" x14ac:dyDescent="0.25">
      <c r="B4294">
        <v>8701735</v>
      </c>
      <c r="C4294" t="s">
        <v>446</v>
      </c>
      <c r="D4294">
        <v>3660</v>
      </c>
      <c r="E4294">
        <v>39</v>
      </c>
    </row>
    <row r="4295" spans="2:5" x14ac:dyDescent="0.25">
      <c r="B4295">
        <v>870173500</v>
      </c>
      <c r="C4295" t="s">
        <v>2868</v>
      </c>
      <c r="D4295">
        <v>0</v>
      </c>
      <c r="E4295">
        <v>0</v>
      </c>
    </row>
    <row r="4296" spans="2:5" x14ac:dyDescent="0.25">
      <c r="B4296">
        <v>870173505</v>
      </c>
      <c r="C4296" t="s">
        <v>2869</v>
      </c>
      <c r="D4296">
        <v>557.12</v>
      </c>
      <c r="E4296">
        <v>0</v>
      </c>
    </row>
    <row r="4297" spans="2:5" x14ac:dyDescent="0.25">
      <c r="B4297">
        <v>870173511</v>
      </c>
      <c r="C4297" t="s">
        <v>2870</v>
      </c>
      <c r="D4297">
        <v>557.12</v>
      </c>
      <c r="E4297">
        <v>0</v>
      </c>
    </row>
    <row r="4298" spans="2:5" x14ac:dyDescent="0.25">
      <c r="B4298">
        <v>870173512</v>
      </c>
      <c r="C4298" t="s">
        <v>2871</v>
      </c>
      <c r="D4298">
        <v>571.04999999999995</v>
      </c>
      <c r="E4298">
        <v>0</v>
      </c>
    </row>
    <row r="4299" spans="2:5" x14ac:dyDescent="0.25">
      <c r="B4299">
        <v>870173515</v>
      </c>
      <c r="C4299" t="s">
        <v>2872</v>
      </c>
      <c r="D4299">
        <v>571.04999999999995</v>
      </c>
      <c r="E4299">
        <v>0</v>
      </c>
    </row>
    <row r="4300" spans="2:5" x14ac:dyDescent="0.25">
      <c r="B4300">
        <v>870173580</v>
      </c>
      <c r="C4300" t="s">
        <v>2873</v>
      </c>
      <c r="D4300">
        <v>571.04999999999995</v>
      </c>
      <c r="E4300">
        <v>0</v>
      </c>
    </row>
    <row r="4301" spans="2:5" x14ac:dyDescent="0.25">
      <c r="B4301">
        <v>870173585</v>
      </c>
      <c r="C4301" t="s">
        <v>2874</v>
      </c>
      <c r="D4301">
        <v>571.04999999999995</v>
      </c>
      <c r="E4301">
        <v>0</v>
      </c>
    </row>
    <row r="4302" spans="2:5" x14ac:dyDescent="0.25">
      <c r="B4302">
        <v>870173590</v>
      </c>
      <c r="C4302" t="s">
        <v>2875</v>
      </c>
      <c r="D4302">
        <v>0</v>
      </c>
      <c r="E4302">
        <v>0</v>
      </c>
    </row>
    <row r="4303" spans="2:5" x14ac:dyDescent="0.25">
      <c r="B4303">
        <v>870173595</v>
      </c>
      <c r="C4303" t="s">
        <v>2876</v>
      </c>
      <c r="D4303">
        <v>571.04999999999995</v>
      </c>
      <c r="E4303">
        <v>0</v>
      </c>
    </row>
    <row r="4304" spans="2:5" x14ac:dyDescent="0.25">
      <c r="B4304" t="s">
        <v>1859</v>
      </c>
      <c r="C4304" t="s">
        <v>1859</v>
      </c>
      <c r="D4304">
        <v>0</v>
      </c>
      <c r="E4304">
        <v>0</v>
      </c>
    </row>
    <row r="4305" spans="2:5" x14ac:dyDescent="0.25">
      <c r="B4305">
        <v>8701736</v>
      </c>
      <c r="C4305" t="s">
        <v>2877</v>
      </c>
      <c r="D4305">
        <v>0</v>
      </c>
      <c r="E4305">
        <v>0</v>
      </c>
    </row>
    <row r="4306" spans="2:5" x14ac:dyDescent="0.25">
      <c r="B4306">
        <v>8701741</v>
      </c>
      <c r="C4306" t="s">
        <v>449</v>
      </c>
      <c r="D4306">
        <v>1369.94</v>
      </c>
      <c r="E4306">
        <v>129</v>
      </c>
    </row>
    <row r="4307" spans="2:5" x14ac:dyDescent="0.25">
      <c r="B4307">
        <v>8701742</v>
      </c>
      <c r="C4307" t="s">
        <v>450</v>
      </c>
      <c r="D4307">
        <v>1836.77</v>
      </c>
      <c r="E4307">
        <v>41</v>
      </c>
    </row>
    <row r="4308" spans="2:5" x14ac:dyDescent="0.25">
      <c r="B4308" t="s">
        <v>1859</v>
      </c>
      <c r="C4308" t="s">
        <v>1859</v>
      </c>
      <c r="D4308">
        <v>0</v>
      </c>
      <c r="E4308">
        <v>0</v>
      </c>
    </row>
    <row r="4309" spans="2:5" x14ac:dyDescent="0.25">
      <c r="B4309">
        <v>8701745</v>
      </c>
      <c r="C4309" t="s">
        <v>2878</v>
      </c>
      <c r="D4309">
        <v>0</v>
      </c>
      <c r="E4309">
        <v>0</v>
      </c>
    </row>
    <row r="4310" spans="2:5" x14ac:dyDescent="0.25">
      <c r="B4310">
        <v>8701750</v>
      </c>
      <c r="C4310" t="s">
        <v>442</v>
      </c>
      <c r="D4310">
        <v>1170</v>
      </c>
      <c r="E4310">
        <v>1</v>
      </c>
    </row>
    <row r="4311" spans="2:5" x14ac:dyDescent="0.25">
      <c r="B4311">
        <v>8701800</v>
      </c>
      <c r="C4311" t="s">
        <v>1791</v>
      </c>
      <c r="D4311">
        <v>1222.99</v>
      </c>
      <c r="E4311">
        <v>0</v>
      </c>
    </row>
    <row r="4312" spans="2:5" x14ac:dyDescent="0.25">
      <c r="B4312">
        <v>8701856</v>
      </c>
      <c r="C4312" t="s">
        <v>454</v>
      </c>
      <c r="D4312">
        <v>1222.99</v>
      </c>
      <c r="E4312">
        <v>10</v>
      </c>
    </row>
    <row r="4313" spans="2:5" x14ac:dyDescent="0.25">
      <c r="B4313">
        <v>8701900</v>
      </c>
      <c r="C4313" t="s">
        <v>1792</v>
      </c>
      <c r="D4313">
        <v>1454.1</v>
      </c>
      <c r="E4313">
        <v>7</v>
      </c>
    </row>
    <row r="4314" spans="2:5" x14ac:dyDescent="0.25">
      <c r="B4314">
        <v>8701999</v>
      </c>
      <c r="C4314" t="s">
        <v>1793</v>
      </c>
      <c r="D4314">
        <v>725.99</v>
      </c>
      <c r="E4314">
        <v>0</v>
      </c>
    </row>
    <row r="4315" spans="2:5" x14ac:dyDescent="0.25">
      <c r="B4315">
        <v>870199900</v>
      </c>
      <c r="C4315" t="s">
        <v>2879</v>
      </c>
      <c r="D4315">
        <v>146.08000000000001</v>
      </c>
      <c r="E4315">
        <v>0</v>
      </c>
    </row>
    <row r="4316" spans="2:5" x14ac:dyDescent="0.25">
      <c r="B4316">
        <v>870199905</v>
      </c>
      <c r="C4316" t="s">
        <v>2880</v>
      </c>
      <c r="D4316">
        <v>146.08000000000001</v>
      </c>
      <c r="E4316">
        <v>0</v>
      </c>
    </row>
    <row r="4317" spans="2:5" x14ac:dyDescent="0.25">
      <c r="B4317">
        <v>870199910</v>
      </c>
      <c r="C4317" t="s">
        <v>2881</v>
      </c>
      <c r="D4317">
        <v>146.08000000000001</v>
      </c>
      <c r="E4317">
        <v>0</v>
      </c>
    </row>
    <row r="4318" spans="2:5" x14ac:dyDescent="0.25">
      <c r="B4318">
        <v>870199915</v>
      </c>
      <c r="C4318" t="s">
        <v>2882</v>
      </c>
      <c r="D4318">
        <v>146.08000000000001</v>
      </c>
      <c r="E4318">
        <v>0</v>
      </c>
    </row>
    <row r="4319" spans="2:5" x14ac:dyDescent="0.25">
      <c r="B4319">
        <v>870199920</v>
      </c>
      <c r="C4319" t="s">
        <v>2883</v>
      </c>
      <c r="D4319">
        <v>146.08000000000001</v>
      </c>
      <c r="E4319">
        <v>0</v>
      </c>
    </row>
    <row r="4320" spans="2:5" x14ac:dyDescent="0.25">
      <c r="B4320">
        <v>870199925</v>
      </c>
      <c r="C4320" t="s">
        <v>2884</v>
      </c>
      <c r="D4320">
        <v>146.08000000000001</v>
      </c>
      <c r="E4320">
        <v>0</v>
      </c>
    </row>
    <row r="4321" spans="2:5" x14ac:dyDescent="0.25">
      <c r="B4321">
        <v>870199970</v>
      </c>
      <c r="C4321" t="s">
        <v>2885</v>
      </c>
      <c r="D4321">
        <v>146.08000000000001</v>
      </c>
      <c r="E4321">
        <v>0</v>
      </c>
    </row>
    <row r="4322" spans="2:5" x14ac:dyDescent="0.25">
      <c r="B4322">
        <v>870199975</v>
      </c>
      <c r="C4322" t="s">
        <v>2886</v>
      </c>
      <c r="D4322">
        <v>146.08000000000001</v>
      </c>
      <c r="E4322">
        <v>0</v>
      </c>
    </row>
    <row r="4323" spans="2:5" x14ac:dyDescent="0.25">
      <c r="B4323">
        <v>870199980</v>
      </c>
      <c r="C4323" t="s">
        <v>2887</v>
      </c>
      <c r="D4323">
        <v>146.08000000000001</v>
      </c>
      <c r="E4323">
        <v>0</v>
      </c>
    </row>
    <row r="4324" spans="2:5" x14ac:dyDescent="0.25">
      <c r="B4324">
        <v>870199985</v>
      </c>
      <c r="C4324" t="s">
        <v>2888</v>
      </c>
      <c r="D4324">
        <v>349</v>
      </c>
      <c r="E4324">
        <v>1</v>
      </c>
    </row>
    <row r="4325" spans="2:5" x14ac:dyDescent="0.25">
      <c r="B4325">
        <v>870199990</v>
      </c>
      <c r="C4325" t="s">
        <v>2889</v>
      </c>
      <c r="D4325">
        <v>146.08000000000001</v>
      </c>
      <c r="E4325">
        <v>0</v>
      </c>
    </row>
    <row r="4326" spans="2:5" x14ac:dyDescent="0.25">
      <c r="B4326">
        <v>870199995</v>
      </c>
      <c r="C4326" t="s">
        <v>2890</v>
      </c>
      <c r="D4326">
        <v>146.08000000000001</v>
      </c>
      <c r="E4326">
        <v>0</v>
      </c>
    </row>
    <row r="4327" spans="2:5" x14ac:dyDescent="0.25">
      <c r="B4327" t="s">
        <v>1859</v>
      </c>
      <c r="C4327" t="s">
        <v>1859</v>
      </c>
      <c r="D4327">
        <v>0</v>
      </c>
      <c r="E4327">
        <v>0</v>
      </c>
    </row>
    <row r="4328" spans="2:5" x14ac:dyDescent="0.25">
      <c r="B4328">
        <v>8702073</v>
      </c>
      <c r="C4328" t="s">
        <v>2891</v>
      </c>
      <c r="D4328">
        <v>0</v>
      </c>
      <c r="E4328">
        <v>0</v>
      </c>
    </row>
    <row r="4329" spans="2:5" x14ac:dyDescent="0.25">
      <c r="B4329" t="s">
        <v>1859</v>
      </c>
      <c r="C4329" t="s">
        <v>1859</v>
      </c>
      <c r="D4329">
        <v>0</v>
      </c>
      <c r="E4329">
        <v>0</v>
      </c>
    </row>
    <row r="4330" spans="2:5" x14ac:dyDescent="0.25">
      <c r="B4330">
        <v>8702228</v>
      </c>
      <c r="C4330" t="s">
        <v>2892</v>
      </c>
      <c r="D4330">
        <v>0</v>
      </c>
      <c r="E4330">
        <v>0</v>
      </c>
    </row>
    <row r="4331" spans="2:5" x14ac:dyDescent="0.25">
      <c r="B4331">
        <v>8702557</v>
      </c>
      <c r="C4331" t="s">
        <v>1290</v>
      </c>
      <c r="D4331">
        <v>581.36</v>
      </c>
      <c r="E4331">
        <v>0</v>
      </c>
    </row>
    <row r="4332" spans="2:5" x14ac:dyDescent="0.25">
      <c r="B4332">
        <v>8702660</v>
      </c>
      <c r="C4332" t="s">
        <v>360</v>
      </c>
      <c r="D4332">
        <v>900</v>
      </c>
      <c r="E4332">
        <v>8</v>
      </c>
    </row>
    <row r="4333" spans="2:5" x14ac:dyDescent="0.25">
      <c r="B4333">
        <v>8702661</v>
      </c>
      <c r="C4333" t="s">
        <v>361</v>
      </c>
      <c r="D4333">
        <v>1140</v>
      </c>
      <c r="E4333">
        <v>4</v>
      </c>
    </row>
    <row r="4334" spans="2:5" x14ac:dyDescent="0.25">
      <c r="B4334">
        <v>8702668</v>
      </c>
      <c r="C4334" t="s">
        <v>1291</v>
      </c>
      <c r="D4334">
        <v>581.36</v>
      </c>
      <c r="E4334">
        <v>0</v>
      </c>
    </row>
    <row r="4335" spans="2:5" x14ac:dyDescent="0.25">
      <c r="B4335" t="s">
        <v>1859</v>
      </c>
      <c r="C4335" t="s">
        <v>1859</v>
      </c>
      <c r="D4335">
        <v>0</v>
      </c>
      <c r="E4335">
        <v>0</v>
      </c>
    </row>
    <row r="4336" spans="2:5" x14ac:dyDescent="0.25">
      <c r="B4336">
        <v>8703000</v>
      </c>
      <c r="C4336" t="s">
        <v>2893</v>
      </c>
      <c r="D4336">
        <v>0</v>
      </c>
      <c r="E4336">
        <v>0</v>
      </c>
    </row>
    <row r="4337" spans="2:5" x14ac:dyDescent="0.25">
      <c r="B4337">
        <v>8703001</v>
      </c>
      <c r="C4337" t="s">
        <v>1161</v>
      </c>
      <c r="D4337">
        <v>520.29999999999995</v>
      </c>
      <c r="E4337">
        <v>4</v>
      </c>
    </row>
    <row r="4338" spans="2:5" x14ac:dyDescent="0.25">
      <c r="B4338" t="s">
        <v>1859</v>
      </c>
      <c r="C4338" t="s">
        <v>1859</v>
      </c>
      <c r="D4338">
        <v>0</v>
      </c>
      <c r="E4338">
        <v>0</v>
      </c>
    </row>
    <row r="4339" spans="2:5" x14ac:dyDescent="0.25">
      <c r="B4339">
        <v>8703002</v>
      </c>
      <c r="C4339" t="s">
        <v>2894</v>
      </c>
      <c r="D4339">
        <v>0</v>
      </c>
      <c r="E4339">
        <v>0</v>
      </c>
    </row>
    <row r="4340" spans="2:5" x14ac:dyDescent="0.25">
      <c r="B4340">
        <v>8703004</v>
      </c>
      <c r="C4340" t="s">
        <v>616</v>
      </c>
      <c r="D4340">
        <v>1470</v>
      </c>
      <c r="E4340">
        <v>14</v>
      </c>
    </row>
    <row r="4341" spans="2:5" x14ac:dyDescent="0.25">
      <c r="B4341">
        <v>8703005</v>
      </c>
      <c r="C4341" t="s">
        <v>2895</v>
      </c>
      <c r="D4341">
        <v>0</v>
      </c>
      <c r="E4341">
        <v>0</v>
      </c>
    </row>
    <row r="4342" spans="2:5" x14ac:dyDescent="0.25">
      <c r="B4342" t="s">
        <v>1859</v>
      </c>
      <c r="C4342" t="s">
        <v>1859</v>
      </c>
      <c r="D4342">
        <v>0</v>
      </c>
      <c r="E4342">
        <v>0</v>
      </c>
    </row>
    <row r="4343" spans="2:5" x14ac:dyDescent="0.25">
      <c r="B4343">
        <v>8703011</v>
      </c>
      <c r="C4343" t="s">
        <v>2896</v>
      </c>
      <c r="D4343">
        <v>0</v>
      </c>
      <c r="E4343">
        <v>0</v>
      </c>
    </row>
    <row r="4344" spans="2:5" x14ac:dyDescent="0.25">
      <c r="B4344">
        <v>8703012</v>
      </c>
      <c r="C4344" t="s">
        <v>1794</v>
      </c>
      <c r="D4344">
        <v>1224.51</v>
      </c>
      <c r="E4344">
        <v>5</v>
      </c>
    </row>
    <row r="4345" spans="2:5" x14ac:dyDescent="0.25">
      <c r="B4345">
        <v>8703017</v>
      </c>
      <c r="C4345" t="s">
        <v>1025</v>
      </c>
      <c r="D4345">
        <v>2197.5</v>
      </c>
      <c r="E4345">
        <v>2</v>
      </c>
    </row>
    <row r="4346" spans="2:5" x14ac:dyDescent="0.25">
      <c r="B4346">
        <v>8703018</v>
      </c>
      <c r="C4346" t="s">
        <v>1031</v>
      </c>
      <c r="D4346">
        <v>1680</v>
      </c>
      <c r="E4346">
        <v>9</v>
      </c>
    </row>
    <row r="4347" spans="2:5" x14ac:dyDescent="0.25">
      <c r="B4347">
        <v>8703020</v>
      </c>
      <c r="C4347" t="s">
        <v>1795</v>
      </c>
      <c r="D4347">
        <v>199.78</v>
      </c>
      <c r="E4347">
        <v>0</v>
      </c>
    </row>
    <row r="4348" spans="2:5" x14ac:dyDescent="0.25">
      <c r="B4348" t="s">
        <v>1859</v>
      </c>
      <c r="C4348" t="s">
        <v>1859</v>
      </c>
      <c r="D4348">
        <v>0</v>
      </c>
      <c r="E4348">
        <v>0</v>
      </c>
    </row>
    <row r="4349" spans="2:5" x14ac:dyDescent="0.25">
      <c r="B4349">
        <v>8703021</v>
      </c>
      <c r="C4349" t="s">
        <v>2897</v>
      </c>
      <c r="D4349">
        <v>0</v>
      </c>
      <c r="E4349">
        <v>0</v>
      </c>
    </row>
    <row r="4350" spans="2:5" x14ac:dyDescent="0.25">
      <c r="B4350" t="s">
        <v>1859</v>
      </c>
      <c r="C4350" t="s">
        <v>1859</v>
      </c>
      <c r="D4350">
        <v>0</v>
      </c>
      <c r="E4350">
        <v>0</v>
      </c>
    </row>
    <row r="4351" spans="2:5" x14ac:dyDescent="0.25">
      <c r="B4351">
        <v>8703028</v>
      </c>
      <c r="C4351" t="s">
        <v>2898</v>
      </c>
      <c r="D4351">
        <v>0</v>
      </c>
      <c r="E4351">
        <v>0</v>
      </c>
    </row>
    <row r="4352" spans="2:5" x14ac:dyDescent="0.25">
      <c r="B4352">
        <v>8703030</v>
      </c>
      <c r="C4352" t="s">
        <v>1160</v>
      </c>
      <c r="D4352">
        <v>2294.4499999999998</v>
      </c>
      <c r="E4352">
        <v>0</v>
      </c>
    </row>
    <row r="4353" spans="2:5" x14ac:dyDescent="0.25">
      <c r="B4353">
        <v>8703034</v>
      </c>
      <c r="C4353" t="s">
        <v>1157</v>
      </c>
      <c r="D4353">
        <v>2280</v>
      </c>
      <c r="E4353">
        <v>0</v>
      </c>
    </row>
    <row r="4354" spans="2:5" x14ac:dyDescent="0.25">
      <c r="B4354">
        <v>8703035</v>
      </c>
      <c r="C4354" t="s">
        <v>1159</v>
      </c>
      <c r="D4354">
        <v>2430</v>
      </c>
      <c r="E4354">
        <v>9</v>
      </c>
    </row>
    <row r="4355" spans="2:5" x14ac:dyDescent="0.25">
      <c r="B4355">
        <v>8703036</v>
      </c>
      <c r="C4355" t="s">
        <v>1158</v>
      </c>
      <c r="D4355">
        <v>2100</v>
      </c>
      <c r="E4355">
        <v>9</v>
      </c>
    </row>
    <row r="4356" spans="2:5" x14ac:dyDescent="0.25">
      <c r="B4356">
        <v>870303601</v>
      </c>
      <c r="C4356" t="s">
        <v>2899</v>
      </c>
      <c r="D4356">
        <v>0</v>
      </c>
      <c r="E4356">
        <v>0</v>
      </c>
    </row>
    <row r="4357" spans="2:5" x14ac:dyDescent="0.25">
      <c r="B4357">
        <v>870303602</v>
      </c>
      <c r="C4357" t="s">
        <v>2900</v>
      </c>
      <c r="D4357">
        <v>0</v>
      </c>
      <c r="E4357">
        <v>0</v>
      </c>
    </row>
    <row r="4358" spans="2:5" x14ac:dyDescent="0.25">
      <c r="B4358">
        <v>8703037</v>
      </c>
      <c r="C4358" t="s">
        <v>1169</v>
      </c>
      <c r="D4358">
        <v>2100</v>
      </c>
      <c r="E4358">
        <v>16</v>
      </c>
    </row>
    <row r="4359" spans="2:5" x14ac:dyDescent="0.25">
      <c r="B4359">
        <v>8703038</v>
      </c>
      <c r="C4359" t="s">
        <v>1168</v>
      </c>
      <c r="D4359">
        <v>2850</v>
      </c>
      <c r="E4359">
        <v>21</v>
      </c>
    </row>
    <row r="4360" spans="2:5" x14ac:dyDescent="0.25">
      <c r="B4360">
        <v>870303800</v>
      </c>
      <c r="C4360" t="s">
        <v>2901</v>
      </c>
      <c r="D4360">
        <v>0</v>
      </c>
      <c r="E4360">
        <v>0</v>
      </c>
    </row>
    <row r="4361" spans="2:5" x14ac:dyDescent="0.25">
      <c r="B4361">
        <v>870303801</v>
      </c>
      <c r="C4361" t="s">
        <v>1173</v>
      </c>
      <c r="D4361">
        <v>2288.33</v>
      </c>
      <c r="E4361">
        <v>0</v>
      </c>
    </row>
    <row r="4362" spans="2:5" x14ac:dyDescent="0.25">
      <c r="B4362">
        <v>870303802</v>
      </c>
      <c r="C4362" t="s">
        <v>2902</v>
      </c>
      <c r="D4362">
        <v>0</v>
      </c>
      <c r="E4362">
        <v>0</v>
      </c>
    </row>
    <row r="4363" spans="2:5" x14ac:dyDescent="0.25">
      <c r="B4363">
        <v>870303803</v>
      </c>
      <c r="C4363" t="s">
        <v>2903</v>
      </c>
      <c r="D4363">
        <v>0</v>
      </c>
      <c r="E4363">
        <v>0</v>
      </c>
    </row>
    <row r="4364" spans="2:5" x14ac:dyDescent="0.25">
      <c r="B4364" t="s">
        <v>1859</v>
      </c>
      <c r="C4364" t="s">
        <v>1859</v>
      </c>
      <c r="D4364">
        <v>0</v>
      </c>
      <c r="E4364">
        <v>0</v>
      </c>
    </row>
    <row r="4365" spans="2:5" x14ac:dyDescent="0.25">
      <c r="B4365">
        <v>8703039</v>
      </c>
      <c r="C4365" t="s">
        <v>2904</v>
      </c>
      <c r="D4365">
        <v>0</v>
      </c>
      <c r="E4365">
        <v>0</v>
      </c>
    </row>
    <row r="4366" spans="2:5" x14ac:dyDescent="0.25">
      <c r="B4366">
        <v>8703040</v>
      </c>
      <c r="C4366" t="s">
        <v>1172</v>
      </c>
      <c r="D4366">
        <v>3420</v>
      </c>
      <c r="E4366">
        <v>12</v>
      </c>
    </row>
    <row r="4367" spans="2:5" x14ac:dyDescent="0.25">
      <c r="B4367">
        <v>8703041</v>
      </c>
      <c r="C4367" t="s">
        <v>1171</v>
      </c>
      <c r="D4367">
        <v>2520</v>
      </c>
      <c r="E4367">
        <v>10</v>
      </c>
    </row>
    <row r="4368" spans="2:5" x14ac:dyDescent="0.25">
      <c r="B4368">
        <v>870304101</v>
      </c>
      <c r="C4368" t="s">
        <v>2905</v>
      </c>
      <c r="D4368">
        <v>0</v>
      </c>
      <c r="E4368">
        <v>0</v>
      </c>
    </row>
    <row r="4369" spans="2:5" x14ac:dyDescent="0.25">
      <c r="B4369">
        <v>870304102</v>
      </c>
      <c r="C4369" t="s">
        <v>2906</v>
      </c>
      <c r="D4369">
        <v>0</v>
      </c>
      <c r="E4369">
        <v>0</v>
      </c>
    </row>
    <row r="4370" spans="2:5" x14ac:dyDescent="0.25">
      <c r="B4370">
        <v>8703042</v>
      </c>
      <c r="C4370" t="s">
        <v>1175</v>
      </c>
      <c r="D4370">
        <v>2430</v>
      </c>
      <c r="E4370">
        <v>30</v>
      </c>
    </row>
    <row r="4371" spans="2:5" x14ac:dyDescent="0.25">
      <c r="B4371">
        <v>8703045</v>
      </c>
      <c r="C4371" t="s">
        <v>1179</v>
      </c>
      <c r="D4371">
        <v>2940</v>
      </c>
      <c r="E4371">
        <v>0</v>
      </c>
    </row>
    <row r="4372" spans="2:5" x14ac:dyDescent="0.25">
      <c r="B4372">
        <v>8703046</v>
      </c>
      <c r="C4372" t="s">
        <v>1252</v>
      </c>
      <c r="D4372">
        <v>810</v>
      </c>
      <c r="E4372">
        <v>2</v>
      </c>
    </row>
    <row r="4373" spans="2:5" x14ac:dyDescent="0.25">
      <c r="B4373">
        <v>8703047</v>
      </c>
      <c r="C4373" t="s">
        <v>1370</v>
      </c>
      <c r="D4373">
        <v>2457.21</v>
      </c>
      <c r="E4373">
        <v>31</v>
      </c>
    </row>
    <row r="4374" spans="2:5" x14ac:dyDescent="0.25">
      <c r="B4374">
        <v>8703051</v>
      </c>
      <c r="C4374" t="s">
        <v>1174</v>
      </c>
      <c r="D4374">
        <v>3150</v>
      </c>
      <c r="E4374">
        <v>10</v>
      </c>
    </row>
    <row r="4375" spans="2:5" x14ac:dyDescent="0.25">
      <c r="B4375">
        <v>8703052</v>
      </c>
      <c r="C4375" t="s">
        <v>1253</v>
      </c>
      <c r="D4375">
        <v>2520</v>
      </c>
      <c r="E4375">
        <v>0</v>
      </c>
    </row>
    <row r="4376" spans="2:5" x14ac:dyDescent="0.25">
      <c r="B4376">
        <v>8703053</v>
      </c>
      <c r="C4376" t="s">
        <v>1254</v>
      </c>
      <c r="D4376">
        <v>1980</v>
      </c>
      <c r="E4376">
        <v>0</v>
      </c>
    </row>
    <row r="4377" spans="2:5" x14ac:dyDescent="0.25">
      <c r="B4377" t="s">
        <v>1859</v>
      </c>
      <c r="C4377" t="s">
        <v>1859</v>
      </c>
      <c r="D4377">
        <v>0</v>
      </c>
      <c r="E4377">
        <v>0</v>
      </c>
    </row>
    <row r="4378" spans="2:5" x14ac:dyDescent="0.25">
      <c r="B4378">
        <v>8703062</v>
      </c>
      <c r="C4378" t="s">
        <v>2907</v>
      </c>
      <c r="D4378">
        <v>0</v>
      </c>
      <c r="E4378">
        <v>0</v>
      </c>
    </row>
    <row r="4379" spans="2:5" x14ac:dyDescent="0.25">
      <c r="B4379" t="s">
        <v>1859</v>
      </c>
      <c r="C4379" t="s">
        <v>1859</v>
      </c>
      <c r="D4379">
        <v>0</v>
      </c>
      <c r="E4379">
        <v>0</v>
      </c>
    </row>
    <row r="4380" spans="2:5" x14ac:dyDescent="0.25">
      <c r="B4380">
        <v>8703090</v>
      </c>
      <c r="C4380" t="s">
        <v>2908</v>
      </c>
      <c r="D4380">
        <v>0</v>
      </c>
      <c r="E4380">
        <v>0</v>
      </c>
    </row>
    <row r="4381" spans="2:5" x14ac:dyDescent="0.25">
      <c r="B4381" t="s">
        <v>1859</v>
      </c>
      <c r="C4381" t="s">
        <v>1859</v>
      </c>
      <c r="D4381">
        <v>0</v>
      </c>
      <c r="E4381">
        <v>0</v>
      </c>
    </row>
    <row r="4382" spans="2:5" x14ac:dyDescent="0.25">
      <c r="B4382">
        <v>8703094</v>
      </c>
      <c r="C4382" t="s">
        <v>2909</v>
      </c>
      <c r="D4382">
        <v>0</v>
      </c>
      <c r="E4382">
        <v>0</v>
      </c>
    </row>
    <row r="4383" spans="2:5" x14ac:dyDescent="0.25">
      <c r="B4383">
        <v>8703097</v>
      </c>
      <c r="C4383" t="s">
        <v>1796</v>
      </c>
      <c r="D4383">
        <v>699.22</v>
      </c>
      <c r="E4383">
        <v>0</v>
      </c>
    </row>
    <row r="4384" spans="2:5" x14ac:dyDescent="0.25">
      <c r="B4384">
        <v>8703099</v>
      </c>
      <c r="C4384" t="s">
        <v>964</v>
      </c>
      <c r="D4384">
        <v>4300</v>
      </c>
      <c r="E4384">
        <v>1</v>
      </c>
    </row>
    <row r="4385" spans="2:5" x14ac:dyDescent="0.25">
      <c r="B4385" t="s">
        <v>1859</v>
      </c>
      <c r="C4385" t="s">
        <v>1859</v>
      </c>
      <c r="D4385">
        <v>0</v>
      </c>
      <c r="E4385">
        <v>0</v>
      </c>
    </row>
    <row r="4386" spans="2:5" x14ac:dyDescent="0.25">
      <c r="B4386">
        <v>8703100</v>
      </c>
      <c r="C4386" t="s">
        <v>2910</v>
      </c>
      <c r="D4386">
        <v>0</v>
      </c>
      <c r="E4386">
        <v>0</v>
      </c>
    </row>
    <row r="4387" spans="2:5" x14ac:dyDescent="0.25">
      <c r="B4387">
        <v>8703101</v>
      </c>
      <c r="C4387" t="s">
        <v>1035</v>
      </c>
      <c r="D4387">
        <v>1300</v>
      </c>
      <c r="E4387">
        <v>0</v>
      </c>
    </row>
    <row r="4388" spans="2:5" x14ac:dyDescent="0.25">
      <c r="B4388">
        <v>8703102</v>
      </c>
      <c r="C4388" t="s">
        <v>1797</v>
      </c>
      <c r="D4388">
        <v>1700</v>
      </c>
      <c r="E4388">
        <v>16</v>
      </c>
    </row>
    <row r="4389" spans="2:5" x14ac:dyDescent="0.25">
      <c r="B4389">
        <v>8703103</v>
      </c>
      <c r="C4389" t="s">
        <v>609</v>
      </c>
      <c r="D4389">
        <v>2860.64</v>
      </c>
      <c r="E4389">
        <v>0</v>
      </c>
    </row>
    <row r="4390" spans="2:5" x14ac:dyDescent="0.25">
      <c r="B4390">
        <v>8703104</v>
      </c>
      <c r="C4390" t="s">
        <v>1285</v>
      </c>
      <c r="D4390">
        <v>2779.39</v>
      </c>
      <c r="E4390">
        <v>0</v>
      </c>
    </row>
    <row r="4391" spans="2:5" x14ac:dyDescent="0.25">
      <c r="B4391">
        <v>8703105</v>
      </c>
      <c r="C4391" t="s">
        <v>1798</v>
      </c>
      <c r="D4391">
        <v>4544.3500000000004</v>
      </c>
      <c r="E4391">
        <v>0</v>
      </c>
    </row>
    <row r="4392" spans="2:5" x14ac:dyDescent="0.25">
      <c r="B4392">
        <v>8703106</v>
      </c>
      <c r="C4392" t="s">
        <v>613</v>
      </c>
      <c r="D4392">
        <v>4544.3500000000004</v>
      </c>
      <c r="E4392">
        <v>0</v>
      </c>
    </row>
    <row r="4393" spans="2:5" x14ac:dyDescent="0.25">
      <c r="B4393">
        <v>8703107</v>
      </c>
      <c r="C4393" t="s">
        <v>614</v>
      </c>
      <c r="D4393">
        <v>4544.3500000000004</v>
      </c>
      <c r="E4393">
        <v>0</v>
      </c>
    </row>
    <row r="4394" spans="2:5" x14ac:dyDescent="0.25">
      <c r="B4394">
        <v>8703108</v>
      </c>
      <c r="C4394" t="s">
        <v>1288</v>
      </c>
      <c r="D4394">
        <v>3025.39</v>
      </c>
      <c r="E4394">
        <v>0</v>
      </c>
    </row>
    <row r="4395" spans="2:5" x14ac:dyDescent="0.25">
      <c r="B4395">
        <v>8703109</v>
      </c>
      <c r="C4395" t="s">
        <v>605</v>
      </c>
      <c r="D4395">
        <v>2860.64</v>
      </c>
      <c r="E4395">
        <v>1</v>
      </c>
    </row>
    <row r="4396" spans="2:5" x14ac:dyDescent="0.25">
      <c r="B4396">
        <v>8703110</v>
      </c>
      <c r="C4396" t="s">
        <v>1021</v>
      </c>
      <c r="D4396">
        <v>1716.98</v>
      </c>
      <c r="E4396">
        <v>10</v>
      </c>
    </row>
    <row r="4397" spans="2:5" x14ac:dyDescent="0.25">
      <c r="B4397">
        <v>8703111</v>
      </c>
      <c r="C4397" t="s">
        <v>1799</v>
      </c>
      <c r="D4397">
        <v>4354.79</v>
      </c>
      <c r="E4397">
        <v>1</v>
      </c>
    </row>
    <row r="4398" spans="2:5" x14ac:dyDescent="0.25">
      <c r="B4398">
        <v>8703112</v>
      </c>
      <c r="C4398" t="s">
        <v>1800</v>
      </c>
      <c r="D4398">
        <v>7247.9</v>
      </c>
      <c r="E4398">
        <v>0</v>
      </c>
    </row>
    <row r="4399" spans="2:5" x14ac:dyDescent="0.25">
      <c r="B4399">
        <v>8703113</v>
      </c>
      <c r="C4399" t="s">
        <v>952</v>
      </c>
      <c r="D4399">
        <v>7247.9</v>
      </c>
      <c r="E4399">
        <v>0</v>
      </c>
    </row>
    <row r="4400" spans="2:5" x14ac:dyDescent="0.25">
      <c r="B4400" t="s">
        <v>1859</v>
      </c>
      <c r="C4400" t="s">
        <v>1859</v>
      </c>
      <c r="D4400">
        <v>0</v>
      </c>
      <c r="E4400">
        <v>0</v>
      </c>
    </row>
    <row r="4401" spans="2:5" x14ac:dyDescent="0.25">
      <c r="B4401">
        <v>8703114</v>
      </c>
      <c r="C4401" t="s">
        <v>2911</v>
      </c>
      <c r="D4401">
        <v>0</v>
      </c>
      <c r="E4401">
        <v>0</v>
      </c>
    </row>
    <row r="4402" spans="2:5" x14ac:dyDescent="0.25">
      <c r="B4402" t="s">
        <v>1859</v>
      </c>
      <c r="C4402" t="s">
        <v>1859</v>
      </c>
      <c r="D4402">
        <v>0</v>
      </c>
      <c r="E4402">
        <v>0</v>
      </c>
    </row>
    <row r="4403" spans="2:5" x14ac:dyDescent="0.25">
      <c r="B4403">
        <v>8703115</v>
      </c>
      <c r="C4403" t="s">
        <v>2912</v>
      </c>
      <c r="D4403">
        <v>0</v>
      </c>
      <c r="E4403">
        <v>0</v>
      </c>
    </row>
    <row r="4404" spans="2:5" x14ac:dyDescent="0.25">
      <c r="B4404">
        <v>8703116</v>
      </c>
      <c r="C4404" t="s">
        <v>606</v>
      </c>
      <c r="D4404">
        <v>2860.64</v>
      </c>
      <c r="E4404">
        <v>1</v>
      </c>
    </row>
    <row r="4405" spans="2:5" x14ac:dyDescent="0.25">
      <c r="B4405">
        <v>8703117</v>
      </c>
      <c r="C4405" t="s">
        <v>607</v>
      </c>
      <c r="D4405">
        <v>2860.64</v>
      </c>
      <c r="E4405">
        <v>2</v>
      </c>
    </row>
    <row r="4406" spans="2:5" x14ac:dyDescent="0.25">
      <c r="B4406">
        <v>8703118</v>
      </c>
      <c r="C4406" t="s">
        <v>608</v>
      </c>
      <c r="D4406">
        <v>2860.64</v>
      </c>
      <c r="E4406">
        <v>3</v>
      </c>
    </row>
    <row r="4407" spans="2:5" x14ac:dyDescent="0.25">
      <c r="B4407">
        <v>8703119</v>
      </c>
      <c r="C4407" t="s">
        <v>610</v>
      </c>
      <c r="D4407">
        <v>4088.06</v>
      </c>
      <c r="E4407">
        <v>1</v>
      </c>
    </row>
    <row r="4408" spans="2:5" x14ac:dyDescent="0.25">
      <c r="B4408" t="s">
        <v>1859</v>
      </c>
      <c r="C4408" t="s">
        <v>1859</v>
      </c>
      <c r="D4408">
        <v>0</v>
      </c>
      <c r="E4408">
        <v>0</v>
      </c>
    </row>
    <row r="4409" spans="2:5" x14ac:dyDescent="0.25">
      <c r="B4409">
        <v>8703120</v>
      </c>
      <c r="C4409" t="s">
        <v>2913</v>
      </c>
      <c r="D4409">
        <v>0</v>
      </c>
      <c r="E4409">
        <v>0</v>
      </c>
    </row>
    <row r="4410" spans="2:5" x14ac:dyDescent="0.25">
      <c r="B4410" t="s">
        <v>1859</v>
      </c>
      <c r="C4410" t="s">
        <v>1859</v>
      </c>
      <c r="D4410">
        <v>0</v>
      </c>
      <c r="E4410">
        <v>0</v>
      </c>
    </row>
    <row r="4411" spans="2:5" x14ac:dyDescent="0.25">
      <c r="B4411">
        <v>8703121</v>
      </c>
      <c r="C4411" t="s">
        <v>2914</v>
      </c>
      <c r="D4411">
        <v>0</v>
      </c>
      <c r="E4411">
        <v>0</v>
      </c>
    </row>
    <row r="4412" spans="2:5" x14ac:dyDescent="0.25">
      <c r="B4412">
        <v>8703122</v>
      </c>
      <c r="C4412" t="s">
        <v>1801</v>
      </c>
      <c r="D4412">
        <v>5733.06</v>
      </c>
      <c r="E4412">
        <v>0</v>
      </c>
    </row>
    <row r="4413" spans="2:5" x14ac:dyDescent="0.25">
      <c r="B4413">
        <v>8703128</v>
      </c>
      <c r="C4413" t="s">
        <v>615</v>
      </c>
      <c r="D4413">
        <v>6121.07</v>
      </c>
      <c r="E4413">
        <v>6</v>
      </c>
    </row>
    <row r="4414" spans="2:5" x14ac:dyDescent="0.25">
      <c r="B4414" t="s">
        <v>1859</v>
      </c>
      <c r="C4414" t="s">
        <v>1859</v>
      </c>
      <c r="D4414">
        <v>0</v>
      </c>
      <c r="E4414">
        <v>0</v>
      </c>
    </row>
    <row r="4415" spans="2:5" x14ac:dyDescent="0.25">
      <c r="B4415">
        <v>8703135</v>
      </c>
      <c r="C4415" t="s">
        <v>2915</v>
      </c>
      <c r="D4415">
        <v>0</v>
      </c>
      <c r="E4415">
        <v>0</v>
      </c>
    </row>
    <row r="4416" spans="2:5" x14ac:dyDescent="0.25">
      <c r="B4416" t="s">
        <v>1859</v>
      </c>
      <c r="C4416" t="s">
        <v>1859</v>
      </c>
      <c r="D4416">
        <v>0</v>
      </c>
      <c r="E4416">
        <v>0</v>
      </c>
    </row>
    <row r="4417" spans="2:5" x14ac:dyDescent="0.25">
      <c r="B4417">
        <v>8703138</v>
      </c>
      <c r="C4417" t="s">
        <v>2916</v>
      </c>
      <c r="D4417">
        <v>0</v>
      </c>
      <c r="E4417">
        <v>0</v>
      </c>
    </row>
    <row r="4418" spans="2:5" x14ac:dyDescent="0.25">
      <c r="B4418">
        <v>8703140</v>
      </c>
      <c r="C4418" t="s">
        <v>1060</v>
      </c>
      <c r="D4418">
        <v>2900.59</v>
      </c>
      <c r="E4418">
        <v>1</v>
      </c>
    </row>
    <row r="4419" spans="2:5" x14ac:dyDescent="0.25">
      <c r="B4419">
        <v>8703150</v>
      </c>
      <c r="C4419" t="s">
        <v>1372</v>
      </c>
      <c r="D4419">
        <v>2700</v>
      </c>
      <c r="E4419">
        <v>17</v>
      </c>
    </row>
    <row r="4420" spans="2:5" x14ac:dyDescent="0.25">
      <c r="B4420">
        <v>8703151</v>
      </c>
      <c r="C4420" t="s">
        <v>1371</v>
      </c>
      <c r="D4420">
        <v>2700</v>
      </c>
      <c r="E4420">
        <v>8</v>
      </c>
    </row>
    <row r="4421" spans="2:5" x14ac:dyDescent="0.25">
      <c r="B4421">
        <v>8703152</v>
      </c>
      <c r="C4421" t="s">
        <v>1373</v>
      </c>
      <c r="D4421">
        <v>2700</v>
      </c>
      <c r="E4421">
        <v>6</v>
      </c>
    </row>
    <row r="4422" spans="2:5" x14ac:dyDescent="0.25">
      <c r="B4422">
        <v>8703153</v>
      </c>
      <c r="C4422" t="s">
        <v>1802</v>
      </c>
      <c r="D4422">
        <v>2700</v>
      </c>
      <c r="E4422">
        <v>1</v>
      </c>
    </row>
    <row r="4423" spans="2:5" x14ac:dyDescent="0.25">
      <c r="B4423">
        <v>8703155</v>
      </c>
      <c r="C4423" t="s">
        <v>612</v>
      </c>
      <c r="D4423">
        <v>4544.3500000000004</v>
      </c>
      <c r="E4423">
        <v>0</v>
      </c>
    </row>
    <row r="4424" spans="2:5" x14ac:dyDescent="0.25">
      <c r="B4424">
        <v>8703157</v>
      </c>
      <c r="C4424" t="s">
        <v>611</v>
      </c>
      <c r="D4424">
        <v>4544.3500000000004</v>
      </c>
      <c r="E4424">
        <v>4</v>
      </c>
    </row>
    <row r="4425" spans="2:5" x14ac:dyDescent="0.25">
      <c r="B4425" t="s">
        <v>1859</v>
      </c>
      <c r="C4425" t="s">
        <v>1859</v>
      </c>
      <c r="D4425">
        <v>0</v>
      </c>
      <c r="E4425">
        <v>0</v>
      </c>
    </row>
    <row r="4426" spans="2:5" x14ac:dyDescent="0.25">
      <c r="B4426">
        <v>8703158</v>
      </c>
      <c r="C4426" t="s">
        <v>2917</v>
      </c>
      <c r="D4426">
        <v>0</v>
      </c>
      <c r="E4426">
        <v>0</v>
      </c>
    </row>
    <row r="4427" spans="2:5" x14ac:dyDescent="0.25">
      <c r="B4427">
        <v>8703162</v>
      </c>
      <c r="C4427" t="s">
        <v>1026</v>
      </c>
      <c r="D4427">
        <v>700</v>
      </c>
      <c r="E4427">
        <v>5</v>
      </c>
    </row>
    <row r="4428" spans="2:5" x14ac:dyDescent="0.25">
      <c r="B4428">
        <v>8703197</v>
      </c>
      <c r="C4428" t="s">
        <v>1015</v>
      </c>
      <c r="D4428">
        <v>1682.19</v>
      </c>
      <c r="E4428">
        <v>114</v>
      </c>
    </row>
    <row r="4429" spans="2:5" x14ac:dyDescent="0.25">
      <c r="B4429">
        <v>8703200</v>
      </c>
      <c r="C4429" t="s">
        <v>1036</v>
      </c>
      <c r="D4429">
        <v>2419.9899999999998</v>
      </c>
      <c r="E4429">
        <v>150</v>
      </c>
    </row>
    <row r="4430" spans="2:5" x14ac:dyDescent="0.25">
      <c r="B4430" t="s">
        <v>1859</v>
      </c>
      <c r="C4430" t="s">
        <v>1859</v>
      </c>
      <c r="D4430">
        <v>0</v>
      </c>
      <c r="E4430">
        <v>0</v>
      </c>
    </row>
    <row r="4431" spans="2:5" x14ac:dyDescent="0.25">
      <c r="B4431">
        <v>8703201</v>
      </c>
      <c r="C4431" t="s">
        <v>2918</v>
      </c>
      <c r="D4431">
        <v>0</v>
      </c>
      <c r="E4431">
        <v>0</v>
      </c>
    </row>
    <row r="4432" spans="2:5" x14ac:dyDescent="0.25">
      <c r="B4432">
        <v>8703203</v>
      </c>
      <c r="C4432" t="s">
        <v>603</v>
      </c>
      <c r="D4432">
        <v>1118.01</v>
      </c>
      <c r="E4432">
        <v>0</v>
      </c>
    </row>
    <row r="4433" spans="2:5" x14ac:dyDescent="0.25">
      <c r="B4433">
        <v>8703205</v>
      </c>
      <c r="C4433" t="s">
        <v>1189</v>
      </c>
      <c r="D4433">
        <v>12990</v>
      </c>
      <c r="E4433">
        <v>28</v>
      </c>
    </row>
    <row r="4434" spans="2:5" x14ac:dyDescent="0.25">
      <c r="B4434">
        <v>8703206</v>
      </c>
      <c r="C4434" t="s">
        <v>1190</v>
      </c>
      <c r="D4434">
        <v>12990</v>
      </c>
      <c r="E4434">
        <v>19</v>
      </c>
    </row>
    <row r="4435" spans="2:5" x14ac:dyDescent="0.25">
      <c r="B4435">
        <v>8703207</v>
      </c>
      <c r="C4435" t="s">
        <v>1191</v>
      </c>
      <c r="D4435">
        <v>12990</v>
      </c>
      <c r="E4435">
        <v>12</v>
      </c>
    </row>
    <row r="4436" spans="2:5" x14ac:dyDescent="0.25">
      <c r="B4436">
        <v>8703208</v>
      </c>
      <c r="C4436" t="s">
        <v>1188</v>
      </c>
      <c r="D4436">
        <v>12990</v>
      </c>
      <c r="E4436">
        <v>38</v>
      </c>
    </row>
    <row r="4437" spans="2:5" x14ac:dyDescent="0.25">
      <c r="B4437" t="s">
        <v>1859</v>
      </c>
      <c r="C4437" t="s">
        <v>1859</v>
      </c>
      <c r="D4437">
        <v>0</v>
      </c>
      <c r="E4437">
        <v>0</v>
      </c>
    </row>
    <row r="4438" spans="2:5" x14ac:dyDescent="0.25">
      <c r="B4438">
        <v>8703237</v>
      </c>
      <c r="C4438" t="s">
        <v>2919</v>
      </c>
      <c r="D4438">
        <v>0</v>
      </c>
      <c r="E4438">
        <v>0</v>
      </c>
    </row>
    <row r="4439" spans="2:5" x14ac:dyDescent="0.25">
      <c r="B4439">
        <v>8703238</v>
      </c>
      <c r="C4439" t="s">
        <v>1206</v>
      </c>
      <c r="D4439">
        <v>3289</v>
      </c>
      <c r="E4439">
        <v>0</v>
      </c>
    </row>
    <row r="4440" spans="2:5" x14ac:dyDescent="0.25">
      <c r="B4440">
        <v>8703240</v>
      </c>
      <c r="C4440" t="s">
        <v>1207</v>
      </c>
      <c r="D4440">
        <v>3289</v>
      </c>
      <c r="E4440">
        <v>12</v>
      </c>
    </row>
    <row r="4441" spans="2:5" x14ac:dyDescent="0.25">
      <c r="B4441">
        <v>8703241</v>
      </c>
      <c r="C4441" t="s">
        <v>1210</v>
      </c>
      <c r="D4441">
        <v>3289</v>
      </c>
      <c r="E4441">
        <v>16</v>
      </c>
    </row>
    <row r="4442" spans="2:5" x14ac:dyDescent="0.25">
      <c r="B4442">
        <v>8703242</v>
      </c>
      <c r="C4442" t="s">
        <v>1211</v>
      </c>
      <c r="D4442">
        <v>3289</v>
      </c>
      <c r="E4442">
        <v>8</v>
      </c>
    </row>
    <row r="4443" spans="2:5" x14ac:dyDescent="0.25">
      <c r="B4443">
        <v>8703244</v>
      </c>
      <c r="C4443" t="s">
        <v>1163</v>
      </c>
      <c r="D4443">
        <v>3289</v>
      </c>
      <c r="E4443">
        <v>1</v>
      </c>
    </row>
    <row r="4444" spans="2:5" x14ac:dyDescent="0.25">
      <c r="B4444">
        <v>8703245</v>
      </c>
      <c r="C4444" t="s">
        <v>1209</v>
      </c>
      <c r="D4444">
        <v>3289</v>
      </c>
      <c r="E4444">
        <v>6</v>
      </c>
    </row>
    <row r="4445" spans="2:5" x14ac:dyDescent="0.25">
      <c r="B4445">
        <v>8703247</v>
      </c>
      <c r="C4445" t="s">
        <v>1208</v>
      </c>
      <c r="D4445">
        <v>3289</v>
      </c>
      <c r="E4445">
        <v>0</v>
      </c>
    </row>
    <row r="4446" spans="2:5" x14ac:dyDescent="0.25">
      <c r="B4446" t="s">
        <v>1859</v>
      </c>
      <c r="C4446" t="s">
        <v>1859</v>
      </c>
      <c r="D4446">
        <v>0</v>
      </c>
      <c r="E4446">
        <v>0</v>
      </c>
    </row>
    <row r="4447" spans="2:5" x14ac:dyDescent="0.25">
      <c r="B4447">
        <v>8703249</v>
      </c>
      <c r="C4447" t="s">
        <v>2920</v>
      </c>
      <c r="D4447">
        <v>0</v>
      </c>
      <c r="E4447">
        <v>0</v>
      </c>
    </row>
    <row r="4448" spans="2:5" x14ac:dyDescent="0.25">
      <c r="B4448">
        <v>8703250</v>
      </c>
      <c r="C4448" t="s">
        <v>1034</v>
      </c>
      <c r="D4448">
        <v>3061.29</v>
      </c>
      <c r="E4448">
        <v>90</v>
      </c>
    </row>
    <row r="4449" spans="2:5" x14ac:dyDescent="0.25">
      <c r="B4449" t="s">
        <v>1859</v>
      </c>
      <c r="C4449" t="s">
        <v>1859</v>
      </c>
      <c r="D4449">
        <v>0</v>
      </c>
      <c r="E4449">
        <v>0</v>
      </c>
    </row>
    <row r="4450" spans="2:5" x14ac:dyDescent="0.25">
      <c r="B4450">
        <v>8703251</v>
      </c>
      <c r="C4450" t="s">
        <v>2921</v>
      </c>
      <c r="D4450">
        <v>0</v>
      </c>
      <c r="E4450">
        <v>0</v>
      </c>
    </row>
    <row r="4451" spans="2:5" x14ac:dyDescent="0.25">
      <c r="B4451">
        <v>8703252</v>
      </c>
      <c r="C4451" t="s">
        <v>1257</v>
      </c>
      <c r="D4451">
        <v>12990</v>
      </c>
      <c r="E4451">
        <v>0</v>
      </c>
    </row>
    <row r="4452" spans="2:5" x14ac:dyDescent="0.25">
      <c r="B4452" t="s">
        <v>1859</v>
      </c>
      <c r="C4452" t="s">
        <v>1859</v>
      </c>
      <c r="D4452">
        <v>0</v>
      </c>
      <c r="E4452">
        <v>0</v>
      </c>
    </row>
    <row r="4453" spans="2:5" x14ac:dyDescent="0.25">
      <c r="B4453">
        <v>8703291</v>
      </c>
      <c r="C4453" t="s">
        <v>2922</v>
      </c>
      <c r="D4453">
        <v>0</v>
      </c>
      <c r="E4453">
        <v>0</v>
      </c>
    </row>
    <row r="4454" spans="2:5" x14ac:dyDescent="0.25">
      <c r="B4454">
        <v>8703300</v>
      </c>
      <c r="C4454" t="s">
        <v>1237</v>
      </c>
      <c r="D4454">
        <v>1391.5</v>
      </c>
      <c r="E4454">
        <v>59</v>
      </c>
    </row>
    <row r="4455" spans="2:5" x14ac:dyDescent="0.25">
      <c r="B4455" t="s">
        <v>1859</v>
      </c>
      <c r="C4455" t="s">
        <v>1859</v>
      </c>
      <c r="D4455">
        <v>0</v>
      </c>
      <c r="E4455">
        <v>0</v>
      </c>
    </row>
    <row r="4456" spans="2:5" x14ac:dyDescent="0.25">
      <c r="B4456">
        <v>8703349</v>
      </c>
      <c r="C4456" t="s">
        <v>2923</v>
      </c>
      <c r="D4456">
        <v>0</v>
      </c>
      <c r="E4456">
        <v>0</v>
      </c>
    </row>
    <row r="4457" spans="2:5" x14ac:dyDescent="0.25">
      <c r="B4457">
        <v>8703350</v>
      </c>
      <c r="C4457" t="s">
        <v>1198</v>
      </c>
      <c r="D4457">
        <v>2057</v>
      </c>
      <c r="E4457">
        <v>20</v>
      </c>
    </row>
    <row r="4458" spans="2:5" x14ac:dyDescent="0.25">
      <c r="B4458">
        <v>8703351</v>
      </c>
      <c r="C4458" t="s">
        <v>1205</v>
      </c>
      <c r="D4458">
        <v>2300</v>
      </c>
      <c r="E4458">
        <v>7</v>
      </c>
    </row>
    <row r="4459" spans="2:5" x14ac:dyDescent="0.25">
      <c r="B4459">
        <v>8703352</v>
      </c>
      <c r="C4459" t="s">
        <v>1201</v>
      </c>
      <c r="D4459">
        <v>1573</v>
      </c>
      <c r="E4459">
        <v>12</v>
      </c>
    </row>
    <row r="4460" spans="2:5" x14ac:dyDescent="0.25">
      <c r="B4460">
        <v>8703376</v>
      </c>
      <c r="C4460" t="s">
        <v>1020</v>
      </c>
      <c r="D4460">
        <v>1916.63</v>
      </c>
      <c r="E4460">
        <v>0</v>
      </c>
    </row>
    <row r="4461" spans="2:5" x14ac:dyDescent="0.25">
      <c r="B4461">
        <v>8703391</v>
      </c>
      <c r="C4461" t="s">
        <v>1803</v>
      </c>
      <c r="D4461">
        <v>1430</v>
      </c>
      <c r="E4461">
        <v>0</v>
      </c>
    </row>
    <row r="4462" spans="2:5" x14ac:dyDescent="0.25">
      <c r="B4462">
        <v>8703400</v>
      </c>
      <c r="C4462" t="s">
        <v>1176</v>
      </c>
      <c r="D4462">
        <v>3080</v>
      </c>
      <c r="E4462">
        <v>5</v>
      </c>
    </row>
    <row r="4463" spans="2:5" x14ac:dyDescent="0.25">
      <c r="B4463">
        <v>8703405</v>
      </c>
      <c r="C4463" t="s">
        <v>1177</v>
      </c>
      <c r="D4463">
        <v>5060</v>
      </c>
      <c r="E4463">
        <v>5</v>
      </c>
    </row>
    <row r="4464" spans="2:5" x14ac:dyDescent="0.25">
      <c r="B4464">
        <v>8703500</v>
      </c>
      <c r="C4464" t="s">
        <v>1229</v>
      </c>
      <c r="D4464">
        <v>838.52</v>
      </c>
      <c r="E4464">
        <v>48</v>
      </c>
    </row>
    <row r="4465" spans="2:5" x14ac:dyDescent="0.25">
      <c r="B4465">
        <v>8703501</v>
      </c>
      <c r="C4465" t="s">
        <v>1249</v>
      </c>
      <c r="D4465">
        <v>910.75</v>
      </c>
      <c r="E4465">
        <v>0</v>
      </c>
    </row>
    <row r="4466" spans="2:5" x14ac:dyDescent="0.25">
      <c r="B4466">
        <v>8703502</v>
      </c>
      <c r="C4466" t="s">
        <v>1248</v>
      </c>
      <c r="D4466">
        <v>765.31</v>
      </c>
      <c r="E4466">
        <v>2</v>
      </c>
    </row>
    <row r="4467" spans="2:5" x14ac:dyDescent="0.25">
      <c r="B4467">
        <v>8703503</v>
      </c>
      <c r="C4467" t="s">
        <v>1245</v>
      </c>
      <c r="D4467">
        <v>1020</v>
      </c>
      <c r="E4467">
        <v>9</v>
      </c>
    </row>
    <row r="4468" spans="2:5" x14ac:dyDescent="0.25">
      <c r="B4468">
        <v>8703504</v>
      </c>
      <c r="C4468" t="s">
        <v>1244</v>
      </c>
      <c r="D4468">
        <v>1800</v>
      </c>
      <c r="E4468">
        <v>46</v>
      </c>
    </row>
    <row r="4469" spans="2:5" x14ac:dyDescent="0.25">
      <c r="B4469">
        <v>8703505</v>
      </c>
      <c r="C4469" t="s">
        <v>1250</v>
      </c>
      <c r="D4469">
        <v>1573</v>
      </c>
      <c r="E4469">
        <v>5</v>
      </c>
    </row>
    <row r="4470" spans="2:5" x14ac:dyDescent="0.25">
      <c r="B4470">
        <v>8703506</v>
      </c>
      <c r="C4470" t="s">
        <v>1246</v>
      </c>
      <c r="D4470">
        <v>1573</v>
      </c>
      <c r="E4470">
        <v>20</v>
      </c>
    </row>
    <row r="4471" spans="2:5" x14ac:dyDescent="0.25">
      <c r="B4471">
        <v>8703507</v>
      </c>
      <c r="C4471" t="s">
        <v>1251</v>
      </c>
      <c r="D4471">
        <v>990</v>
      </c>
      <c r="E4471">
        <v>1</v>
      </c>
    </row>
    <row r="4472" spans="2:5" x14ac:dyDescent="0.25">
      <c r="B4472">
        <v>8703508</v>
      </c>
      <c r="C4472" t="s">
        <v>1235</v>
      </c>
      <c r="D4472">
        <v>849.7</v>
      </c>
      <c r="E4472">
        <v>0</v>
      </c>
    </row>
    <row r="4473" spans="2:5" x14ac:dyDescent="0.25">
      <c r="B4473">
        <v>8703509</v>
      </c>
      <c r="C4473" t="s">
        <v>1240</v>
      </c>
      <c r="D4473">
        <v>670.8</v>
      </c>
      <c r="E4473">
        <v>1</v>
      </c>
    </row>
    <row r="4474" spans="2:5" x14ac:dyDescent="0.25">
      <c r="B4474" t="s">
        <v>1859</v>
      </c>
      <c r="C4474" t="s">
        <v>1859</v>
      </c>
      <c r="D4474">
        <v>0</v>
      </c>
      <c r="E4474">
        <v>0</v>
      </c>
    </row>
    <row r="4475" spans="2:5" x14ac:dyDescent="0.25">
      <c r="B4475">
        <v>8703510</v>
      </c>
      <c r="C4475" t="s">
        <v>2924</v>
      </c>
      <c r="D4475">
        <v>0</v>
      </c>
      <c r="E4475">
        <v>0</v>
      </c>
    </row>
    <row r="4476" spans="2:5" x14ac:dyDescent="0.25">
      <c r="B4476">
        <v>8703513</v>
      </c>
      <c r="C4476" t="s">
        <v>1247</v>
      </c>
      <c r="D4476">
        <v>1089</v>
      </c>
      <c r="E4476">
        <v>22</v>
      </c>
    </row>
    <row r="4477" spans="2:5" x14ac:dyDescent="0.25">
      <c r="B4477">
        <v>8703517</v>
      </c>
      <c r="C4477" t="s">
        <v>2925</v>
      </c>
      <c r="D4477">
        <v>0</v>
      </c>
      <c r="E4477">
        <v>0</v>
      </c>
    </row>
    <row r="4478" spans="2:5" x14ac:dyDescent="0.25">
      <c r="B4478">
        <v>8703550</v>
      </c>
      <c r="C4478" t="s">
        <v>1222</v>
      </c>
      <c r="D4478">
        <v>1176.92</v>
      </c>
      <c r="E4478">
        <v>0</v>
      </c>
    </row>
    <row r="4479" spans="2:5" x14ac:dyDescent="0.25">
      <c r="B4479">
        <v>8703551</v>
      </c>
      <c r="C4479" t="s">
        <v>1167</v>
      </c>
      <c r="D4479">
        <v>1936</v>
      </c>
      <c r="E4479">
        <v>0</v>
      </c>
    </row>
    <row r="4480" spans="2:5" x14ac:dyDescent="0.25">
      <c r="B4480" t="s">
        <v>1859</v>
      </c>
      <c r="C4480" t="s">
        <v>1859</v>
      </c>
      <c r="D4480">
        <v>0</v>
      </c>
      <c r="E4480">
        <v>0</v>
      </c>
    </row>
    <row r="4481" spans="2:5" x14ac:dyDescent="0.25">
      <c r="B4481">
        <v>8703552</v>
      </c>
      <c r="C4481" t="s">
        <v>2926</v>
      </c>
      <c r="D4481">
        <v>0</v>
      </c>
      <c r="E4481">
        <v>0</v>
      </c>
    </row>
    <row r="4482" spans="2:5" x14ac:dyDescent="0.25">
      <c r="B4482">
        <v>8703553</v>
      </c>
      <c r="C4482" t="s">
        <v>1012</v>
      </c>
      <c r="D4482">
        <v>1453.42</v>
      </c>
      <c r="E4482">
        <v>0</v>
      </c>
    </row>
    <row r="4483" spans="2:5" x14ac:dyDescent="0.25">
      <c r="B4483">
        <v>8703555</v>
      </c>
      <c r="C4483" t="s">
        <v>1234</v>
      </c>
      <c r="D4483">
        <v>968</v>
      </c>
      <c r="E4483">
        <v>13</v>
      </c>
    </row>
    <row r="4484" spans="2:5" x14ac:dyDescent="0.25">
      <c r="B4484">
        <v>8703557</v>
      </c>
      <c r="C4484" t="s">
        <v>1156</v>
      </c>
      <c r="D4484">
        <v>1200</v>
      </c>
      <c r="E4484">
        <v>0</v>
      </c>
    </row>
    <row r="4485" spans="2:5" x14ac:dyDescent="0.25">
      <c r="B4485">
        <v>8703570</v>
      </c>
      <c r="C4485" t="s">
        <v>1162</v>
      </c>
      <c r="D4485">
        <v>600</v>
      </c>
      <c r="E4485">
        <v>246</v>
      </c>
    </row>
    <row r="4486" spans="2:5" x14ac:dyDescent="0.25">
      <c r="B4486">
        <v>8703573</v>
      </c>
      <c r="C4486" t="s">
        <v>1186</v>
      </c>
      <c r="D4486">
        <v>3400</v>
      </c>
      <c r="E4486">
        <v>145</v>
      </c>
    </row>
    <row r="4487" spans="2:5" x14ac:dyDescent="0.25">
      <c r="B4487">
        <v>8703599</v>
      </c>
      <c r="C4487" t="s">
        <v>1242</v>
      </c>
      <c r="D4487">
        <v>1530.64</v>
      </c>
      <c r="E4487">
        <v>1</v>
      </c>
    </row>
    <row r="4488" spans="2:5" x14ac:dyDescent="0.25">
      <c r="B4488">
        <v>8703600</v>
      </c>
      <c r="C4488" t="s">
        <v>1165</v>
      </c>
      <c r="D4488">
        <v>968</v>
      </c>
      <c r="E4488">
        <v>5</v>
      </c>
    </row>
    <row r="4489" spans="2:5" x14ac:dyDescent="0.25">
      <c r="B4489">
        <v>8703601</v>
      </c>
      <c r="C4489" t="s">
        <v>1223</v>
      </c>
      <c r="D4489">
        <v>850</v>
      </c>
      <c r="E4489">
        <v>15</v>
      </c>
    </row>
    <row r="4490" spans="2:5" x14ac:dyDescent="0.25">
      <c r="B4490">
        <v>8703604</v>
      </c>
      <c r="C4490" t="s">
        <v>1243</v>
      </c>
      <c r="D4490">
        <v>1900</v>
      </c>
      <c r="E4490">
        <v>7</v>
      </c>
    </row>
    <row r="4491" spans="2:5" x14ac:dyDescent="0.25">
      <c r="B4491">
        <v>8703607</v>
      </c>
      <c r="C4491" t="s">
        <v>1238</v>
      </c>
      <c r="D4491">
        <v>1089</v>
      </c>
      <c r="E4491">
        <v>3</v>
      </c>
    </row>
    <row r="4492" spans="2:5" x14ac:dyDescent="0.25">
      <c r="B4492">
        <v>8703608</v>
      </c>
      <c r="C4492" t="s">
        <v>1011</v>
      </c>
      <c r="D4492">
        <v>1950</v>
      </c>
      <c r="E4492">
        <v>4</v>
      </c>
    </row>
    <row r="4493" spans="2:5" x14ac:dyDescent="0.25">
      <c r="B4493">
        <v>8703611</v>
      </c>
      <c r="C4493" t="s">
        <v>1178</v>
      </c>
      <c r="D4493">
        <v>1069.93</v>
      </c>
      <c r="E4493">
        <v>0</v>
      </c>
    </row>
    <row r="4494" spans="2:5" x14ac:dyDescent="0.25">
      <c r="B4494">
        <v>8703612</v>
      </c>
      <c r="C4494" t="s">
        <v>1219</v>
      </c>
      <c r="D4494">
        <v>1470</v>
      </c>
      <c r="E4494">
        <v>3</v>
      </c>
    </row>
    <row r="4495" spans="2:5" x14ac:dyDescent="0.25">
      <c r="B4495">
        <v>8703613</v>
      </c>
      <c r="C4495" t="s">
        <v>617</v>
      </c>
      <c r="D4495">
        <v>916.86</v>
      </c>
      <c r="E4495">
        <v>15</v>
      </c>
    </row>
    <row r="4496" spans="2:5" x14ac:dyDescent="0.25">
      <c r="B4496">
        <v>8703615</v>
      </c>
      <c r="C4496" t="s">
        <v>1230</v>
      </c>
      <c r="D4496">
        <v>838.52</v>
      </c>
      <c r="E4496">
        <v>6</v>
      </c>
    </row>
    <row r="4497" spans="2:5" x14ac:dyDescent="0.25">
      <c r="B4497">
        <v>8703616</v>
      </c>
      <c r="C4497" t="s">
        <v>1027</v>
      </c>
      <c r="D4497">
        <v>1950</v>
      </c>
      <c r="E4497">
        <v>0</v>
      </c>
    </row>
    <row r="4498" spans="2:5" x14ac:dyDescent="0.25">
      <c r="B4498">
        <v>8703617</v>
      </c>
      <c r="C4498" t="s">
        <v>1030</v>
      </c>
      <c r="D4498">
        <v>2057</v>
      </c>
      <c r="E4498">
        <v>2</v>
      </c>
    </row>
    <row r="4499" spans="2:5" x14ac:dyDescent="0.25">
      <c r="B4499">
        <v>8703619</v>
      </c>
      <c r="C4499" t="s">
        <v>1233</v>
      </c>
      <c r="D4499">
        <v>838.52</v>
      </c>
      <c r="E4499">
        <v>18</v>
      </c>
    </row>
    <row r="4500" spans="2:5" x14ac:dyDescent="0.25">
      <c r="B4500">
        <v>8703620</v>
      </c>
      <c r="C4500" t="s">
        <v>1038</v>
      </c>
      <c r="D4500">
        <v>1950</v>
      </c>
      <c r="E4500">
        <v>0</v>
      </c>
    </row>
    <row r="4501" spans="2:5" x14ac:dyDescent="0.25">
      <c r="B4501">
        <v>8703621</v>
      </c>
      <c r="C4501" t="s">
        <v>1037</v>
      </c>
      <c r="D4501">
        <v>2250</v>
      </c>
      <c r="E4501">
        <v>14</v>
      </c>
    </row>
    <row r="4502" spans="2:5" x14ac:dyDescent="0.25">
      <c r="B4502">
        <v>8703630</v>
      </c>
      <c r="C4502" t="s">
        <v>1166</v>
      </c>
      <c r="D4502">
        <v>1069.93</v>
      </c>
      <c r="E4502">
        <v>0</v>
      </c>
    </row>
    <row r="4503" spans="2:5" x14ac:dyDescent="0.25">
      <c r="B4503">
        <v>8703641</v>
      </c>
      <c r="C4503" t="s">
        <v>1804</v>
      </c>
      <c r="D4503">
        <v>1477.4</v>
      </c>
      <c r="E4503">
        <v>1</v>
      </c>
    </row>
    <row r="4504" spans="2:5" x14ac:dyDescent="0.25">
      <c r="B4504">
        <v>8703656</v>
      </c>
      <c r="C4504" t="s">
        <v>1197</v>
      </c>
      <c r="D4504">
        <v>1200</v>
      </c>
      <c r="E4504">
        <v>53</v>
      </c>
    </row>
    <row r="4505" spans="2:5" x14ac:dyDescent="0.25">
      <c r="B4505">
        <v>8703658</v>
      </c>
      <c r="C4505" t="s">
        <v>1195</v>
      </c>
      <c r="D4505">
        <v>2400</v>
      </c>
      <c r="E4505">
        <v>72</v>
      </c>
    </row>
    <row r="4506" spans="2:5" x14ac:dyDescent="0.25">
      <c r="B4506">
        <v>8703660</v>
      </c>
      <c r="C4506" t="s">
        <v>2927</v>
      </c>
      <c r="D4506">
        <v>900</v>
      </c>
      <c r="E4506">
        <v>75</v>
      </c>
    </row>
    <row r="4507" spans="2:5" x14ac:dyDescent="0.25">
      <c r="B4507">
        <v>8703662</v>
      </c>
      <c r="C4507" t="s">
        <v>1196</v>
      </c>
      <c r="D4507">
        <v>1200</v>
      </c>
      <c r="E4507">
        <v>65</v>
      </c>
    </row>
    <row r="4508" spans="2:5" x14ac:dyDescent="0.25">
      <c r="B4508">
        <v>8703665</v>
      </c>
      <c r="C4508" t="s">
        <v>1215</v>
      </c>
      <c r="D4508">
        <v>2600</v>
      </c>
      <c r="E4508">
        <v>26</v>
      </c>
    </row>
    <row r="4509" spans="2:5" x14ac:dyDescent="0.25">
      <c r="B4509">
        <v>8703667</v>
      </c>
      <c r="C4509" t="s">
        <v>1194</v>
      </c>
      <c r="D4509">
        <v>2700</v>
      </c>
      <c r="E4509">
        <v>32</v>
      </c>
    </row>
    <row r="4510" spans="2:5" x14ac:dyDescent="0.25">
      <c r="B4510">
        <v>8703669</v>
      </c>
      <c r="C4510" t="s">
        <v>1212</v>
      </c>
      <c r="D4510">
        <v>2400</v>
      </c>
      <c r="E4510">
        <v>31</v>
      </c>
    </row>
    <row r="4511" spans="2:5" x14ac:dyDescent="0.25">
      <c r="B4511">
        <v>8703670</v>
      </c>
      <c r="C4511" t="s">
        <v>1033</v>
      </c>
      <c r="D4511">
        <v>1730.3</v>
      </c>
      <c r="E4511">
        <v>0</v>
      </c>
    </row>
    <row r="4512" spans="2:5" x14ac:dyDescent="0.25">
      <c r="B4512">
        <v>8703671</v>
      </c>
      <c r="C4512" t="s">
        <v>1216</v>
      </c>
      <c r="D4512">
        <v>3500</v>
      </c>
      <c r="E4512">
        <v>42</v>
      </c>
    </row>
    <row r="4513" spans="2:5" x14ac:dyDescent="0.25">
      <c r="B4513" t="s">
        <v>1859</v>
      </c>
      <c r="C4513" t="s">
        <v>1859</v>
      </c>
      <c r="D4513">
        <v>0</v>
      </c>
      <c r="E4513">
        <v>0</v>
      </c>
    </row>
    <row r="4514" spans="2:5" x14ac:dyDescent="0.25">
      <c r="B4514">
        <v>8703674</v>
      </c>
      <c r="C4514" t="s">
        <v>2928</v>
      </c>
      <c r="D4514">
        <v>0</v>
      </c>
      <c r="E4514">
        <v>0</v>
      </c>
    </row>
    <row r="4515" spans="2:5" x14ac:dyDescent="0.25">
      <c r="B4515" t="s">
        <v>1859</v>
      </c>
      <c r="C4515" t="s">
        <v>1859</v>
      </c>
      <c r="D4515">
        <v>0</v>
      </c>
      <c r="E4515">
        <v>0</v>
      </c>
    </row>
    <row r="4516" spans="2:5" x14ac:dyDescent="0.25">
      <c r="B4516">
        <v>8703677</v>
      </c>
      <c r="C4516" t="s">
        <v>2929</v>
      </c>
      <c r="D4516">
        <v>0</v>
      </c>
      <c r="E4516">
        <v>0</v>
      </c>
    </row>
    <row r="4517" spans="2:5" x14ac:dyDescent="0.25">
      <c r="B4517">
        <v>8703679</v>
      </c>
      <c r="C4517" t="s">
        <v>1204</v>
      </c>
      <c r="D4517">
        <v>1400</v>
      </c>
      <c r="E4517">
        <v>58</v>
      </c>
    </row>
    <row r="4518" spans="2:5" x14ac:dyDescent="0.25">
      <c r="B4518">
        <v>8703681</v>
      </c>
      <c r="C4518" t="s">
        <v>1060</v>
      </c>
      <c r="D4518">
        <v>1524.6</v>
      </c>
      <c r="E4518">
        <v>3</v>
      </c>
    </row>
    <row r="4519" spans="2:5" x14ac:dyDescent="0.25">
      <c r="B4519">
        <v>8703699</v>
      </c>
      <c r="C4519" t="s">
        <v>1010</v>
      </c>
      <c r="D4519">
        <v>2250</v>
      </c>
      <c r="E4519">
        <v>31</v>
      </c>
    </row>
    <row r="4520" spans="2:5" x14ac:dyDescent="0.25">
      <c r="B4520">
        <v>8703700</v>
      </c>
      <c r="C4520" t="s">
        <v>1170</v>
      </c>
      <c r="D4520">
        <v>750.02</v>
      </c>
      <c r="E4520">
        <v>1</v>
      </c>
    </row>
    <row r="4521" spans="2:5" x14ac:dyDescent="0.25">
      <c r="B4521">
        <v>8703702</v>
      </c>
      <c r="C4521" t="s">
        <v>1228</v>
      </c>
      <c r="D4521">
        <v>838.52</v>
      </c>
      <c r="E4521">
        <v>10</v>
      </c>
    </row>
    <row r="4522" spans="2:5" x14ac:dyDescent="0.25">
      <c r="B4522">
        <v>8703703</v>
      </c>
      <c r="C4522" t="s">
        <v>604</v>
      </c>
      <c r="D4522">
        <v>1224.52</v>
      </c>
      <c r="E4522">
        <v>23</v>
      </c>
    </row>
    <row r="4523" spans="2:5" x14ac:dyDescent="0.25">
      <c r="B4523" t="s">
        <v>1859</v>
      </c>
      <c r="C4523" t="s">
        <v>1859</v>
      </c>
      <c r="D4523">
        <v>0</v>
      </c>
      <c r="E4523">
        <v>0</v>
      </c>
    </row>
    <row r="4524" spans="2:5" x14ac:dyDescent="0.25">
      <c r="B4524">
        <v>8703704</v>
      </c>
      <c r="C4524" t="s">
        <v>2930</v>
      </c>
      <c r="D4524">
        <v>0</v>
      </c>
      <c r="E4524">
        <v>0</v>
      </c>
    </row>
    <row r="4525" spans="2:5" x14ac:dyDescent="0.25">
      <c r="B4525">
        <v>8703705</v>
      </c>
      <c r="C4525" t="s">
        <v>1236</v>
      </c>
      <c r="D4525">
        <v>587.62</v>
      </c>
      <c r="E4525">
        <v>0</v>
      </c>
    </row>
    <row r="4526" spans="2:5" x14ac:dyDescent="0.25">
      <c r="B4526">
        <v>8703706</v>
      </c>
      <c r="C4526" t="s">
        <v>1218</v>
      </c>
      <c r="D4526">
        <v>765.18</v>
      </c>
      <c r="E4526">
        <v>0</v>
      </c>
    </row>
    <row r="4527" spans="2:5" x14ac:dyDescent="0.25">
      <c r="B4527" t="s">
        <v>1859</v>
      </c>
      <c r="C4527" t="s">
        <v>1859</v>
      </c>
      <c r="D4527">
        <v>0</v>
      </c>
      <c r="E4527">
        <v>0</v>
      </c>
    </row>
    <row r="4528" spans="2:5" x14ac:dyDescent="0.25">
      <c r="B4528">
        <v>8703707</v>
      </c>
      <c r="C4528" t="s">
        <v>2931</v>
      </c>
      <c r="D4528">
        <v>0</v>
      </c>
      <c r="E4528">
        <v>0</v>
      </c>
    </row>
    <row r="4529" spans="2:5" x14ac:dyDescent="0.25">
      <c r="B4529" t="s">
        <v>1859</v>
      </c>
      <c r="C4529" t="s">
        <v>1859</v>
      </c>
      <c r="D4529">
        <v>0</v>
      </c>
      <c r="E4529">
        <v>0</v>
      </c>
    </row>
    <row r="4530" spans="2:5" x14ac:dyDescent="0.25">
      <c r="B4530">
        <v>8703735</v>
      </c>
      <c r="C4530" t="s">
        <v>1440</v>
      </c>
      <c r="D4530">
        <v>0</v>
      </c>
      <c r="E4530">
        <v>0</v>
      </c>
    </row>
    <row r="4531" spans="2:5" x14ac:dyDescent="0.25">
      <c r="B4531">
        <v>8703741</v>
      </c>
      <c r="C4531" t="s">
        <v>1180</v>
      </c>
      <c r="D4531">
        <v>2420</v>
      </c>
      <c r="E4531">
        <v>0</v>
      </c>
    </row>
    <row r="4532" spans="2:5" x14ac:dyDescent="0.25">
      <c r="B4532">
        <v>8703742</v>
      </c>
      <c r="C4532" t="s">
        <v>1181</v>
      </c>
      <c r="D4532">
        <v>2420</v>
      </c>
      <c r="E4532">
        <v>0</v>
      </c>
    </row>
    <row r="4533" spans="2:5" x14ac:dyDescent="0.25">
      <c r="B4533">
        <v>8703743</v>
      </c>
      <c r="C4533" t="s">
        <v>1182</v>
      </c>
      <c r="D4533">
        <v>2420</v>
      </c>
      <c r="E4533">
        <v>1</v>
      </c>
    </row>
    <row r="4534" spans="2:5" x14ac:dyDescent="0.25">
      <c r="B4534">
        <v>8703750</v>
      </c>
      <c r="C4534" t="s">
        <v>1227</v>
      </c>
      <c r="D4534">
        <v>587.62</v>
      </c>
      <c r="E4534">
        <v>4</v>
      </c>
    </row>
    <row r="4535" spans="2:5" x14ac:dyDescent="0.25">
      <c r="B4535" t="s">
        <v>1859</v>
      </c>
      <c r="C4535" t="s">
        <v>1859</v>
      </c>
      <c r="D4535">
        <v>0</v>
      </c>
      <c r="E4535">
        <v>0</v>
      </c>
    </row>
    <row r="4536" spans="2:5" x14ac:dyDescent="0.25">
      <c r="B4536">
        <v>8703800</v>
      </c>
      <c r="C4536" t="s">
        <v>2932</v>
      </c>
      <c r="D4536">
        <v>0</v>
      </c>
      <c r="E4536">
        <v>0</v>
      </c>
    </row>
    <row r="4537" spans="2:5" x14ac:dyDescent="0.25">
      <c r="B4537">
        <v>8703803</v>
      </c>
      <c r="C4537" t="s">
        <v>1217</v>
      </c>
      <c r="D4537">
        <v>612.25</v>
      </c>
      <c r="E4537">
        <v>0</v>
      </c>
    </row>
    <row r="4538" spans="2:5" x14ac:dyDescent="0.25">
      <c r="B4538">
        <v>8703810</v>
      </c>
      <c r="C4538" t="s">
        <v>1225</v>
      </c>
      <c r="D4538">
        <v>1118.03</v>
      </c>
      <c r="E4538">
        <v>17</v>
      </c>
    </row>
    <row r="4539" spans="2:5" x14ac:dyDescent="0.25">
      <c r="B4539">
        <v>8703811</v>
      </c>
      <c r="C4539" t="s">
        <v>1224</v>
      </c>
      <c r="D4539">
        <v>1277.75</v>
      </c>
      <c r="E4539">
        <v>10</v>
      </c>
    </row>
    <row r="4540" spans="2:5" x14ac:dyDescent="0.25">
      <c r="B4540">
        <v>8703812</v>
      </c>
      <c r="C4540" t="s">
        <v>1220</v>
      </c>
      <c r="D4540">
        <v>1118.03</v>
      </c>
      <c r="E4540">
        <v>55</v>
      </c>
    </row>
    <row r="4541" spans="2:5" x14ac:dyDescent="0.25">
      <c r="B4541">
        <v>8703841</v>
      </c>
      <c r="C4541" t="s">
        <v>1183</v>
      </c>
      <c r="D4541">
        <v>2420</v>
      </c>
      <c r="E4541">
        <v>0</v>
      </c>
    </row>
    <row r="4542" spans="2:5" x14ac:dyDescent="0.25">
      <c r="B4542">
        <v>8703842</v>
      </c>
      <c r="C4542" t="s">
        <v>1185</v>
      </c>
      <c r="D4542">
        <v>2420</v>
      </c>
      <c r="E4542">
        <v>0</v>
      </c>
    </row>
    <row r="4543" spans="2:5" x14ac:dyDescent="0.25">
      <c r="B4543">
        <v>8703843</v>
      </c>
      <c r="C4543" t="s">
        <v>1184</v>
      </c>
      <c r="D4543">
        <v>2420</v>
      </c>
      <c r="E4543">
        <v>0</v>
      </c>
    </row>
    <row r="4544" spans="2:5" x14ac:dyDescent="0.25">
      <c r="B4544" t="s">
        <v>1859</v>
      </c>
      <c r="C4544" t="s">
        <v>1859</v>
      </c>
      <c r="D4544">
        <v>0</v>
      </c>
      <c r="E4544">
        <v>0</v>
      </c>
    </row>
    <row r="4545" spans="2:5" x14ac:dyDescent="0.25">
      <c r="B4545">
        <v>8703861</v>
      </c>
      <c r="C4545" t="s">
        <v>2933</v>
      </c>
      <c r="D4545">
        <v>0</v>
      </c>
      <c r="E4545">
        <v>0</v>
      </c>
    </row>
    <row r="4546" spans="2:5" x14ac:dyDescent="0.25">
      <c r="B4546">
        <v>8703900</v>
      </c>
      <c r="C4546" t="s">
        <v>1231</v>
      </c>
      <c r="D4546">
        <v>938.34</v>
      </c>
      <c r="E4546">
        <v>15</v>
      </c>
    </row>
    <row r="4547" spans="2:5" x14ac:dyDescent="0.25">
      <c r="B4547">
        <v>8703901</v>
      </c>
      <c r="C4547" t="s">
        <v>1226</v>
      </c>
      <c r="D4547">
        <v>671.8</v>
      </c>
      <c r="E4547">
        <v>0</v>
      </c>
    </row>
    <row r="4548" spans="2:5" x14ac:dyDescent="0.25">
      <c r="B4548" t="s">
        <v>1859</v>
      </c>
      <c r="C4548" t="s">
        <v>1859</v>
      </c>
      <c r="D4548">
        <v>0</v>
      </c>
      <c r="E4548">
        <v>0</v>
      </c>
    </row>
    <row r="4549" spans="2:5" x14ac:dyDescent="0.25">
      <c r="B4549">
        <v>8703902</v>
      </c>
      <c r="C4549" t="s">
        <v>2934</v>
      </c>
      <c r="D4549">
        <v>0</v>
      </c>
      <c r="E4549">
        <v>0</v>
      </c>
    </row>
    <row r="4550" spans="2:5" x14ac:dyDescent="0.25">
      <c r="B4550">
        <v>8703905</v>
      </c>
      <c r="C4550" t="s">
        <v>1221</v>
      </c>
      <c r="D4550">
        <v>1008.55</v>
      </c>
      <c r="E4550">
        <v>0</v>
      </c>
    </row>
    <row r="4551" spans="2:5" x14ac:dyDescent="0.25">
      <c r="B4551">
        <v>8703925</v>
      </c>
      <c r="C4551" t="s">
        <v>1241</v>
      </c>
      <c r="D4551">
        <v>990</v>
      </c>
      <c r="E4551">
        <v>42</v>
      </c>
    </row>
    <row r="4552" spans="2:5" x14ac:dyDescent="0.25">
      <c r="B4552">
        <v>8703926</v>
      </c>
      <c r="C4552" t="s">
        <v>1239</v>
      </c>
      <c r="D4552">
        <v>990</v>
      </c>
      <c r="E4552">
        <v>47</v>
      </c>
    </row>
    <row r="4553" spans="2:5" x14ac:dyDescent="0.25">
      <c r="B4553">
        <v>8703950</v>
      </c>
      <c r="C4553" t="s">
        <v>1193</v>
      </c>
      <c r="D4553">
        <v>3600</v>
      </c>
      <c r="E4553">
        <v>15</v>
      </c>
    </row>
    <row r="4554" spans="2:5" x14ac:dyDescent="0.25">
      <c r="B4554">
        <v>8703952</v>
      </c>
      <c r="C4554" t="s">
        <v>1200</v>
      </c>
      <c r="D4554">
        <v>3600</v>
      </c>
      <c r="E4554">
        <v>0</v>
      </c>
    </row>
    <row r="4555" spans="2:5" x14ac:dyDescent="0.25">
      <c r="B4555">
        <v>8703954</v>
      </c>
      <c r="C4555" t="s">
        <v>1199</v>
      </c>
      <c r="D4555">
        <v>3600</v>
      </c>
      <c r="E4555">
        <v>0</v>
      </c>
    </row>
    <row r="4556" spans="2:5" x14ac:dyDescent="0.25">
      <c r="B4556">
        <v>8703955</v>
      </c>
      <c r="C4556" t="s">
        <v>1164</v>
      </c>
      <c r="D4556">
        <v>3600</v>
      </c>
      <c r="E4556">
        <v>7</v>
      </c>
    </row>
    <row r="4557" spans="2:5" x14ac:dyDescent="0.25">
      <c r="B4557">
        <v>8703956</v>
      </c>
      <c r="C4557" t="s">
        <v>1214</v>
      </c>
      <c r="D4557">
        <v>3600</v>
      </c>
      <c r="E4557">
        <v>4</v>
      </c>
    </row>
    <row r="4558" spans="2:5" x14ac:dyDescent="0.25">
      <c r="B4558">
        <v>8703958</v>
      </c>
      <c r="C4558" t="s">
        <v>1213</v>
      </c>
      <c r="D4558">
        <v>3600</v>
      </c>
      <c r="E4558">
        <v>0</v>
      </c>
    </row>
    <row r="4559" spans="2:5" x14ac:dyDescent="0.25">
      <c r="B4559">
        <v>8703959</v>
      </c>
      <c r="C4559" t="s">
        <v>1203</v>
      </c>
      <c r="D4559">
        <v>3600</v>
      </c>
      <c r="E4559">
        <v>3</v>
      </c>
    </row>
    <row r="4560" spans="2:5" x14ac:dyDescent="0.25">
      <c r="B4560">
        <v>8703960</v>
      </c>
      <c r="C4560" t="s">
        <v>1202</v>
      </c>
      <c r="D4560">
        <v>3600</v>
      </c>
      <c r="E4560">
        <v>0</v>
      </c>
    </row>
    <row r="4561" spans="2:5" x14ac:dyDescent="0.25">
      <c r="B4561">
        <v>8703961</v>
      </c>
      <c r="C4561" t="s">
        <v>1192</v>
      </c>
      <c r="D4561">
        <v>3146</v>
      </c>
      <c r="E4561">
        <v>0</v>
      </c>
    </row>
    <row r="4562" spans="2:5" x14ac:dyDescent="0.25">
      <c r="B4562">
        <v>8703962</v>
      </c>
      <c r="C4562" t="s">
        <v>1232</v>
      </c>
      <c r="D4562">
        <v>1008.55</v>
      </c>
      <c r="E4562">
        <v>47</v>
      </c>
    </row>
    <row r="4563" spans="2:5" x14ac:dyDescent="0.25">
      <c r="B4563">
        <v>8703987</v>
      </c>
      <c r="C4563" t="s">
        <v>1805</v>
      </c>
      <c r="D4563">
        <v>119.79</v>
      </c>
      <c r="E4563">
        <v>0</v>
      </c>
    </row>
    <row r="4564" spans="2:5" x14ac:dyDescent="0.25">
      <c r="B4564">
        <v>8705001</v>
      </c>
      <c r="C4564" t="s">
        <v>1277</v>
      </c>
      <c r="D4564">
        <v>519.08000000000004</v>
      </c>
      <c r="E4564">
        <v>0</v>
      </c>
    </row>
    <row r="4565" spans="2:5" x14ac:dyDescent="0.25">
      <c r="B4565">
        <v>8705002</v>
      </c>
      <c r="C4565" t="s">
        <v>1279</v>
      </c>
      <c r="D4565">
        <v>990</v>
      </c>
      <c r="E4565">
        <v>0</v>
      </c>
    </row>
    <row r="4566" spans="2:5" x14ac:dyDescent="0.25">
      <c r="B4566">
        <v>8705003</v>
      </c>
      <c r="C4566" t="s">
        <v>1312</v>
      </c>
      <c r="D4566">
        <v>1140</v>
      </c>
      <c r="E4566">
        <v>122</v>
      </c>
    </row>
    <row r="4567" spans="2:5" x14ac:dyDescent="0.25">
      <c r="B4567" t="s">
        <v>1859</v>
      </c>
      <c r="C4567" t="s">
        <v>1859</v>
      </c>
      <c r="D4567">
        <v>0</v>
      </c>
      <c r="E4567">
        <v>0</v>
      </c>
    </row>
    <row r="4568" spans="2:5" x14ac:dyDescent="0.25">
      <c r="B4568">
        <v>8705004</v>
      </c>
      <c r="C4568" t="s">
        <v>2935</v>
      </c>
      <c r="D4568">
        <v>0</v>
      </c>
      <c r="E4568">
        <v>0</v>
      </c>
    </row>
    <row r="4569" spans="2:5" x14ac:dyDescent="0.25">
      <c r="B4569" t="s">
        <v>1859</v>
      </c>
      <c r="C4569" t="s">
        <v>1859</v>
      </c>
      <c r="D4569">
        <v>0</v>
      </c>
      <c r="E4569">
        <v>0</v>
      </c>
    </row>
    <row r="4570" spans="2:5" x14ac:dyDescent="0.25">
      <c r="B4570">
        <v>8705005</v>
      </c>
      <c r="C4570" t="s">
        <v>2936</v>
      </c>
      <c r="D4570">
        <v>0</v>
      </c>
      <c r="E4570">
        <v>0</v>
      </c>
    </row>
    <row r="4571" spans="2:5" x14ac:dyDescent="0.25">
      <c r="B4571" t="s">
        <v>1859</v>
      </c>
      <c r="C4571" t="s">
        <v>1859</v>
      </c>
      <c r="D4571">
        <v>0</v>
      </c>
      <c r="E4571">
        <v>0</v>
      </c>
    </row>
    <row r="4572" spans="2:5" x14ac:dyDescent="0.25">
      <c r="B4572">
        <v>8705006</v>
      </c>
      <c r="C4572" t="s">
        <v>2937</v>
      </c>
      <c r="D4572">
        <v>0</v>
      </c>
      <c r="E4572">
        <v>0</v>
      </c>
    </row>
    <row r="4573" spans="2:5" x14ac:dyDescent="0.25">
      <c r="B4573" t="s">
        <v>1859</v>
      </c>
      <c r="C4573" t="s">
        <v>1859</v>
      </c>
      <c r="D4573">
        <v>0</v>
      </c>
      <c r="E4573">
        <v>0</v>
      </c>
    </row>
    <row r="4574" spans="2:5" x14ac:dyDescent="0.25">
      <c r="B4574">
        <v>8705007</v>
      </c>
      <c r="C4574" t="s">
        <v>2938</v>
      </c>
      <c r="D4574">
        <v>0</v>
      </c>
      <c r="E4574">
        <v>0</v>
      </c>
    </row>
    <row r="4575" spans="2:5" x14ac:dyDescent="0.25">
      <c r="B4575">
        <v>8705008</v>
      </c>
      <c r="C4575" t="s">
        <v>1806</v>
      </c>
      <c r="D4575">
        <v>1330.99</v>
      </c>
      <c r="E4575">
        <v>0</v>
      </c>
    </row>
    <row r="4576" spans="2:5" x14ac:dyDescent="0.25">
      <c r="B4576" t="s">
        <v>1859</v>
      </c>
      <c r="C4576" t="s">
        <v>1859</v>
      </c>
      <c r="D4576">
        <v>0</v>
      </c>
      <c r="E4576">
        <v>0</v>
      </c>
    </row>
    <row r="4577" spans="2:5" x14ac:dyDescent="0.25">
      <c r="B4577">
        <v>8705009</v>
      </c>
      <c r="C4577" t="s">
        <v>2939</v>
      </c>
      <c r="D4577">
        <v>0</v>
      </c>
      <c r="E4577">
        <v>0</v>
      </c>
    </row>
    <row r="4578" spans="2:5" x14ac:dyDescent="0.25">
      <c r="B4578" t="s">
        <v>1859</v>
      </c>
      <c r="C4578" t="s">
        <v>1859</v>
      </c>
      <c r="D4578">
        <v>0</v>
      </c>
      <c r="E4578">
        <v>0</v>
      </c>
    </row>
    <row r="4579" spans="2:5" x14ac:dyDescent="0.25">
      <c r="B4579">
        <v>8705010</v>
      </c>
      <c r="C4579" t="s">
        <v>2940</v>
      </c>
      <c r="D4579">
        <v>0</v>
      </c>
      <c r="E4579">
        <v>0</v>
      </c>
    </row>
    <row r="4580" spans="2:5" x14ac:dyDescent="0.25">
      <c r="B4580">
        <v>8705011</v>
      </c>
      <c r="C4580" t="s">
        <v>1319</v>
      </c>
      <c r="D4580">
        <v>1410</v>
      </c>
      <c r="E4580">
        <v>0</v>
      </c>
    </row>
    <row r="4581" spans="2:5" x14ac:dyDescent="0.25">
      <c r="B4581" t="s">
        <v>1859</v>
      </c>
      <c r="C4581" t="s">
        <v>1859</v>
      </c>
      <c r="D4581">
        <v>0</v>
      </c>
      <c r="E4581">
        <v>0</v>
      </c>
    </row>
    <row r="4582" spans="2:5" x14ac:dyDescent="0.25">
      <c r="B4582">
        <v>8705012</v>
      </c>
      <c r="C4582" t="s">
        <v>2941</v>
      </c>
      <c r="D4582">
        <v>0</v>
      </c>
      <c r="E4582">
        <v>0</v>
      </c>
    </row>
    <row r="4583" spans="2:5" x14ac:dyDescent="0.25">
      <c r="B4583">
        <v>8705013</v>
      </c>
      <c r="C4583" t="s">
        <v>1323</v>
      </c>
      <c r="D4583">
        <v>847</v>
      </c>
      <c r="E4583">
        <v>1</v>
      </c>
    </row>
    <row r="4584" spans="2:5" x14ac:dyDescent="0.25">
      <c r="B4584">
        <v>8705014</v>
      </c>
      <c r="C4584" t="s">
        <v>2942</v>
      </c>
      <c r="D4584">
        <v>0</v>
      </c>
      <c r="E4584">
        <v>0</v>
      </c>
    </row>
    <row r="4585" spans="2:5" x14ac:dyDescent="0.25">
      <c r="B4585">
        <v>8705016</v>
      </c>
      <c r="C4585" t="s">
        <v>1322</v>
      </c>
      <c r="D4585">
        <v>1035</v>
      </c>
      <c r="E4585">
        <v>0</v>
      </c>
    </row>
    <row r="4586" spans="2:5" x14ac:dyDescent="0.25">
      <c r="B4586">
        <v>8705018</v>
      </c>
      <c r="C4586" t="s">
        <v>1271</v>
      </c>
      <c r="D4586">
        <v>2070</v>
      </c>
      <c r="E4586">
        <v>14</v>
      </c>
    </row>
    <row r="4587" spans="2:5" x14ac:dyDescent="0.25">
      <c r="B4587">
        <v>8705019</v>
      </c>
      <c r="C4587" t="s">
        <v>1272</v>
      </c>
      <c r="D4587">
        <v>1830</v>
      </c>
      <c r="E4587">
        <v>17</v>
      </c>
    </row>
    <row r="4588" spans="2:5" x14ac:dyDescent="0.25">
      <c r="B4588">
        <v>8705020</v>
      </c>
      <c r="C4588" t="s">
        <v>1807</v>
      </c>
      <c r="D4588">
        <v>304.60000000000002</v>
      </c>
      <c r="E4588">
        <v>0</v>
      </c>
    </row>
    <row r="4589" spans="2:5" x14ac:dyDescent="0.25">
      <c r="B4589" t="s">
        <v>1859</v>
      </c>
      <c r="C4589" t="s">
        <v>1859</v>
      </c>
      <c r="D4589">
        <v>0</v>
      </c>
      <c r="E4589">
        <v>0</v>
      </c>
    </row>
    <row r="4590" spans="2:5" x14ac:dyDescent="0.25">
      <c r="B4590">
        <v>8705021</v>
      </c>
      <c r="C4590" t="s">
        <v>1273</v>
      </c>
      <c r="D4590">
        <v>0</v>
      </c>
      <c r="E4590">
        <v>0</v>
      </c>
    </row>
    <row r="4591" spans="2:5" x14ac:dyDescent="0.25">
      <c r="B4591" t="s">
        <v>1859</v>
      </c>
      <c r="C4591" t="s">
        <v>1859</v>
      </c>
      <c r="D4591">
        <v>0</v>
      </c>
      <c r="E4591">
        <v>0</v>
      </c>
    </row>
    <row r="4592" spans="2:5" x14ac:dyDescent="0.25">
      <c r="B4592">
        <v>8705022</v>
      </c>
      <c r="C4592" t="s">
        <v>2943</v>
      </c>
      <c r="D4592">
        <v>0</v>
      </c>
      <c r="E4592">
        <v>0</v>
      </c>
    </row>
    <row r="4593" spans="2:5" x14ac:dyDescent="0.25">
      <c r="B4593" t="s">
        <v>1859</v>
      </c>
      <c r="C4593" t="s">
        <v>1859</v>
      </c>
      <c r="D4593">
        <v>0</v>
      </c>
      <c r="E4593">
        <v>0</v>
      </c>
    </row>
    <row r="4594" spans="2:5" x14ac:dyDescent="0.25">
      <c r="B4594">
        <v>8705023</v>
      </c>
      <c r="C4594" t="s">
        <v>2944</v>
      </c>
      <c r="D4594">
        <v>0</v>
      </c>
      <c r="E4594">
        <v>0</v>
      </c>
    </row>
    <row r="4595" spans="2:5" x14ac:dyDescent="0.25">
      <c r="B4595">
        <v>8705036</v>
      </c>
      <c r="C4595" t="s">
        <v>1269</v>
      </c>
      <c r="D4595">
        <v>849.7</v>
      </c>
      <c r="E4595">
        <v>0</v>
      </c>
    </row>
    <row r="4596" spans="2:5" x14ac:dyDescent="0.25">
      <c r="B4596">
        <v>8705037</v>
      </c>
      <c r="C4596" t="s">
        <v>1313</v>
      </c>
      <c r="D4596">
        <v>600</v>
      </c>
      <c r="E4596">
        <v>6</v>
      </c>
    </row>
    <row r="4597" spans="2:5" x14ac:dyDescent="0.25">
      <c r="B4597">
        <v>8705038</v>
      </c>
      <c r="C4597" t="s">
        <v>1317</v>
      </c>
      <c r="D4597">
        <v>570</v>
      </c>
      <c r="E4597">
        <v>0</v>
      </c>
    </row>
    <row r="4598" spans="2:5" x14ac:dyDescent="0.25">
      <c r="B4598">
        <v>8705039</v>
      </c>
      <c r="C4598" t="s">
        <v>1318</v>
      </c>
      <c r="D4598">
        <v>503.59</v>
      </c>
      <c r="E4598">
        <v>0</v>
      </c>
    </row>
    <row r="4599" spans="2:5" x14ac:dyDescent="0.25">
      <c r="B4599">
        <v>8705072</v>
      </c>
      <c r="C4599" t="s">
        <v>1289</v>
      </c>
      <c r="D4599">
        <v>399.3</v>
      </c>
      <c r="E4599">
        <v>76</v>
      </c>
    </row>
    <row r="4600" spans="2:5" x14ac:dyDescent="0.25">
      <c r="B4600" t="s">
        <v>1859</v>
      </c>
      <c r="C4600" t="s">
        <v>1859</v>
      </c>
      <c r="D4600">
        <v>0</v>
      </c>
      <c r="E4600">
        <v>0</v>
      </c>
    </row>
    <row r="4601" spans="2:5" x14ac:dyDescent="0.25">
      <c r="B4601">
        <v>8705075</v>
      </c>
      <c r="C4601" t="s">
        <v>2945</v>
      </c>
      <c r="D4601">
        <v>0</v>
      </c>
      <c r="E4601">
        <v>0</v>
      </c>
    </row>
    <row r="4602" spans="2:5" x14ac:dyDescent="0.25">
      <c r="B4602" t="s">
        <v>1859</v>
      </c>
      <c r="C4602" t="s">
        <v>1859</v>
      </c>
      <c r="D4602">
        <v>0</v>
      </c>
      <c r="E4602">
        <v>0</v>
      </c>
    </row>
    <row r="4603" spans="2:5" x14ac:dyDescent="0.25">
      <c r="B4603">
        <v>8705100</v>
      </c>
      <c r="C4603" t="s">
        <v>2946</v>
      </c>
      <c r="D4603">
        <v>0</v>
      </c>
      <c r="E4603">
        <v>0</v>
      </c>
    </row>
    <row r="4604" spans="2:5" x14ac:dyDescent="0.25">
      <c r="B4604">
        <v>8705113</v>
      </c>
      <c r="C4604" t="s">
        <v>1286</v>
      </c>
      <c r="D4604">
        <v>1980</v>
      </c>
      <c r="E4604">
        <v>23</v>
      </c>
    </row>
    <row r="4605" spans="2:5" x14ac:dyDescent="0.25">
      <c r="B4605">
        <v>8705118</v>
      </c>
      <c r="C4605" t="s">
        <v>1292</v>
      </c>
      <c r="D4605">
        <v>786.49</v>
      </c>
      <c r="E4605">
        <v>0</v>
      </c>
    </row>
    <row r="4606" spans="2:5" x14ac:dyDescent="0.25">
      <c r="B4606" t="s">
        <v>1859</v>
      </c>
      <c r="C4606" t="s">
        <v>1859</v>
      </c>
      <c r="D4606">
        <v>0</v>
      </c>
      <c r="E4606">
        <v>0</v>
      </c>
    </row>
    <row r="4607" spans="2:5" x14ac:dyDescent="0.25">
      <c r="B4607">
        <v>8705121</v>
      </c>
      <c r="C4607" t="s">
        <v>1859</v>
      </c>
      <c r="D4607">
        <v>0</v>
      </c>
      <c r="E4607">
        <v>0</v>
      </c>
    </row>
    <row r="4608" spans="2:5" x14ac:dyDescent="0.25">
      <c r="B4608" t="s">
        <v>1859</v>
      </c>
      <c r="C4608" t="s">
        <v>1859</v>
      </c>
      <c r="D4608">
        <v>0</v>
      </c>
      <c r="E4608">
        <v>0</v>
      </c>
    </row>
    <row r="4609" spans="2:5" x14ac:dyDescent="0.25">
      <c r="B4609">
        <v>8705131</v>
      </c>
      <c r="C4609" t="s">
        <v>2947</v>
      </c>
      <c r="D4609">
        <v>0</v>
      </c>
      <c r="E4609">
        <v>0</v>
      </c>
    </row>
    <row r="4610" spans="2:5" x14ac:dyDescent="0.25">
      <c r="B4610" t="s">
        <v>1859</v>
      </c>
      <c r="C4610" t="s">
        <v>1859</v>
      </c>
      <c r="D4610">
        <v>0</v>
      </c>
      <c r="E4610">
        <v>0</v>
      </c>
    </row>
    <row r="4611" spans="2:5" x14ac:dyDescent="0.25">
      <c r="B4611">
        <v>8705214</v>
      </c>
      <c r="C4611" t="s">
        <v>2948</v>
      </c>
      <c r="D4611">
        <v>0</v>
      </c>
      <c r="E4611">
        <v>0</v>
      </c>
    </row>
    <row r="4612" spans="2:5" x14ac:dyDescent="0.25">
      <c r="B4612" t="s">
        <v>1859</v>
      </c>
      <c r="C4612" t="s">
        <v>1859</v>
      </c>
      <c r="D4612">
        <v>0</v>
      </c>
      <c r="E4612">
        <v>0</v>
      </c>
    </row>
    <row r="4613" spans="2:5" x14ac:dyDescent="0.25">
      <c r="B4613">
        <v>8705225</v>
      </c>
      <c r="C4613" t="s">
        <v>2949</v>
      </c>
      <c r="D4613">
        <v>0</v>
      </c>
      <c r="E4613">
        <v>0</v>
      </c>
    </row>
    <row r="4614" spans="2:5" x14ac:dyDescent="0.25">
      <c r="B4614">
        <v>8705226</v>
      </c>
      <c r="C4614" t="s">
        <v>1293</v>
      </c>
      <c r="D4614">
        <v>786.5</v>
      </c>
      <c r="E4614">
        <v>0</v>
      </c>
    </row>
    <row r="4615" spans="2:5" x14ac:dyDescent="0.25">
      <c r="B4615" t="s">
        <v>1859</v>
      </c>
      <c r="C4615" t="s">
        <v>1859</v>
      </c>
      <c r="D4615">
        <v>0</v>
      </c>
      <c r="E4615">
        <v>0</v>
      </c>
    </row>
    <row r="4616" spans="2:5" x14ac:dyDescent="0.25">
      <c r="B4616">
        <v>8705227</v>
      </c>
      <c r="C4616" t="s">
        <v>2950</v>
      </c>
      <c r="D4616">
        <v>0</v>
      </c>
      <c r="E4616">
        <v>0</v>
      </c>
    </row>
    <row r="4617" spans="2:5" x14ac:dyDescent="0.25">
      <c r="B4617" t="s">
        <v>1859</v>
      </c>
      <c r="C4617" t="s">
        <v>1859</v>
      </c>
      <c r="D4617">
        <v>0</v>
      </c>
      <c r="E4617">
        <v>0</v>
      </c>
    </row>
    <row r="4618" spans="2:5" x14ac:dyDescent="0.25">
      <c r="B4618">
        <v>8705228</v>
      </c>
      <c r="C4618" t="s">
        <v>2951</v>
      </c>
      <c r="D4618">
        <v>0</v>
      </c>
      <c r="E4618">
        <v>0</v>
      </c>
    </row>
    <row r="4619" spans="2:5" x14ac:dyDescent="0.25">
      <c r="B4619">
        <v>8705233</v>
      </c>
      <c r="C4619" t="s">
        <v>1428</v>
      </c>
      <c r="D4619">
        <v>650</v>
      </c>
      <c r="E4619">
        <v>5</v>
      </c>
    </row>
    <row r="4620" spans="2:5" x14ac:dyDescent="0.25">
      <c r="B4620" t="s">
        <v>1859</v>
      </c>
      <c r="C4620" t="s">
        <v>1859</v>
      </c>
      <c r="D4620">
        <v>0</v>
      </c>
      <c r="E4620">
        <v>0</v>
      </c>
    </row>
    <row r="4621" spans="2:5" x14ac:dyDescent="0.25">
      <c r="B4621">
        <v>8705241</v>
      </c>
      <c r="C4621" t="s">
        <v>2952</v>
      </c>
      <c r="D4621">
        <v>0</v>
      </c>
      <c r="E4621">
        <v>0</v>
      </c>
    </row>
    <row r="4622" spans="2:5" x14ac:dyDescent="0.25">
      <c r="B4622">
        <v>8705256</v>
      </c>
      <c r="C4622" t="s">
        <v>1320</v>
      </c>
      <c r="D4622">
        <v>1815</v>
      </c>
      <c r="E4622">
        <v>19</v>
      </c>
    </row>
    <row r="4623" spans="2:5" x14ac:dyDescent="0.25">
      <c r="B4623">
        <v>8705370</v>
      </c>
      <c r="C4623" t="s">
        <v>1808</v>
      </c>
      <c r="D4623">
        <v>838.52</v>
      </c>
      <c r="E4623">
        <v>0</v>
      </c>
    </row>
    <row r="4624" spans="2:5" x14ac:dyDescent="0.25">
      <c r="B4624">
        <v>8705449</v>
      </c>
      <c r="C4624" t="s">
        <v>1283</v>
      </c>
      <c r="D4624">
        <v>335.39</v>
      </c>
      <c r="E4624">
        <v>0</v>
      </c>
    </row>
    <row r="4625" spans="2:5" x14ac:dyDescent="0.25">
      <c r="B4625">
        <v>8705450</v>
      </c>
      <c r="C4625" t="s">
        <v>2953</v>
      </c>
      <c r="D4625">
        <v>0</v>
      </c>
      <c r="E4625">
        <v>0</v>
      </c>
    </row>
    <row r="4626" spans="2:5" x14ac:dyDescent="0.25">
      <c r="B4626">
        <v>8705459</v>
      </c>
      <c r="C4626" t="s">
        <v>1282</v>
      </c>
      <c r="D4626">
        <v>726</v>
      </c>
      <c r="E4626">
        <v>1</v>
      </c>
    </row>
    <row r="4627" spans="2:5" x14ac:dyDescent="0.25">
      <c r="B4627">
        <v>8705460</v>
      </c>
      <c r="C4627" t="s">
        <v>1281</v>
      </c>
      <c r="D4627">
        <v>726</v>
      </c>
      <c r="E4627">
        <v>0</v>
      </c>
    </row>
    <row r="4628" spans="2:5" x14ac:dyDescent="0.25">
      <c r="B4628" t="s">
        <v>1859</v>
      </c>
      <c r="C4628" t="s">
        <v>1859</v>
      </c>
      <c r="D4628">
        <v>0</v>
      </c>
      <c r="E4628">
        <v>0</v>
      </c>
    </row>
    <row r="4629" spans="2:5" x14ac:dyDescent="0.25">
      <c r="B4629">
        <v>8705480</v>
      </c>
      <c r="C4629" t="s">
        <v>2954</v>
      </c>
      <c r="D4629">
        <v>0</v>
      </c>
      <c r="E4629">
        <v>0</v>
      </c>
    </row>
    <row r="4630" spans="2:5" x14ac:dyDescent="0.25">
      <c r="B4630">
        <v>8705500</v>
      </c>
      <c r="C4630" t="s">
        <v>2955</v>
      </c>
      <c r="D4630">
        <v>0</v>
      </c>
      <c r="E4630">
        <v>0</v>
      </c>
    </row>
    <row r="4631" spans="2:5" x14ac:dyDescent="0.25">
      <c r="B4631">
        <v>8705550</v>
      </c>
      <c r="C4631" t="s">
        <v>1273</v>
      </c>
      <c r="D4631">
        <v>763.8</v>
      </c>
      <c r="E4631">
        <v>1</v>
      </c>
    </row>
    <row r="4632" spans="2:5" x14ac:dyDescent="0.25">
      <c r="B4632">
        <v>8705551</v>
      </c>
      <c r="C4632" t="s">
        <v>1280</v>
      </c>
      <c r="D4632">
        <v>990</v>
      </c>
      <c r="E4632">
        <v>846</v>
      </c>
    </row>
    <row r="4633" spans="2:5" x14ac:dyDescent="0.25">
      <c r="B4633">
        <v>8705552</v>
      </c>
      <c r="C4633" t="s">
        <v>1809</v>
      </c>
      <c r="D4633">
        <v>304.60000000000002</v>
      </c>
      <c r="E4633">
        <v>3</v>
      </c>
    </row>
    <row r="4634" spans="2:5" x14ac:dyDescent="0.25">
      <c r="B4634">
        <v>8705553</v>
      </c>
      <c r="C4634" t="s">
        <v>1325</v>
      </c>
      <c r="D4634">
        <v>610.73</v>
      </c>
      <c r="E4634">
        <v>0</v>
      </c>
    </row>
    <row r="4635" spans="2:5" x14ac:dyDescent="0.25">
      <c r="B4635">
        <v>8705554</v>
      </c>
      <c r="C4635" t="s">
        <v>1315</v>
      </c>
      <c r="D4635">
        <v>534.20000000000005</v>
      </c>
      <c r="E4635">
        <v>0</v>
      </c>
    </row>
    <row r="4636" spans="2:5" x14ac:dyDescent="0.25">
      <c r="B4636">
        <v>8705555</v>
      </c>
      <c r="C4636" t="s">
        <v>1278</v>
      </c>
      <c r="D4636">
        <v>1400</v>
      </c>
      <c r="E4636">
        <v>0</v>
      </c>
    </row>
    <row r="4637" spans="2:5" x14ac:dyDescent="0.25">
      <c r="B4637">
        <v>8705556</v>
      </c>
      <c r="C4637" t="s">
        <v>1276</v>
      </c>
      <c r="D4637">
        <v>763.8</v>
      </c>
      <c r="E4637">
        <v>0</v>
      </c>
    </row>
    <row r="4638" spans="2:5" x14ac:dyDescent="0.25">
      <c r="B4638" t="s">
        <v>1859</v>
      </c>
      <c r="C4638" t="s">
        <v>1859</v>
      </c>
      <c r="D4638">
        <v>0</v>
      </c>
      <c r="E4638">
        <v>0</v>
      </c>
    </row>
    <row r="4639" spans="2:5" x14ac:dyDescent="0.25">
      <c r="B4639">
        <v>8705557</v>
      </c>
      <c r="C4639" t="s">
        <v>2956</v>
      </c>
      <c r="D4639">
        <v>0</v>
      </c>
      <c r="E4639">
        <v>0</v>
      </c>
    </row>
    <row r="4640" spans="2:5" x14ac:dyDescent="0.25">
      <c r="B4640">
        <v>8705568</v>
      </c>
      <c r="C4640" t="s">
        <v>1266</v>
      </c>
      <c r="D4640">
        <v>999</v>
      </c>
      <c r="E4640">
        <v>55</v>
      </c>
    </row>
    <row r="4641" spans="2:5" x14ac:dyDescent="0.25">
      <c r="B4641">
        <v>8705586</v>
      </c>
      <c r="C4641" t="s">
        <v>1326</v>
      </c>
      <c r="D4641">
        <v>907.5</v>
      </c>
      <c r="E4641">
        <v>189</v>
      </c>
    </row>
    <row r="4642" spans="2:5" x14ac:dyDescent="0.25">
      <c r="B4642" t="s">
        <v>1859</v>
      </c>
      <c r="C4642" t="s">
        <v>1859</v>
      </c>
      <c r="D4642">
        <v>0</v>
      </c>
      <c r="E4642">
        <v>0</v>
      </c>
    </row>
    <row r="4643" spans="2:5" x14ac:dyDescent="0.25">
      <c r="B4643">
        <v>8705651</v>
      </c>
      <c r="C4643" t="s">
        <v>2957</v>
      </c>
      <c r="D4643">
        <v>0</v>
      </c>
      <c r="E4643">
        <v>0</v>
      </c>
    </row>
    <row r="4644" spans="2:5" x14ac:dyDescent="0.25">
      <c r="B4644">
        <v>8705661</v>
      </c>
      <c r="C4644" t="s">
        <v>1265</v>
      </c>
      <c r="D4644">
        <v>900</v>
      </c>
      <c r="E4644">
        <v>123</v>
      </c>
    </row>
    <row r="4645" spans="2:5" x14ac:dyDescent="0.25">
      <c r="B4645">
        <v>8705665</v>
      </c>
      <c r="C4645" t="s">
        <v>1316</v>
      </c>
      <c r="D4645">
        <v>630</v>
      </c>
      <c r="E4645">
        <v>0</v>
      </c>
    </row>
    <row r="4646" spans="2:5" x14ac:dyDescent="0.25">
      <c r="B4646" t="s">
        <v>1859</v>
      </c>
      <c r="C4646" t="s">
        <v>1859</v>
      </c>
      <c r="D4646">
        <v>0</v>
      </c>
      <c r="E4646">
        <v>0</v>
      </c>
    </row>
    <row r="4647" spans="2:5" x14ac:dyDescent="0.25">
      <c r="B4647">
        <v>8705668</v>
      </c>
      <c r="C4647" t="s">
        <v>2958</v>
      </c>
      <c r="D4647">
        <v>0</v>
      </c>
      <c r="E4647">
        <v>0</v>
      </c>
    </row>
    <row r="4648" spans="2:5" x14ac:dyDescent="0.25">
      <c r="B4648">
        <v>8705683</v>
      </c>
      <c r="C4648" t="s">
        <v>1267</v>
      </c>
      <c r="D4648">
        <v>800</v>
      </c>
      <c r="E4648">
        <v>52</v>
      </c>
    </row>
    <row r="4649" spans="2:5" x14ac:dyDescent="0.25">
      <c r="B4649" t="s">
        <v>1859</v>
      </c>
      <c r="C4649" t="s">
        <v>1859</v>
      </c>
      <c r="D4649">
        <v>0</v>
      </c>
      <c r="E4649">
        <v>0</v>
      </c>
    </row>
    <row r="4650" spans="2:5" x14ac:dyDescent="0.25">
      <c r="B4650">
        <v>8705700</v>
      </c>
      <c r="C4650" t="s">
        <v>2959</v>
      </c>
      <c r="D4650">
        <v>0</v>
      </c>
      <c r="E4650">
        <v>0</v>
      </c>
    </row>
    <row r="4651" spans="2:5" x14ac:dyDescent="0.25">
      <c r="B4651">
        <v>8705749</v>
      </c>
      <c r="C4651" t="s">
        <v>1324</v>
      </c>
      <c r="D4651">
        <v>419.25</v>
      </c>
      <c r="E4651">
        <v>0</v>
      </c>
    </row>
    <row r="4652" spans="2:5" x14ac:dyDescent="0.25">
      <c r="B4652">
        <v>8705750</v>
      </c>
      <c r="C4652" t="s">
        <v>1275</v>
      </c>
      <c r="D4652">
        <v>763.8</v>
      </c>
      <c r="E4652">
        <v>9</v>
      </c>
    </row>
    <row r="4653" spans="2:5" x14ac:dyDescent="0.25">
      <c r="B4653">
        <v>8705802</v>
      </c>
      <c r="C4653" t="s">
        <v>1274</v>
      </c>
      <c r="D4653">
        <v>763.8</v>
      </c>
      <c r="E4653">
        <v>0</v>
      </c>
    </row>
    <row r="4654" spans="2:5" x14ac:dyDescent="0.25">
      <c r="B4654">
        <v>8705861</v>
      </c>
      <c r="C4654" t="s">
        <v>1810</v>
      </c>
      <c r="D4654">
        <v>1452</v>
      </c>
      <c r="E4654">
        <v>1</v>
      </c>
    </row>
    <row r="4655" spans="2:5" x14ac:dyDescent="0.25">
      <c r="B4655" t="s">
        <v>1859</v>
      </c>
      <c r="C4655" t="s">
        <v>1859</v>
      </c>
      <c r="D4655">
        <v>0</v>
      </c>
      <c r="E4655">
        <v>0</v>
      </c>
    </row>
    <row r="4656" spans="2:5" x14ac:dyDescent="0.25">
      <c r="B4656">
        <v>8705905</v>
      </c>
      <c r="C4656" t="s">
        <v>2960</v>
      </c>
      <c r="D4656">
        <v>0</v>
      </c>
      <c r="E4656">
        <v>0</v>
      </c>
    </row>
    <row r="4657" spans="2:5" x14ac:dyDescent="0.25">
      <c r="B4657">
        <v>8705910</v>
      </c>
      <c r="C4657" t="s">
        <v>1270</v>
      </c>
      <c r="D4657">
        <v>670.8</v>
      </c>
      <c r="E4657">
        <v>0</v>
      </c>
    </row>
    <row r="4658" spans="2:5" x14ac:dyDescent="0.25">
      <c r="B4658">
        <v>8705913</v>
      </c>
      <c r="C4658" t="s">
        <v>1287</v>
      </c>
      <c r="D4658">
        <v>1694</v>
      </c>
      <c r="E4658">
        <v>20</v>
      </c>
    </row>
    <row r="4659" spans="2:5" x14ac:dyDescent="0.25">
      <c r="B4659">
        <v>8705914</v>
      </c>
      <c r="C4659" t="s">
        <v>1284</v>
      </c>
      <c r="D4659">
        <v>1980</v>
      </c>
      <c r="E4659">
        <v>6</v>
      </c>
    </row>
    <row r="4660" spans="2:5" x14ac:dyDescent="0.25">
      <c r="B4660">
        <v>8706002</v>
      </c>
      <c r="C4660" t="s">
        <v>997</v>
      </c>
      <c r="D4660">
        <v>3146</v>
      </c>
      <c r="E4660">
        <v>116</v>
      </c>
    </row>
    <row r="4661" spans="2:5" x14ac:dyDescent="0.25">
      <c r="B4661">
        <v>8706012</v>
      </c>
      <c r="C4661" t="s">
        <v>40</v>
      </c>
      <c r="D4661">
        <v>2479.65</v>
      </c>
      <c r="E4661">
        <v>2</v>
      </c>
    </row>
    <row r="4662" spans="2:5" x14ac:dyDescent="0.25">
      <c r="B4662">
        <v>8706500</v>
      </c>
      <c r="C4662" t="s">
        <v>1811</v>
      </c>
      <c r="D4662">
        <v>678.8</v>
      </c>
      <c r="E4662">
        <v>0</v>
      </c>
    </row>
    <row r="4663" spans="2:5" x14ac:dyDescent="0.25">
      <c r="B4663">
        <v>8707000</v>
      </c>
      <c r="C4663" t="s">
        <v>1812</v>
      </c>
      <c r="D4663">
        <v>150</v>
      </c>
      <c r="E4663">
        <v>51</v>
      </c>
    </row>
    <row r="4664" spans="2:5" x14ac:dyDescent="0.25">
      <c r="B4664">
        <v>8707002</v>
      </c>
      <c r="C4664" t="s">
        <v>1255</v>
      </c>
      <c r="D4664">
        <v>223.6</v>
      </c>
      <c r="E4664">
        <v>0</v>
      </c>
    </row>
    <row r="4665" spans="2:5" x14ac:dyDescent="0.25">
      <c r="B4665" t="s">
        <v>1859</v>
      </c>
      <c r="C4665" t="s">
        <v>1859</v>
      </c>
      <c r="D4665">
        <v>0</v>
      </c>
      <c r="E4665">
        <v>0</v>
      </c>
    </row>
    <row r="4666" spans="2:5" x14ac:dyDescent="0.25">
      <c r="B4666">
        <v>8707003</v>
      </c>
      <c r="C4666" t="s">
        <v>2961</v>
      </c>
      <c r="D4666">
        <v>0</v>
      </c>
      <c r="E4666">
        <v>0</v>
      </c>
    </row>
    <row r="4667" spans="2:5" x14ac:dyDescent="0.25">
      <c r="B4667" t="s">
        <v>1859</v>
      </c>
      <c r="C4667" t="s">
        <v>1859</v>
      </c>
      <c r="D4667">
        <v>0</v>
      </c>
      <c r="E4667">
        <v>0</v>
      </c>
    </row>
    <row r="4668" spans="2:5" x14ac:dyDescent="0.25">
      <c r="B4668">
        <v>8707020</v>
      </c>
      <c r="C4668" t="s">
        <v>2962</v>
      </c>
      <c r="D4668">
        <v>0</v>
      </c>
      <c r="E4668">
        <v>0</v>
      </c>
    </row>
    <row r="4669" spans="2:5" x14ac:dyDescent="0.25">
      <c r="B4669">
        <v>8707021</v>
      </c>
      <c r="C4669" t="s">
        <v>1307</v>
      </c>
      <c r="D4669">
        <v>687.27</v>
      </c>
      <c r="E4669">
        <v>1</v>
      </c>
    </row>
    <row r="4670" spans="2:5" x14ac:dyDescent="0.25">
      <c r="B4670">
        <v>8707023</v>
      </c>
      <c r="C4670" t="s">
        <v>1302</v>
      </c>
      <c r="D4670">
        <v>2130</v>
      </c>
      <c r="E4670">
        <v>9</v>
      </c>
    </row>
    <row r="4671" spans="2:5" x14ac:dyDescent="0.25">
      <c r="B4671">
        <v>8707024</v>
      </c>
      <c r="C4671" t="s">
        <v>1303</v>
      </c>
      <c r="D4671">
        <v>1845</v>
      </c>
      <c r="E4671">
        <v>11</v>
      </c>
    </row>
    <row r="4672" spans="2:5" x14ac:dyDescent="0.25">
      <c r="B4672" t="s">
        <v>1859</v>
      </c>
      <c r="C4672" t="s">
        <v>1859</v>
      </c>
      <c r="D4672">
        <v>0</v>
      </c>
      <c r="E4672">
        <v>0</v>
      </c>
    </row>
    <row r="4673" spans="2:5" x14ac:dyDescent="0.25">
      <c r="B4673">
        <v>8707025</v>
      </c>
      <c r="C4673" t="s">
        <v>2963</v>
      </c>
      <c r="D4673">
        <v>0</v>
      </c>
      <c r="E4673">
        <v>0</v>
      </c>
    </row>
    <row r="4674" spans="2:5" x14ac:dyDescent="0.25">
      <c r="B4674">
        <v>8707026</v>
      </c>
      <c r="C4674" t="s">
        <v>1304</v>
      </c>
      <c r="D4674">
        <v>2856.72</v>
      </c>
      <c r="E4674">
        <v>0</v>
      </c>
    </row>
    <row r="4675" spans="2:5" x14ac:dyDescent="0.25">
      <c r="B4675" t="s">
        <v>1859</v>
      </c>
      <c r="C4675" t="s">
        <v>1859</v>
      </c>
      <c r="D4675">
        <v>0</v>
      </c>
      <c r="E4675">
        <v>0</v>
      </c>
    </row>
    <row r="4676" spans="2:5" x14ac:dyDescent="0.25">
      <c r="B4676">
        <v>8707058</v>
      </c>
      <c r="C4676" t="s">
        <v>2964</v>
      </c>
      <c r="D4676">
        <v>0</v>
      </c>
      <c r="E4676">
        <v>0</v>
      </c>
    </row>
    <row r="4677" spans="2:5" x14ac:dyDescent="0.25">
      <c r="B4677">
        <v>8707113</v>
      </c>
      <c r="C4677" t="s">
        <v>1187</v>
      </c>
      <c r="D4677">
        <v>700</v>
      </c>
      <c r="E4677">
        <v>32</v>
      </c>
    </row>
    <row r="4678" spans="2:5" x14ac:dyDescent="0.25">
      <c r="B4678">
        <v>8707117</v>
      </c>
      <c r="C4678" t="s">
        <v>958</v>
      </c>
      <c r="D4678">
        <v>2897.95</v>
      </c>
      <c r="E4678">
        <v>0</v>
      </c>
    </row>
    <row r="4679" spans="2:5" x14ac:dyDescent="0.25">
      <c r="B4679" t="s">
        <v>1859</v>
      </c>
      <c r="C4679" t="s">
        <v>1859</v>
      </c>
      <c r="D4679">
        <v>0</v>
      </c>
      <c r="E4679">
        <v>0</v>
      </c>
    </row>
    <row r="4680" spans="2:5" x14ac:dyDescent="0.25">
      <c r="B4680">
        <v>8707206</v>
      </c>
      <c r="C4680" t="s">
        <v>2965</v>
      </c>
      <c r="D4680">
        <v>0</v>
      </c>
      <c r="E4680">
        <v>0</v>
      </c>
    </row>
    <row r="4681" spans="2:5" x14ac:dyDescent="0.25">
      <c r="B4681">
        <v>8707381</v>
      </c>
      <c r="C4681" t="s">
        <v>1813</v>
      </c>
      <c r="D4681">
        <v>11900</v>
      </c>
      <c r="E4681">
        <v>2</v>
      </c>
    </row>
    <row r="4682" spans="2:5" x14ac:dyDescent="0.25">
      <c r="B4682">
        <v>8707509</v>
      </c>
      <c r="C4682" t="s">
        <v>1309</v>
      </c>
      <c r="D4682">
        <v>1320</v>
      </c>
      <c r="E4682">
        <v>0</v>
      </c>
    </row>
    <row r="4683" spans="2:5" x14ac:dyDescent="0.25">
      <c r="B4683">
        <v>8707550</v>
      </c>
      <c r="C4683" t="s">
        <v>1328</v>
      </c>
      <c r="D4683">
        <v>733.18</v>
      </c>
      <c r="E4683">
        <v>5</v>
      </c>
    </row>
    <row r="4684" spans="2:5" x14ac:dyDescent="0.25">
      <c r="B4684">
        <v>8707552</v>
      </c>
      <c r="C4684" t="s">
        <v>1310</v>
      </c>
      <c r="D4684">
        <v>900</v>
      </c>
      <c r="E4684">
        <v>1426</v>
      </c>
    </row>
    <row r="4685" spans="2:5" x14ac:dyDescent="0.25">
      <c r="B4685">
        <v>8707553</v>
      </c>
      <c r="C4685" t="s">
        <v>1311</v>
      </c>
      <c r="D4685">
        <v>780</v>
      </c>
      <c r="E4685">
        <v>68</v>
      </c>
    </row>
    <row r="4686" spans="2:5" x14ac:dyDescent="0.25">
      <c r="B4686">
        <v>8707554</v>
      </c>
      <c r="C4686" t="s">
        <v>1306</v>
      </c>
      <c r="D4686">
        <v>900</v>
      </c>
      <c r="E4686">
        <v>0</v>
      </c>
    </row>
    <row r="4687" spans="2:5" x14ac:dyDescent="0.25">
      <c r="B4687">
        <v>8707555</v>
      </c>
      <c r="C4687" t="s">
        <v>1305</v>
      </c>
      <c r="D4687">
        <v>763.8</v>
      </c>
      <c r="E4687">
        <v>1</v>
      </c>
    </row>
    <row r="4688" spans="2:5" x14ac:dyDescent="0.25">
      <c r="B4688" t="s">
        <v>1859</v>
      </c>
      <c r="C4688" t="s">
        <v>1859</v>
      </c>
      <c r="D4688">
        <v>0</v>
      </c>
      <c r="E4688">
        <v>0</v>
      </c>
    </row>
    <row r="4689" spans="2:5" x14ac:dyDescent="0.25">
      <c r="B4689">
        <v>8707556</v>
      </c>
      <c r="C4689" t="s">
        <v>2966</v>
      </c>
      <c r="D4689">
        <v>0</v>
      </c>
      <c r="E4689">
        <v>0</v>
      </c>
    </row>
    <row r="4690" spans="2:5" x14ac:dyDescent="0.25">
      <c r="B4690">
        <v>8707657</v>
      </c>
      <c r="C4690" t="s">
        <v>471</v>
      </c>
      <c r="D4690">
        <v>11900</v>
      </c>
      <c r="E4690">
        <v>0</v>
      </c>
    </row>
    <row r="4691" spans="2:5" x14ac:dyDescent="0.25">
      <c r="B4691">
        <v>8707658</v>
      </c>
      <c r="C4691" t="s">
        <v>1814</v>
      </c>
      <c r="D4691">
        <v>11900</v>
      </c>
      <c r="E4691">
        <v>0</v>
      </c>
    </row>
    <row r="4692" spans="2:5" x14ac:dyDescent="0.25">
      <c r="B4692" t="s">
        <v>1859</v>
      </c>
      <c r="C4692" t="s">
        <v>1859</v>
      </c>
      <c r="D4692">
        <v>0</v>
      </c>
      <c r="E4692">
        <v>0</v>
      </c>
    </row>
    <row r="4693" spans="2:5" x14ac:dyDescent="0.25">
      <c r="B4693">
        <v>8707701</v>
      </c>
      <c r="C4693" t="s">
        <v>2967</v>
      </c>
      <c r="D4693">
        <v>0</v>
      </c>
      <c r="E4693">
        <v>0</v>
      </c>
    </row>
    <row r="4694" spans="2:5" x14ac:dyDescent="0.25">
      <c r="B4694">
        <v>8707702</v>
      </c>
      <c r="C4694" t="s">
        <v>1815</v>
      </c>
      <c r="D4694">
        <v>266.19</v>
      </c>
      <c r="E4694">
        <v>7</v>
      </c>
    </row>
    <row r="4695" spans="2:5" x14ac:dyDescent="0.25">
      <c r="B4695">
        <v>8707721</v>
      </c>
      <c r="C4695" t="s">
        <v>1816</v>
      </c>
      <c r="D4695">
        <v>638.87</v>
      </c>
      <c r="E4695">
        <v>0</v>
      </c>
    </row>
    <row r="4696" spans="2:5" x14ac:dyDescent="0.25">
      <c r="B4696">
        <v>8707750</v>
      </c>
      <c r="C4696" t="s">
        <v>1300</v>
      </c>
      <c r="D4696">
        <v>900</v>
      </c>
      <c r="E4696">
        <v>0</v>
      </c>
    </row>
    <row r="4697" spans="2:5" x14ac:dyDescent="0.25">
      <c r="B4697">
        <v>8707964</v>
      </c>
      <c r="C4697" t="s">
        <v>1308</v>
      </c>
      <c r="D4697">
        <v>687.27</v>
      </c>
      <c r="E4697">
        <v>0</v>
      </c>
    </row>
    <row r="4698" spans="2:5" x14ac:dyDescent="0.25">
      <c r="B4698" t="s">
        <v>1859</v>
      </c>
      <c r="C4698" t="s">
        <v>1859</v>
      </c>
      <c r="D4698">
        <v>0</v>
      </c>
      <c r="E4698">
        <v>0</v>
      </c>
    </row>
    <row r="4699" spans="2:5" x14ac:dyDescent="0.25">
      <c r="B4699">
        <v>8707965</v>
      </c>
      <c r="C4699" t="s">
        <v>2968</v>
      </c>
      <c r="D4699">
        <v>0</v>
      </c>
      <c r="E4699">
        <v>0</v>
      </c>
    </row>
    <row r="4700" spans="2:5" x14ac:dyDescent="0.25">
      <c r="B4700">
        <v>8707980</v>
      </c>
      <c r="C4700" t="s">
        <v>1301</v>
      </c>
      <c r="D4700">
        <v>610.73</v>
      </c>
      <c r="E4700">
        <v>0</v>
      </c>
    </row>
    <row r="4701" spans="2:5" x14ac:dyDescent="0.25">
      <c r="B4701">
        <v>8707981</v>
      </c>
      <c r="C4701" t="s">
        <v>2969</v>
      </c>
      <c r="D4701">
        <v>0</v>
      </c>
      <c r="E4701">
        <v>0</v>
      </c>
    </row>
    <row r="4702" spans="2:5" x14ac:dyDescent="0.25">
      <c r="B4702">
        <v>8707982</v>
      </c>
      <c r="C4702" t="s">
        <v>1857</v>
      </c>
      <c r="D4702">
        <v>1170</v>
      </c>
      <c r="E4702">
        <v>0</v>
      </c>
    </row>
    <row r="4703" spans="2:5" x14ac:dyDescent="0.25">
      <c r="B4703">
        <v>8708</v>
      </c>
      <c r="C4703" t="s">
        <v>1859</v>
      </c>
      <c r="D4703">
        <v>0</v>
      </c>
      <c r="E4703">
        <v>0</v>
      </c>
    </row>
    <row r="4704" spans="2:5" x14ac:dyDescent="0.25">
      <c r="B4704">
        <v>8708001</v>
      </c>
      <c r="C4704" t="s">
        <v>1256</v>
      </c>
      <c r="D4704">
        <v>450</v>
      </c>
      <c r="E4704">
        <v>262</v>
      </c>
    </row>
    <row r="4705" spans="2:5" x14ac:dyDescent="0.25">
      <c r="B4705" t="s">
        <v>1859</v>
      </c>
      <c r="C4705" t="s">
        <v>1859</v>
      </c>
      <c r="D4705">
        <v>0</v>
      </c>
      <c r="E4705">
        <v>0</v>
      </c>
    </row>
    <row r="4706" spans="2:5" x14ac:dyDescent="0.25">
      <c r="B4706">
        <v>8708002</v>
      </c>
      <c r="C4706" t="s">
        <v>2970</v>
      </c>
      <c r="D4706">
        <v>0</v>
      </c>
      <c r="E4706">
        <v>0</v>
      </c>
    </row>
    <row r="4707" spans="2:5" x14ac:dyDescent="0.25">
      <c r="B4707" t="s">
        <v>1859</v>
      </c>
      <c r="C4707" t="s">
        <v>1859</v>
      </c>
      <c r="D4707">
        <v>0</v>
      </c>
      <c r="E4707">
        <v>0</v>
      </c>
    </row>
    <row r="4708" spans="2:5" x14ac:dyDescent="0.25">
      <c r="B4708">
        <v>8708003</v>
      </c>
      <c r="C4708" t="s">
        <v>2971</v>
      </c>
      <c r="D4708">
        <v>0</v>
      </c>
      <c r="E4708">
        <v>0</v>
      </c>
    </row>
    <row r="4709" spans="2:5" x14ac:dyDescent="0.25">
      <c r="B4709" t="s">
        <v>1859</v>
      </c>
      <c r="C4709" t="s">
        <v>1859</v>
      </c>
      <c r="D4709">
        <v>0</v>
      </c>
      <c r="E4709">
        <v>0</v>
      </c>
    </row>
    <row r="4710" spans="2:5" x14ac:dyDescent="0.25">
      <c r="B4710">
        <v>8708004</v>
      </c>
      <c r="C4710" t="s">
        <v>2972</v>
      </c>
      <c r="D4710">
        <v>0</v>
      </c>
      <c r="E4710">
        <v>0</v>
      </c>
    </row>
    <row r="4711" spans="2:5" x14ac:dyDescent="0.25">
      <c r="B4711" t="s">
        <v>1859</v>
      </c>
      <c r="C4711" t="s">
        <v>1859</v>
      </c>
      <c r="D4711">
        <v>0</v>
      </c>
      <c r="E4711">
        <v>0</v>
      </c>
    </row>
    <row r="4712" spans="2:5" x14ac:dyDescent="0.25">
      <c r="B4712">
        <v>8708006</v>
      </c>
      <c r="C4712" t="s">
        <v>2973</v>
      </c>
      <c r="D4712">
        <v>0</v>
      </c>
      <c r="E4712">
        <v>0</v>
      </c>
    </row>
    <row r="4713" spans="2:5" x14ac:dyDescent="0.25">
      <c r="B4713" t="s">
        <v>1859</v>
      </c>
      <c r="C4713" t="s">
        <v>1859</v>
      </c>
      <c r="D4713">
        <v>0</v>
      </c>
      <c r="E4713">
        <v>0</v>
      </c>
    </row>
    <row r="4714" spans="2:5" x14ac:dyDescent="0.25">
      <c r="B4714">
        <v>8708007</v>
      </c>
      <c r="C4714" t="s">
        <v>2974</v>
      </c>
      <c r="D4714">
        <v>0</v>
      </c>
      <c r="E4714">
        <v>0</v>
      </c>
    </row>
    <row r="4715" spans="2:5" x14ac:dyDescent="0.25">
      <c r="B4715" t="s">
        <v>1859</v>
      </c>
      <c r="C4715" t="s">
        <v>1859</v>
      </c>
      <c r="D4715">
        <v>0</v>
      </c>
      <c r="E4715">
        <v>0</v>
      </c>
    </row>
    <row r="4716" spans="2:5" x14ac:dyDescent="0.25">
      <c r="B4716">
        <v>8708008</v>
      </c>
      <c r="C4716" t="s">
        <v>2975</v>
      </c>
      <c r="D4716">
        <v>0</v>
      </c>
      <c r="E4716">
        <v>0</v>
      </c>
    </row>
    <row r="4717" spans="2:5" x14ac:dyDescent="0.25">
      <c r="B4717" t="s">
        <v>1859</v>
      </c>
      <c r="C4717" t="s">
        <v>1859</v>
      </c>
      <c r="D4717">
        <v>0</v>
      </c>
      <c r="E4717">
        <v>0</v>
      </c>
    </row>
    <row r="4718" spans="2:5" x14ac:dyDescent="0.25">
      <c r="B4718">
        <v>8708009</v>
      </c>
      <c r="C4718" t="s">
        <v>2976</v>
      </c>
      <c r="D4718">
        <v>0</v>
      </c>
      <c r="E4718">
        <v>0</v>
      </c>
    </row>
    <row r="4719" spans="2:5" x14ac:dyDescent="0.25">
      <c r="B4719">
        <v>8708010</v>
      </c>
      <c r="C4719" t="s">
        <v>1817</v>
      </c>
      <c r="D4719">
        <v>900</v>
      </c>
      <c r="E4719">
        <v>1</v>
      </c>
    </row>
    <row r="4720" spans="2:5" x14ac:dyDescent="0.25">
      <c r="B4720">
        <v>8708011</v>
      </c>
      <c r="C4720" t="s">
        <v>1818</v>
      </c>
      <c r="D4720">
        <v>700</v>
      </c>
      <c r="E4720">
        <v>1</v>
      </c>
    </row>
    <row r="4721" spans="2:5" x14ac:dyDescent="0.25">
      <c r="B4721">
        <v>87080111</v>
      </c>
      <c r="C4721" t="s">
        <v>2977</v>
      </c>
      <c r="D4721">
        <v>33999</v>
      </c>
      <c r="E4721">
        <v>0</v>
      </c>
    </row>
    <row r="4722" spans="2:5" x14ac:dyDescent="0.25">
      <c r="B4722" t="s">
        <v>1859</v>
      </c>
      <c r="C4722" t="s">
        <v>1859</v>
      </c>
      <c r="D4722">
        <v>0</v>
      </c>
      <c r="E4722">
        <v>0</v>
      </c>
    </row>
    <row r="4723" spans="2:5" x14ac:dyDescent="0.25">
      <c r="B4723">
        <v>8708012</v>
      </c>
      <c r="C4723" t="s">
        <v>2978</v>
      </c>
      <c r="D4723">
        <v>0</v>
      </c>
      <c r="E4723">
        <v>0</v>
      </c>
    </row>
    <row r="4724" spans="2:5" x14ac:dyDescent="0.25">
      <c r="B4724">
        <v>8708014</v>
      </c>
      <c r="C4724" t="s">
        <v>36</v>
      </c>
      <c r="D4724">
        <v>1814.99</v>
      </c>
      <c r="E4724">
        <v>2</v>
      </c>
    </row>
    <row r="4725" spans="2:5" x14ac:dyDescent="0.25">
      <c r="B4725">
        <v>8708020</v>
      </c>
      <c r="C4725" t="s">
        <v>1416</v>
      </c>
      <c r="D4725">
        <v>2100</v>
      </c>
      <c r="E4725">
        <v>4</v>
      </c>
    </row>
    <row r="4726" spans="2:5" x14ac:dyDescent="0.25">
      <c r="B4726">
        <v>8708024</v>
      </c>
      <c r="C4726" t="s">
        <v>474</v>
      </c>
      <c r="D4726">
        <v>1453.42</v>
      </c>
      <c r="E4726">
        <v>5</v>
      </c>
    </row>
    <row r="4727" spans="2:5" x14ac:dyDescent="0.25">
      <c r="B4727" t="s">
        <v>1859</v>
      </c>
      <c r="C4727" t="s">
        <v>1859</v>
      </c>
      <c r="D4727">
        <v>0</v>
      </c>
      <c r="E4727">
        <v>0</v>
      </c>
    </row>
    <row r="4728" spans="2:5" x14ac:dyDescent="0.25">
      <c r="B4728">
        <v>8708030</v>
      </c>
      <c r="C4728" t="s">
        <v>2979</v>
      </c>
      <c r="D4728">
        <v>0</v>
      </c>
      <c r="E4728">
        <v>0</v>
      </c>
    </row>
    <row r="4729" spans="2:5" x14ac:dyDescent="0.25">
      <c r="B4729">
        <v>8708040</v>
      </c>
      <c r="C4729" t="s">
        <v>472</v>
      </c>
      <c r="D4729">
        <v>900</v>
      </c>
      <c r="E4729">
        <v>2</v>
      </c>
    </row>
    <row r="4730" spans="2:5" x14ac:dyDescent="0.25">
      <c r="B4730">
        <v>8708044</v>
      </c>
      <c r="C4730" t="s">
        <v>1819</v>
      </c>
      <c r="D4730">
        <v>1300</v>
      </c>
      <c r="E4730">
        <v>2</v>
      </c>
    </row>
    <row r="4731" spans="2:5" x14ac:dyDescent="0.25">
      <c r="B4731">
        <v>8708045</v>
      </c>
      <c r="C4731" t="s">
        <v>996</v>
      </c>
      <c r="D4731">
        <v>2300</v>
      </c>
      <c r="E4731">
        <v>4</v>
      </c>
    </row>
    <row r="4732" spans="2:5" x14ac:dyDescent="0.25">
      <c r="B4732">
        <v>8708046</v>
      </c>
      <c r="C4732" t="s">
        <v>1820</v>
      </c>
      <c r="D4732">
        <v>1300</v>
      </c>
      <c r="E4732">
        <v>1</v>
      </c>
    </row>
    <row r="4733" spans="2:5" x14ac:dyDescent="0.25">
      <c r="B4733">
        <v>8708047</v>
      </c>
      <c r="C4733" t="s">
        <v>1821</v>
      </c>
      <c r="D4733">
        <v>1300</v>
      </c>
      <c r="E4733">
        <v>6</v>
      </c>
    </row>
    <row r="4734" spans="2:5" x14ac:dyDescent="0.25">
      <c r="B4734">
        <v>8708048</v>
      </c>
      <c r="C4734" t="s">
        <v>1822</v>
      </c>
      <c r="D4734">
        <v>1300</v>
      </c>
      <c r="E4734">
        <v>0</v>
      </c>
    </row>
    <row r="4735" spans="2:5" x14ac:dyDescent="0.25">
      <c r="B4735">
        <v>8708049</v>
      </c>
      <c r="C4735" t="s">
        <v>1028</v>
      </c>
      <c r="D4735">
        <v>1300</v>
      </c>
      <c r="E4735">
        <v>0</v>
      </c>
    </row>
    <row r="4736" spans="2:5" x14ac:dyDescent="0.25">
      <c r="B4736">
        <v>8708052</v>
      </c>
      <c r="C4736" t="s">
        <v>1427</v>
      </c>
      <c r="D4736">
        <v>2900</v>
      </c>
      <c r="E4736">
        <v>3</v>
      </c>
    </row>
    <row r="4737" spans="2:5" x14ac:dyDescent="0.25">
      <c r="B4737">
        <v>8708053</v>
      </c>
      <c r="C4737" t="s">
        <v>1004</v>
      </c>
      <c r="D4737">
        <v>2900</v>
      </c>
      <c r="E4737">
        <v>0</v>
      </c>
    </row>
    <row r="4738" spans="2:5" x14ac:dyDescent="0.25">
      <c r="B4738">
        <v>8708054</v>
      </c>
      <c r="C4738" t="s">
        <v>1002</v>
      </c>
      <c r="D4738">
        <v>2900</v>
      </c>
      <c r="E4738">
        <v>3</v>
      </c>
    </row>
    <row r="4739" spans="2:5" x14ac:dyDescent="0.25">
      <c r="B4739">
        <v>8708055</v>
      </c>
      <c r="C4739" t="s">
        <v>1000</v>
      </c>
      <c r="D4739">
        <v>2990</v>
      </c>
      <c r="E4739">
        <v>2</v>
      </c>
    </row>
    <row r="4740" spans="2:5" x14ac:dyDescent="0.25">
      <c r="B4740">
        <v>8708056</v>
      </c>
      <c r="C4740" t="s">
        <v>1001</v>
      </c>
      <c r="D4740">
        <v>2990</v>
      </c>
      <c r="E4740">
        <v>0</v>
      </c>
    </row>
    <row r="4741" spans="2:5" x14ac:dyDescent="0.25">
      <c r="B4741">
        <v>8708057</v>
      </c>
      <c r="C4741" t="s">
        <v>1003</v>
      </c>
      <c r="D4741">
        <v>2990</v>
      </c>
      <c r="E4741">
        <v>2</v>
      </c>
    </row>
    <row r="4742" spans="2:5" x14ac:dyDescent="0.25">
      <c r="B4742">
        <v>8708058</v>
      </c>
      <c r="C4742" t="s">
        <v>999</v>
      </c>
      <c r="D4742">
        <v>2990</v>
      </c>
      <c r="E4742">
        <v>1</v>
      </c>
    </row>
    <row r="4743" spans="2:5" x14ac:dyDescent="0.25">
      <c r="B4743">
        <v>8708070</v>
      </c>
      <c r="C4743" t="s">
        <v>1260</v>
      </c>
      <c r="D4743">
        <v>3600</v>
      </c>
      <c r="E4743">
        <v>0</v>
      </c>
    </row>
    <row r="4744" spans="2:5" x14ac:dyDescent="0.25">
      <c r="B4744">
        <v>8708071</v>
      </c>
      <c r="C4744" t="s">
        <v>2980</v>
      </c>
      <c r="D4744">
        <v>0</v>
      </c>
      <c r="E4744">
        <v>0</v>
      </c>
    </row>
    <row r="4745" spans="2:5" x14ac:dyDescent="0.25">
      <c r="B4745" t="s">
        <v>1859</v>
      </c>
      <c r="C4745" t="s">
        <v>1859</v>
      </c>
      <c r="D4745">
        <v>0</v>
      </c>
      <c r="E4745">
        <v>0</v>
      </c>
    </row>
    <row r="4746" spans="2:5" x14ac:dyDescent="0.25">
      <c r="B4746">
        <v>8708090</v>
      </c>
      <c r="C4746" t="s">
        <v>2981</v>
      </c>
      <c r="D4746">
        <v>0</v>
      </c>
      <c r="E4746">
        <v>0</v>
      </c>
    </row>
    <row r="4747" spans="2:5" x14ac:dyDescent="0.25">
      <c r="B4747" t="s">
        <v>1859</v>
      </c>
      <c r="C4747" t="s">
        <v>1859</v>
      </c>
      <c r="D4747">
        <v>0</v>
      </c>
      <c r="E4747">
        <v>0</v>
      </c>
    </row>
    <row r="4748" spans="2:5" x14ac:dyDescent="0.25">
      <c r="B4748">
        <v>8708091</v>
      </c>
      <c r="C4748" t="s">
        <v>2982</v>
      </c>
      <c r="D4748">
        <v>0</v>
      </c>
      <c r="E4748">
        <v>0</v>
      </c>
    </row>
    <row r="4749" spans="2:5" x14ac:dyDescent="0.25">
      <c r="B4749" t="s">
        <v>1859</v>
      </c>
      <c r="C4749" t="s">
        <v>1859</v>
      </c>
      <c r="D4749">
        <v>0</v>
      </c>
      <c r="E4749">
        <v>0</v>
      </c>
    </row>
    <row r="4750" spans="2:5" x14ac:dyDescent="0.25">
      <c r="B4750">
        <v>8708092</v>
      </c>
      <c r="C4750" t="s">
        <v>2983</v>
      </c>
      <c r="D4750">
        <v>0</v>
      </c>
      <c r="E4750">
        <v>0</v>
      </c>
    </row>
    <row r="4751" spans="2:5" x14ac:dyDescent="0.25">
      <c r="B4751" t="s">
        <v>1859</v>
      </c>
      <c r="C4751" t="s">
        <v>1859</v>
      </c>
      <c r="D4751">
        <v>0</v>
      </c>
      <c r="E4751">
        <v>0</v>
      </c>
    </row>
    <row r="4752" spans="2:5" x14ac:dyDescent="0.25">
      <c r="B4752">
        <v>8708093</v>
      </c>
      <c r="C4752" t="s">
        <v>2984</v>
      </c>
      <c r="D4752">
        <v>0</v>
      </c>
      <c r="E4752">
        <v>0</v>
      </c>
    </row>
    <row r="4753" spans="2:5" x14ac:dyDescent="0.25">
      <c r="B4753">
        <v>8708099</v>
      </c>
      <c r="C4753" t="s">
        <v>39</v>
      </c>
      <c r="D4753">
        <v>6100</v>
      </c>
      <c r="E4753">
        <v>0</v>
      </c>
    </row>
    <row r="4754" spans="2:5" x14ac:dyDescent="0.25">
      <c r="B4754">
        <v>8708100</v>
      </c>
      <c r="C4754" t="s">
        <v>977</v>
      </c>
      <c r="D4754">
        <v>6100</v>
      </c>
      <c r="E4754">
        <v>27</v>
      </c>
    </row>
    <row r="4755" spans="2:5" x14ac:dyDescent="0.25">
      <c r="B4755">
        <v>8708101</v>
      </c>
      <c r="C4755" t="s">
        <v>966</v>
      </c>
      <c r="D4755">
        <v>5700</v>
      </c>
      <c r="E4755">
        <v>7</v>
      </c>
    </row>
    <row r="4756" spans="2:5" x14ac:dyDescent="0.25">
      <c r="B4756">
        <v>8708102</v>
      </c>
      <c r="C4756" t="s">
        <v>962</v>
      </c>
      <c r="D4756">
        <v>9500</v>
      </c>
      <c r="E4756">
        <v>7</v>
      </c>
    </row>
    <row r="4757" spans="2:5" x14ac:dyDescent="0.25">
      <c r="B4757">
        <v>8708103</v>
      </c>
      <c r="C4757" t="s">
        <v>976</v>
      </c>
      <c r="D4757">
        <v>6100</v>
      </c>
      <c r="E4757">
        <v>19</v>
      </c>
    </row>
    <row r="4758" spans="2:5" x14ac:dyDescent="0.25">
      <c r="B4758">
        <v>8708104</v>
      </c>
      <c r="C4758" t="s">
        <v>38</v>
      </c>
      <c r="D4758">
        <v>400</v>
      </c>
      <c r="E4758">
        <v>23</v>
      </c>
    </row>
    <row r="4759" spans="2:5" x14ac:dyDescent="0.25">
      <c r="B4759">
        <v>8708105</v>
      </c>
      <c r="C4759" t="s">
        <v>1005</v>
      </c>
      <c r="D4759">
        <v>3100</v>
      </c>
      <c r="E4759">
        <v>3</v>
      </c>
    </row>
    <row r="4760" spans="2:5" x14ac:dyDescent="0.25">
      <c r="B4760" t="s">
        <v>1859</v>
      </c>
      <c r="C4760" t="s">
        <v>1859</v>
      </c>
      <c r="D4760">
        <v>0</v>
      </c>
      <c r="E4760">
        <v>0</v>
      </c>
    </row>
    <row r="4761" spans="2:5" x14ac:dyDescent="0.25">
      <c r="B4761">
        <v>8708106</v>
      </c>
      <c r="C4761" t="s">
        <v>2985</v>
      </c>
      <c r="D4761">
        <v>0</v>
      </c>
      <c r="E4761">
        <v>0</v>
      </c>
    </row>
    <row r="4762" spans="2:5" x14ac:dyDescent="0.25">
      <c r="B4762">
        <v>8708107</v>
      </c>
      <c r="C4762" t="s">
        <v>1823</v>
      </c>
      <c r="D4762">
        <v>1100</v>
      </c>
      <c r="E4762">
        <v>0</v>
      </c>
    </row>
    <row r="4763" spans="2:5" x14ac:dyDescent="0.25">
      <c r="B4763" t="s">
        <v>1859</v>
      </c>
      <c r="C4763" t="s">
        <v>1859</v>
      </c>
      <c r="D4763">
        <v>0</v>
      </c>
      <c r="E4763">
        <v>0</v>
      </c>
    </row>
    <row r="4764" spans="2:5" x14ac:dyDescent="0.25">
      <c r="B4764">
        <v>8708108</v>
      </c>
      <c r="C4764" t="s">
        <v>2986</v>
      </c>
      <c r="D4764">
        <v>0</v>
      </c>
      <c r="E4764">
        <v>0</v>
      </c>
    </row>
    <row r="4765" spans="2:5" x14ac:dyDescent="0.25">
      <c r="B4765">
        <v>8708109</v>
      </c>
      <c r="C4765" t="s">
        <v>1314</v>
      </c>
      <c r="D4765">
        <v>2057</v>
      </c>
      <c r="E4765">
        <v>0</v>
      </c>
    </row>
    <row r="4766" spans="2:5" x14ac:dyDescent="0.25">
      <c r="B4766">
        <v>8708110</v>
      </c>
      <c r="C4766" t="s">
        <v>1824</v>
      </c>
      <c r="D4766">
        <v>2800</v>
      </c>
      <c r="E4766">
        <v>10</v>
      </c>
    </row>
    <row r="4767" spans="2:5" x14ac:dyDescent="0.25">
      <c r="B4767">
        <v>8708111</v>
      </c>
      <c r="C4767" t="s">
        <v>407</v>
      </c>
      <c r="D4767">
        <v>4100</v>
      </c>
      <c r="E4767">
        <v>22</v>
      </c>
    </row>
    <row r="4768" spans="2:5" x14ac:dyDescent="0.25">
      <c r="B4768">
        <v>8708112</v>
      </c>
      <c r="C4768" t="s">
        <v>408</v>
      </c>
      <c r="D4768">
        <v>4900</v>
      </c>
      <c r="E4768">
        <v>48</v>
      </c>
    </row>
    <row r="4769" spans="2:5" x14ac:dyDescent="0.25">
      <c r="B4769">
        <v>8708113</v>
      </c>
      <c r="C4769" t="s">
        <v>405</v>
      </c>
      <c r="D4769">
        <v>6000</v>
      </c>
      <c r="E4769">
        <v>85</v>
      </c>
    </row>
    <row r="4770" spans="2:5" x14ac:dyDescent="0.25">
      <c r="B4770">
        <v>8708114</v>
      </c>
      <c r="C4770" t="s">
        <v>975</v>
      </c>
      <c r="D4770">
        <v>6100</v>
      </c>
      <c r="E4770">
        <v>26</v>
      </c>
    </row>
    <row r="4771" spans="2:5" x14ac:dyDescent="0.25">
      <c r="B4771">
        <v>8708115</v>
      </c>
      <c r="C4771" t="s">
        <v>1327</v>
      </c>
      <c r="D4771">
        <v>581.65</v>
      </c>
      <c r="E4771">
        <v>0</v>
      </c>
    </row>
    <row r="4772" spans="2:5" x14ac:dyDescent="0.25">
      <c r="B4772">
        <v>8708116</v>
      </c>
      <c r="C4772" t="s">
        <v>1825</v>
      </c>
      <c r="D4772">
        <v>7900</v>
      </c>
      <c r="E4772">
        <v>27</v>
      </c>
    </row>
    <row r="4773" spans="2:5" x14ac:dyDescent="0.25">
      <c r="B4773">
        <v>8708117</v>
      </c>
      <c r="C4773" t="s">
        <v>987</v>
      </c>
      <c r="D4773">
        <v>3990</v>
      </c>
      <c r="E4773">
        <v>2</v>
      </c>
    </row>
    <row r="4774" spans="2:5" x14ac:dyDescent="0.25">
      <c r="B4774">
        <v>8708118</v>
      </c>
      <c r="C4774" t="s">
        <v>984</v>
      </c>
      <c r="D4774">
        <v>3990</v>
      </c>
      <c r="E4774">
        <v>0</v>
      </c>
    </row>
    <row r="4775" spans="2:5" x14ac:dyDescent="0.25">
      <c r="B4775">
        <v>8708119</v>
      </c>
      <c r="C4775" t="s">
        <v>988</v>
      </c>
      <c r="D4775">
        <v>3990</v>
      </c>
      <c r="E4775">
        <v>0</v>
      </c>
    </row>
    <row r="4776" spans="2:5" x14ac:dyDescent="0.25">
      <c r="B4776">
        <v>8708120</v>
      </c>
      <c r="C4776" t="s">
        <v>978</v>
      </c>
      <c r="D4776">
        <v>6100</v>
      </c>
      <c r="E4776">
        <v>12</v>
      </c>
    </row>
    <row r="4777" spans="2:5" x14ac:dyDescent="0.25">
      <c r="B4777">
        <v>8708121</v>
      </c>
      <c r="C4777" t="s">
        <v>994</v>
      </c>
      <c r="D4777">
        <v>4500</v>
      </c>
      <c r="E4777">
        <v>38</v>
      </c>
    </row>
    <row r="4778" spans="2:5" x14ac:dyDescent="0.25">
      <c r="B4778">
        <v>8708122</v>
      </c>
      <c r="C4778" t="s">
        <v>1029</v>
      </c>
      <c r="D4778">
        <v>604.62</v>
      </c>
      <c r="E4778">
        <v>0</v>
      </c>
    </row>
    <row r="4779" spans="2:5" x14ac:dyDescent="0.25">
      <c r="B4779">
        <v>8708123</v>
      </c>
      <c r="C4779" t="s">
        <v>967</v>
      </c>
      <c r="D4779">
        <v>5700</v>
      </c>
      <c r="E4779">
        <v>7</v>
      </c>
    </row>
    <row r="4780" spans="2:5" x14ac:dyDescent="0.25">
      <c r="B4780">
        <v>8708124</v>
      </c>
      <c r="C4780" t="s">
        <v>995</v>
      </c>
      <c r="D4780">
        <v>4500</v>
      </c>
      <c r="E4780">
        <v>2</v>
      </c>
    </row>
    <row r="4781" spans="2:5" x14ac:dyDescent="0.25">
      <c r="B4781">
        <v>8708125</v>
      </c>
      <c r="C4781" t="s">
        <v>992</v>
      </c>
      <c r="D4781">
        <v>4500</v>
      </c>
      <c r="E4781">
        <v>1</v>
      </c>
    </row>
    <row r="4782" spans="2:5" x14ac:dyDescent="0.25">
      <c r="B4782">
        <v>8708126</v>
      </c>
      <c r="C4782" t="s">
        <v>991</v>
      </c>
      <c r="D4782">
        <v>4500</v>
      </c>
      <c r="E4782">
        <v>3</v>
      </c>
    </row>
    <row r="4783" spans="2:5" x14ac:dyDescent="0.25">
      <c r="B4783">
        <v>8708127</v>
      </c>
      <c r="C4783" t="s">
        <v>993</v>
      </c>
      <c r="D4783">
        <v>4500</v>
      </c>
      <c r="E4783">
        <v>2</v>
      </c>
    </row>
    <row r="4784" spans="2:5" x14ac:dyDescent="0.25">
      <c r="B4784">
        <v>8708128</v>
      </c>
      <c r="C4784" t="s">
        <v>985</v>
      </c>
      <c r="D4784">
        <v>3990</v>
      </c>
      <c r="E4784">
        <v>0</v>
      </c>
    </row>
    <row r="4785" spans="2:5" x14ac:dyDescent="0.25">
      <c r="B4785">
        <v>8708129</v>
      </c>
      <c r="C4785" t="s">
        <v>986</v>
      </c>
      <c r="D4785">
        <v>3990</v>
      </c>
      <c r="E4785">
        <v>1</v>
      </c>
    </row>
    <row r="4786" spans="2:5" x14ac:dyDescent="0.25">
      <c r="B4786">
        <v>8708130</v>
      </c>
      <c r="C4786" t="s">
        <v>1424</v>
      </c>
      <c r="D4786">
        <v>3990</v>
      </c>
      <c r="E4786">
        <v>23</v>
      </c>
    </row>
    <row r="4787" spans="2:5" x14ac:dyDescent="0.25">
      <c r="B4787">
        <v>8708196</v>
      </c>
      <c r="C4787" t="s">
        <v>1019</v>
      </c>
      <c r="D4787">
        <v>1515.35</v>
      </c>
      <c r="E4787">
        <v>91</v>
      </c>
    </row>
    <row r="4788" spans="2:5" x14ac:dyDescent="0.25">
      <c r="B4788">
        <v>8708198</v>
      </c>
      <c r="C4788" t="s">
        <v>1032</v>
      </c>
      <c r="D4788">
        <v>1682.19</v>
      </c>
      <c r="E4788">
        <v>0</v>
      </c>
    </row>
    <row r="4789" spans="2:5" x14ac:dyDescent="0.25">
      <c r="B4789">
        <v>8708202</v>
      </c>
      <c r="C4789" t="s">
        <v>1039</v>
      </c>
      <c r="D4789">
        <v>1682.19</v>
      </c>
      <c r="E4789">
        <v>1</v>
      </c>
    </row>
    <row r="4790" spans="2:5" x14ac:dyDescent="0.25">
      <c r="B4790">
        <v>8708203</v>
      </c>
      <c r="C4790" t="s">
        <v>1013</v>
      </c>
      <c r="D4790">
        <v>1814.99</v>
      </c>
      <c r="E4790">
        <v>0</v>
      </c>
    </row>
    <row r="4791" spans="2:5" x14ac:dyDescent="0.25">
      <c r="B4791">
        <v>8708204</v>
      </c>
      <c r="C4791" t="s">
        <v>1014</v>
      </c>
      <c r="D4791">
        <v>1814.99</v>
      </c>
      <c r="E4791">
        <v>2</v>
      </c>
    </row>
    <row r="4792" spans="2:5" x14ac:dyDescent="0.25">
      <c r="B4792">
        <v>8708205</v>
      </c>
      <c r="C4792" t="s">
        <v>1017</v>
      </c>
      <c r="D4792">
        <v>1835.25</v>
      </c>
      <c r="E4792">
        <v>1</v>
      </c>
    </row>
    <row r="4793" spans="2:5" x14ac:dyDescent="0.25">
      <c r="B4793">
        <v>8708206</v>
      </c>
      <c r="C4793" t="s">
        <v>1826</v>
      </c>
      <c r="D4793">
        <v>1835.25</v>
      </c>
      <c r="E4793">
        <v>4</v>
      </c>
    </row>
    <row r="4794" spans="2:5" x14ac:dyDescent="0.25">
      <c r="B4794">
        <v>8708207</v>
      </c>
      <c r="C4794" t="s">
        <v>1016</v>
      </c>
      <c r="D4794">
        <v>1996.5</v>
      </c>
      <c r="E4794">
        <v>9</v>
      </c>
    </row>
    <row r="4795" spans="2:5" x14ac:dyDescent="0.25">
      <c r="B4795">
        <v>8708209</v>
      </c>
      <c r="C4795" t="s">
        <v>1024</v>
      </c>
      <c r="D4795">
        <v>1529.12</v>
      </c>
      <c r="E4795">
        <v>0</v>
      </c>
    </row>
    <row r="4796" spans="2:5" x14ac:dyDescent="0.25">
      <c r="B4796">
        <v>8708210</v>
      </c>
      <c r="C4796" t="s">
        <v>1023</v>
      </c>
      <c r="D4796">
        <v>1814.99</v>
      </c>
      <c r="E4796">
        <v>8</v>
      </c>
    </row>
    <row r="4797" spans="2:5" x14ac:dyDescent="0.25">
      <c r="B4797">
        <v>8708211</v>
      </c>
      <c r="C4797" t="s">
        <v>1009</v>
      </c>
      <c r="D4797">
        <v>2177.9899999999998</v>
      </c>
      <c r="E4797">
        <v>1</v>
      </c>
    </row>
    <row r="4798" spans="2:5" x14ac:dyDescent="0.25">
      <c r="B4798">
        <v>8708213</v>
      </c>
      <c r="C4798" t="s">
        <v>1018</v>
      </c>
      <c r="D4798">
        <v>2141.38</v>
      </c>
      <c r="E4798">
        <v>5</v>
      </c>
    </row>
    <row r="4799" spans="2:5" x14ac:dyDescent="0.25">
      <c r="B4799" t="s">
        <v>1859</v>
      </c>
      <c r="C4799" t="s">
        <v>1859</v>
      </c>
      <c r="D4799">
        <v>0</v>
      </c>
      <c r="E4799">
        <v>0</v>
      </c>
    </row>
    <row r="4800" spans="2:5" x14ac:dyDescent="0.25">
      <c r="B4800">
        <v>8708214</v>
      </c>
      <c r="C4800" t="s">
        <v>2987</v>
      </c>
      <c r="D4800">
        <v>0</v>
      </c>
      <c r="E4800">
        <v>0</v>
      </c>
    </row>
    <row r="4801" spans="2:5" x14ac:dyDescent="0.25">
      <c r="B4801">
        <v>8708215</v>
      </c>
      <c r="C4801" t="s">
        <v>1022</v>
      </c>
      <c r="D4801">
        <v>1814.99</v>
      </c>
      <c r="E4801">
        <v>0</v>
      </c>
    </row>
    <row r="4802" spans="2:5" x14ac:dyDescent="0.25">
      <c r="B4802">
        <v>8708216</v>
      </c>
      <c r="C4802" t="s">
        <v>1007</v>
      </c>
      <c r="D4802">
        <v>1498.51</v>
      </c>
      <c r="E4802">
        <v>0</v>
      </c>
    </row>
    <row r="4803" spans="2:5" x14ac:dyDescent="0.25">
      <c r="B4803">
        <v>8708226</v>
      </c>
      <c r="C4803" t="s">
        <v>980</v>
      </c>
      <c r="D4803">
        <v>5900</v>
      </c>
      <c r="E4803">
        <v>8</v>
      </c>
    </row>
    <row r="4804" spans="2:5" x14ac:dyDescent="0.25">
      <c r="B4804">
        <v>8708227</v>
      </c>
      <c r="C4804" t="s">
        <v>989</v>
      </c>
      <c r="D4804">
        <v>5990</v>
      </c>
      <c r="E4804">
        <v>36</v>
      </c>
    </row>
    <row r="4805" spans="2:5" x14ac:dyDescent="0.25">
      <c r="B4805">
        <v>8708228</v>
      </c>
      <c r="C4805" t="s">
        <v>1008</v>
      </c>
      <c r="D4805">
        <v>302.5</v>
      </c>
      <c r="E4805">
        <v>1</v>
      </c>
    </row>
    <row r="4806" spans="2:5" x14ac:dyDescent="0.25">
      <c r="B4806">
        <v>8708249</v>
      </c>
      <c r="C4806" t="s">
        <v>1426</v>
      </c>
      <c r="D4806">
        <v>3100</v>
      </c>
      <c r="E4806">
        <v>26</v>
      </c>
    </row>
    <row r="4807" spans="2:5" x14ac:dyDescent="0.25">
      <c r="B4807">
        <v>8708254</v>
      </c>
      <c r="C4807" t="s">
        <v>1329</v>
      </c>
      <c r="D4807">
        <v>966.79</v>
      </c>
      <c r="E4807">
        <v>0</v>
      </c>
    </row>
    <row r="4808" spans="2:5" x14ac:dyDescent="0.25">
      <c r="B4808">
        <v>8708255</v>
      </c>
      <c r="C4808" t="s">
        <v>5</v>
      </c>
      <c r="D4808">
        <v>990</v>
      </c>
      <c r="E4808">
        <v>1</v>
      </c>
    </row>
    <row r="4809" spans="2:5" x14ac:dyDescent="0.25">
      <c r="B4809">
        <v>8708272</v>
      </c>
      <c r="C4809" t="s">
        <v>1258</v>
      </c>
      <c r="D4809">
        <v>2860</v>
      </c>
      <c r="E4809">
        <v>0</v>
      </c>
    </row>
    <row r="4810" spans="2:5" x14ac:dyDescent="0.25">
      <c r="B4810">
        <v>8708273</v>
      </c>
      <c r="C4810" t="s">
        <v>1259</v>
      </c>
      <c r="D4810">
        <v>1860</v>
      </c>
      <c r="E4810">
        <v>0</v>
      </c>
    </row>
    <row r="4811" spans="2:5" x14ac:dyDescent="0.25">
      <c r="B4811">
        <v>8708300</v>
      </c>
      <c r="C4811" t="s">
        <v>1417</v>
      </c>
      <c r="D4811">
        <v>6200</v>
      </c>
      <c r="E4811">
        <v>17</v>
      </c>
    </row>
    <row r="4812" spans="2:5" x14ac:dyDescent="0.25">
      <c r="B4812">
        <v>8708301</v>
      </c>
      <c r="C4812" t="s">
        <v>1827</v>
      </c>
      <c r="D4812">
        <v>6200</v>
      </c>
      <c r="E4812">
        <v>9</v>
      </c>
    </row>
    <row r="4813" spans="2:5" x14ac:dyDescent="0.25">
      <c r="B4813">
        <v>8708311</v>
      </c>
      <c r="C4813" t="s">
        <v>971</v>
      </c>
      <c r="D4813">
        <v>5900</v>
      </c>
      <c r="E4813">
        <v>0</v>
      </c>
    </row>
    <row r="4814" spans="2:5" x14ac:dyDescent="0.25">
      <c r="B4814">
        <v>8708312</v>
      </c>
      <c r="C4814" t="s">
        <v>970</v>
      </c>
      <c r="D4814">
        <v>5900</v>
      </c>
      <c r="E4814">
        <v>0</v>
      </c>
    </row>
    <row r="4815" spans="2:5" x14ac:dyDescent="0.25">
      <c r="B4815">
        <v>8708313</v>
      </c>
      <c r="C4815" t="s">
        <v>968</v>
      </c>
      <c r="D4815">
        <v>5900</v>
      </c>
      <c r="E4815">
        <v>0</v>
      </c>
    </row>
    <row r="4816" spans="2:5" x14ac:dyDescent="0.25">
      <c r="B4816">
        <v>8708314</v>
      </c>
      <c r="C4816" t="s">
        <v>969</v>
      </c>
      <c r="D4816">
        <v>5900</v>
      </c>
      <c r="E4816">
        <v>0</v>
      </c>
    </row>
    <row r="4817" spans="2:5" x14ac:dyDescent="0.25">
      <c r="B4817">
        <v>8708315</v>
      </c>
      <c r="C4817" t="s">
        <v>972</v>
      </c>
      <c r="D4817">
        <v>5900</v>
      </c>
      <c r="E4817">
        <v>1</v>
      </c>
    </row>
    <row r="4818" spans="2:5" x14ac:dyDescent="0.25">
      <c r="B4818" t="s">
        <v>1859</v>
      </c>
      <c r="C4818" t="s">
        <v>1859</v>
      </c>
      <c r="D4818">
        <v>0</v>
      </c>
      <c r="E4818">
        <v>0</v>
      </c>
    </row>
    <row r="4819" spans="2:5" x14ac:dyDescent="0.25">
      <c r="B4819">
        <v>8708402</v>
      </c>
      <c r="C4819" t="s">
        <v>2988</v>
      </c>
      <c r="D4819">
        <v>0</v>
      </c>
      <c r="E4819">
        <v>0</v>
      </c>
    </row>
    <row r="4820" spans="2:5" x14ac:dyDescent="0.25">
      <c r="B4820">
        <v>8708550</v>
      </c>
      <c r="C4820" t="s">
        <v>1425</v>
      </c>
      <c r="D4820">
        <v>1300</v>
      </c>
      <c r="E4820">
        <v>39</v>
      </c>
    </row>
    <row r="4821" spans="2:5" x14ac:dyDescent="0.25">
      <c r="B4821" t="s">
        <v>1859</v>
      </c>
      <c r="C4821" t="s">
        <v>1859</v>
      </c>
      <c r="D4821">
        <v>0</v>
      </c>
      <c r="E4821">
        <v>0</v>
      </c>
    </row>
    <row r="4822" spans="2:5" x14ac:dyDescent="0.25">
      <c r="B4822">
        <v>8708551</v>
      </c>
      <c r="C4822" t="s">
        <v>2989</v>
      </c>
      <c r="D4822">
        <v>0</v>
      </c>
      <c r="E4822">
        <v>0</v>
      </c>
    </row>
    <row r="4823" spans="2:5" x14ac:dyDescent="0.25">
      <c r="B4823" t="s">
        <v>1859</v>
      </c>
      <c r="C4823" t="s">
        <v>1859</v>
      </c>
      <c r="D4823">
        <v>0</v>
      </c>
      <c r="E4823">
        <v>0</v>
      </c>
    </row>
    <row r="4824" spans="2:5" x14ac:dyDescent="0.25">
      <c r="B4824">
        <v>8708552</v>
      </c>
      <c r="C4824" t="s">
        <v>2990</v>
      </c>
      <c r="D4824">
        <v>0</v>
      </c>
      <c r="E4824">
        <v>0</v>
      </c>
    </row>
    <row r="4825" spans="2:5" x14ac:dyDescent="0.25">
      <c r="B4825">
        <v>8708601</v>
      </c>
      <c r="C4825" t="s">
        <v>981</v>
      </c>
      <c r="D4825">
        <v>2700</v>
      </c>
      <c r="E4825">
        <v>213</v>
      </c>
    </row>
    <row r="4826" spans="2:5" x14ac:dyDescent="0.25">
      <c r="B4826">
        <v>8708602</v>
      </c>
      <c r="C4826" t="s">
        <v>954</v>
      </c>
      <c r="D4826">
        <v>2800</v>
      </c>
      <c r="E4826">
        <v>120</v>
      </c>
    </row>
    <row r="4827" spans="2:5" x14ac:dyDescent="0.25">
      <c r="B4827">
        <v>8708603</v>
      </c>
      <c r="C4827" t="s">
        <v>974</v>
      </c>
      <c r="D4827">
        <v>3900</v>
      </c>
      <c r="E4827">
        <v>33</v>
      </c>
    </row>
    <row r="4828" spans="2:5" x14ac:dyDescent="0.25">
      <c r="B4828">
        <v>8708604</v>
      </c>
      <c r="C4828" t="s">
        <v>983</v>
      </c>
      <c r="D4828">
        <v>1999</v>
      </c>
      <c r="E4828">
        <v>181</v>
      </c>
    </row>
    <row r="4829" spans="2:5" x14ac:dyDescent="0.25">
      <c r="B4829">
        <v>8708607</v>
      </c>
      <c r="C4829" t="s">
        <v>965</v>
      </c>
      <c r="D4829">
        <v>5000</v>
      </c>
      <c r="E4829">
        <v>114</v>
      </c>
    </row>
    <row r="4830" spans="2:5" x14ac:dyDescent="0.25">
      <c r="B4830">
        <v>8708608</v>
      </c>
      <c r="C4830" t="s">
        <v>953</v>
      </c>
      <c r="D4830">
        <v>6200</v>
      </c>
      <c r="E4830">
        <v>323</v>
      </c>
    </row>
    <row r="4831" spans="2:5" x14ac:dyDescent="0.25">
      <c r="B4831">
        <v>8708609</v>
      </c>
      <c r="C4831" t="s">
        <v>973</v>
      </c>
      <c r="D4831">
        <v>4800</v>
      </c>
      <c r="E4831">
        <v>53</v>
      </c>
    </row>
    <row r="4832" spans="2:5" x14ac:dyDescent="0.25">
      <c r="B4832">
        <v>8708610</v>
      </c>
      <c r="C4832" t="s">
        <v>956</v>
      </c>
      <c r="D4832">
        <v>3900</v>
      </c>
      <c r="E4832">
        <v>158</v>
      </c>
    </row>
    <row r="4833" spans="2:5" x14ac:dyDescent="0.25">
      <c r="B4833" t="s">
        <v>1859</v>
      </c>
      <c r="C4833" t="s">
        <v>1859</v>
      </c>
      <c r="D4833">
        <v>0</v>
      </c>
      <c r="E4833">
        <v>0</v>
      </c>
    </row>
    <row r="4834" spans="2:5" x14ac:dyDescent="0.25">
      <c r="B4834">
        <v>8708615</v>
      </c>
      <c r="C4834" t="s">
        <v>2991</v>
      </c>
      <c r="D4834">
        <v>0</v>
      </c>
      <c r="E4834">
        <v>0</v>
      </c>
    </row>
    <row r="4835" spans="2:5" x14ac:dyDescent="0.25">
      <c r="B4835">
        <v>8708617</v>
      </c>
      <c r="C4835" t="s">
        <v>1060</v>
      </c>
      <c r="D4835">
        <v>1934.79</v>
      </c>
      <c r="E4835">
        <v>1</v>
      </c>
    </row>
    <row r="4836" spans="2:5" x14ac:dyDescent="0.25">
      <c r="B4836">
        <v>8708618</v>
      </c>
      <c r="C4836" t="s">
        <v>961</v>
      </c>
      <c r="D4836">
        <v>2200</v>
      </c>
      <c r="E4836">
        <v>26</v>
      </c>
    </row>
    <row r="4837" spans="2:5" x14ac:dyDescent="0.25">
      <c r="B4837">
        <v>8708620</v>
      </c>
      <c r="C4837" t="s">
        <v>990</v>
      </c>
      <c r="D4837">
        <v>4700</v>
      </c>
      <c r="E4837">
        <v>142</v>
      </c>
    </row>
    <row r="4838" spans="2:5" x14ac:dyDescent="0.25">
      <c r="B4838">
        <v>8708625</v>
      </c>
      <c r="C4838" t="s">
        <v>960</v>
      </c>
      <c r="D4838">
        <v>3200</v>
      </c>
      <c r="E4838">
        <v>150</v>
      </c>
    </row>
    <row r="4839" spans="2:5" x14ac:dyDescent="0.25">
      <c r="B4839">
        <v>8708628</v>
      </c>
      <c r="C4839" t="s">
        <v>959</v>
      </c>
      <c r="D4839">
        <v>4200</v>
      </c>
      <c r="E4839">
        <v>34</v>
      </c>
    </row>
    <row r="4840" spans="2:5" x14ac:dyDescent="0.25">
      <c r="B4840">
        <v>8708630</v>
      </c>
      <c r="C4840" t="s">
        <v>410</v>
      </c>
      <c r="D4840">
        <v>4838.79</v>
      </c>
      <c r="E4840">
        <v>37</v>
      </c>
    </row>
    <row r="4841" spans="2:5" x14ac:dyDescent="0.25">
      <c r="B4841">
        <v>8708631</v>
      </c>
      <c r="C4841" t="s">
        <v>979</v>
      </c>
      <c r="D4841">
        <v>1100</v>
      </c>
      <c r="E4841">
        <v>73</v>
      </c>
    </row>
    <row r="4842" spans="2:5" x14ac:dyDescent="0.25">
      <c r="B4842">
        <v>8708634</v>
      </c>
      <c r="C4842" t="s">
        <v>1448</v>
      </c>
      <c r="D4842">
        <v>3400</v>
      </c>
      <c r="E4842">
        <v>185</v>
      </c>
    </row>
    <row r="4843" spans="2:5" x14ac:dyDescent="0.25">
      <c r="B4843">
        <v>8708635</v>
      </c>
      <c r="C4843" t="s">
        <v>1828</v>
      </c>
      <c r="D4843">
        <v>1800</v>
      </c>
      <c r="E4843">
        <v>0</v>
      </c>
    </row>
    <row r="4844" spans="2:5" x14ac:dyDescent="0.25">
      <c r="B4844">
        <v>8708637</v>
      </c>
      <c r="C4844" t="s">
        <v>955</v>
      </c>
      <c r="D4844">
        <v>5600</v>
      </c>
      <c r="E4844">
        <v>85</v>
      </c>
    </row>
    <row r="4845" spans="2:5" x14ac:dyDescent="0.25">
      <c r="B4845">
        <v>8708639</v>
      </c>
      <c r="C4845" t="s">
        <v>1436</v>
      </c>
      <c r="D4845">
        <v>900</v>
      </c>
      <c r="E4845">
        <v>76</v>
      </c>
    </row>
    <row r="4846" spans="2:5" x14ac:dyDescent="0.25">
      <c r="B4846">
        <v>8708640</v>
      </c>
      <c r="C4846" t="s">
        <v>982</v>
      </c>
      <c r="D4846">
        <v>1500</v>
      </c>
      <c r="E4846">
        <v>75</v>
      </c>
    </row>
    <row r="4847" spans="2:5" x14ac:dyDescent="0.25">
      <c r="B4847">
        <v>8708643</v>
      </c>
      <c r="C4847" t="s">
        <v>957</v>
      </c>
      <c r="D4847">
        <v>2500</v>
      </c>
      <c r="E4847">
        <v>296</v>
      </c>
    </row>
    <row r="4848" spans="2:5" x14ac:dyDescent="0.25">
      <c r="B4848">
        <v>8708644</v>
      </c>
      <c r="C4848" t="s">
        <v>475</v>
      </c>
      <c r="D4848">
        <v>900</v>
      </c>
      <c r="E4848">
        <v>76</v>
      </c>
    </row>
    <row r="4849" spans="2:5" x14ac:dyDescent="0.25">
      <c r="B4849">
        <v>8708657</v>
      </c>
      <c r="C4849" t="s">
        <v>963</v>
      </c>
      <c r="D4849">
        <v>2500</v>
      </c>
      <c r="E4849">
        <v>35</v>
      </c>
    </row>
    <row r="4850" spans="2:5" x14ac:dyDescent="0.25">
      <c r="B4850">
        <v>8708815</v>
      </c>
      <c r="C4850" t="s">
        <v>1330</v>
      </c>
      <c r="D4850">
        <v>1000</v>
      </c>
      <c r="E4850">
        <v>405</v>
      </c>
    </row>
    <row r="4851" spans="2:5" x14ac:dyDescent="0.25">
      <c r="B4851">
        <v>8708888</v>
      </c>
      <c r="C4851" t="s">
        <v>1435</v>
      </c>
      <c r="D4851">
        <v>6900</v>
      </c>
      <c r="E4851">
        <v>0</v>
      </c>
    </row>
    <row r="4852" spans="2:5" x14ac:dyDescent="0.25">
      <c r="B4852">
        <v>8708899</v>
      </c>
      <c r="C4852" t="s">
        <v>1854</v>
      </c>
      <c r="D4852">
        <v>7300</v>
      </c>
      <c r="E4852">
        <v>47</v>
      </c>
    </row>
    <row r="4853" spans="2:5" x14ac:dyDescent="0.25">
      <c r="B4853">
        <v>8708900</v>
      </c>
      <c r="C4853" t="s">
        <v>2992</v>
      </c>
      <c r="D4853">
        <v>1339.39</v>
      </c>
      <c r="E4853">
        <v>0</v>
      </c>
    </row>
    <row r="4854" spans="2:5" x14ac:dyDescent="0.25">
      <c r="B4854" t="s">
        <v>1859</v>
      </c>
      <c r="C4854" t="s">
        <v>1859</v>
      </c>
      <c r="D4854">
        <v>0</v>
      </c>
      <c r="E4854">
        <v>0</v>
      </c>
    </row>
    <row r="4855" spans="2:5" x14ac:dyDescent="0.25">
      <c r="B4855">
        <v>8708901</v>
      </c>
      <c r="C4855" t="s">
        <v>2993</v>
      </c>
      <c r="D4855">
        <v>0</v>
      </c>
      <c r="E4855">
        <v>0</v>
      </c>
    </row>
    <row r="4856" spans="2:5" x14ac:dyDescent="0.25">
      <c r="B4856">
        <v>8708990</v>
      </c>
      <c r="C4856" t="s">
        <v>2994</v>
      </c>
      <c r="D4856">
        <v>1999.99</v>
      </c>
      <c r="E4856">
        <v>0</v>
      </c>
    </row>
    <row r="4857" spans="2:5" x14ac:dyDescent="0.25">
      <c r="B4857">
        <v>8708999</v>
      </c>
      <c r="C4857" t="s">
        <v>1829</v>
      </c>
      <c r="D4857">
        <v>6900</v>
      </c>
      <c r="E4857">
        <v>0</v>
      </c>
    </row>
    <row r="4858" spans="2:5" x14ac:dyDescent="0.25">
      <c r="B4858">
        <v>8709698</v>
      </c>
      <c r="C4858" t="s">
        <v>17</v>
      </c>
      <c r="D4858">
        <v>3420</v>
      </c>
      <c r="E4858">
        <v>0</v>
      </c>
    </row>
    <row r="4859" spans="2:5" x14ac:dyDescent="0.25">
      <c r="B4859" t="s">
        <v>1859</v>
      </c>
      <c r="C4859" t="s">
        <v>1859</v>
      </c>
      <c r="D4859">
        <v>0</v>
      </c>
      <c r="E4859">
        <v>0</v>
      </c>
    </row>
    <row r="4860" spans="2:5" x14ac:dyDescent="0.25">
      <c r="B4860">
        <v>8709699</v>
      </c>
      <c r="C4860" t="s">
        <v>2995</v>
      </c>
      <c r="D4860">
        <v>0</v>
      </c>
      <c r="E4860">
        <v>0</v>
      </c>
    </row>
    <row r="4861" spans="2:5" x14ac:dyDescent="0.25">
      <c r="B4861">
        <v>8711047</v>
      </c>
      <c r="C4861" t="s">
        <v>1388</v>
      </c>
      <c r="D4861">
        <v>4740</v>
      </c>
      <c r="E4861">
        <v>0</v>
      </c>
    </row>
    <row r="4862" spans="2:5" x14ac:dyDescent="0.25">
      <c r="B4862">
        <v>8711048</v>
      </c>
      <c r="C4862" t="s">
        <v>1386</v>
      </c>
      <c r="D4862">
        <v>5520</v>
      </c>
      <c r="E4862">
        <v>0</v>
      </c>
    </row>
    <row r="4863" spans="2:5" x14ac:dyDescent="0.25">
      <c r="B4863">
        <v>8711049</v>
      </c>
      <c r="C4863" t="s">
        <v>1387</v>
      </c>
      <c r="D4863">
        <v>6075</v>
      </c>
      <c r="E4863">
        <v>0</v>
      </c>
    </row>
    <row r="4864" spans="2:5" x14ac:dyDescent="0.25">
      <c r="B4864">
        <v>8711105</v>
      </c>
      <c r="C4864" t="s">
        <v>1392</v>
      </c>
      <c r="D4864">
        <v>1597.19</v>
      </c>
      <c r="E4864">
        <v>0</v>
      </c>
    </row>
    <row r="4865" spans="2:5" x14ac:dyDescent="0.25">
      <c r="B4865">
        <v>8711700</v>
      </c>
      <c r="C4865" t="s">
        <v>1393</v>
      </c>
      <c r="D4865">
        <v>2400</v>
      </c>
      <c r="E4865">
        <v>7</v>
      </c>
    </row>
    <row r="4866" spans="2:5" x14ac:dyDescent="0.25">
      <c r="B4866">
        <v>8711701</v>
      </c>
      <c r="C4866" t="s">
        <v>1391</v>
      </c>
      <c r="D4866">
        <v>3150</v>
      </c>
      <c r="E4866">
        <v>0</v>
      </c>
    </row>
    <row r="4867" spans="2:5" x14ac:dyDescent="0.25">
      <c r="B4867">
        <v>8711702</v>
      </c>
      <c r="C4867" t="s">
        <v>1389</v>
      </c>
      <c r="D4867">
        <v>3450</v>
      </c>
      <c r="E4867">
        <v>5</v>
      </c>
    </row>
    <row r="4868" spans="2:5" x14ac:dyDescent="0.25">
      <c r="B4868" t="s">
        <v>1859</v>
      </c>
      <c r="C4868" t="s">
        <v>1859</v>
      </c>
      <c r="D4868">
        <v>0</v>
      </c>
      <c r="E4868">
        <v>0</v>
      </c>
    </row>
    <row r="4869" spans="2:5" x14ac:dyDescent="0.25">
      <c r="B4869">
        <v>8711704</v>
      </c>
      <c r="C4869" t="s">
        <v>2996</v>
      </c>
      <c r="D4869">
        <v>0</v>
      </c>
      <c r="E4869">
        <v>0</v>
      </c>
    </row>
    <row r="4870" spans="2:5" x14ac:dyDescent="0.25">
      <c r="B4870">
        <v>8711706</v>
      </c>
      <c r="C4870" t="s">
        <v>1390</v>
      </c>
      <c r="D4870">
        <v>1222.99</v>
      </c>
      <c r="E4870">
        <v>0</v>
      </c>
    </row>
    <row r="4871" spans="2:5" x14ac:dyDescent="0.25">
      <c r="B4871" t="s">
        <v>1859</v>
      </c>
      <c r="C4871" t="s">
        <v>1859</v>
      </c>
      <c r="D4871">
        <v>0</v>
      </c>
      <c r="E4871">
        <v>0</v>
      </c>
    </row>
    <row r="4872" spans="2:5" x14ac:dyDescent="0.25">
      <c r="B4872">
        <v>8711707</v>
      </c>
      <c r="C4872" t="s">
        <v>2997</v>
      </c>
      <c r="D4872">
        <v>0</v>
      </c>
      <c r="E4872">
        <v>0</v>
      </c>
    </row>
    <row r="4873" spans="2:5" x14ac:dyDescent="0.25">
      <c r="B4873" t="s">
        <v>1859</v>
      </c>
      <c r="C4873" t="s">
        <v>1859</v>
      </c>
      <c r="D4873">
        <v>0</v>
      </c>
      <c r="E4873">
        <v>0</v>
      </c>
    </row>
    <row r="4874" spans="2:5" x14ac:dyDescent="0.25">
      <c r="B4874">
        <v>8715004</v>
      </c>
      <c r="C4874" t="s">
        <v>2998</v>
      </c>
      <c r="D4874">
        <v>0</v>
      </c>
      <c r="E4874">
        <v>0</v>
      </c>
    </row>
    <row r="4875" spans="2:5" x14ac:dyDescent="0.25">
      <c r="B4875">
        <v>8715803</v>
      </c>
      <c r="C4875" t="s">
        <v>1321</v>
      </c>
      <c r="D4875">
        <v>122.45</v>
      </c>
      <c r="E4875">
        <v>13</v>
      </c>
    </row>
    <row r="4876" spans="2:5" x14ac:dyDescent="0.25">
      <c r="B4876">
        <v>8717033</v>
      </c>
      <c r="C4876" t="s">
        <v>705</v>
      </c>
      <c r="D4876">
        <v>648.45000000000005</v>
      </c>
      <c r="E4876">
        <v>220</v>
      </c>
    </row>
    <row r="4877" spans="2:5" x14ac:dyDescent="0.25">
      <c r="B4877">
        <v>8800000</v>
      </c>
      <c r="C4877" t="s">
        <v>2999</v>
      </c>
      <c r="D4877">
        <v>0</v>
      </c>
      <c r="E4877">
        <v>0</v>
      </c>
    </row>
    <row r="4878" spans="2:5" x14ac:dyDescent="0.25">
      <c r="B4878" t="s">
        <v>1859</v>
      </c>
      <c r="C4878" t="s">
        <v>1859</v>
      </c>
      <c r="D4878">
        <v>0</v>
      </c>
      <c r="E4878">
        <v>0</v>
      </c>
    </row>
    <row r="4879" spans="2:5" x14ac:dyDescent="0.25">
      <c r="B4879">
        <v>8800001</v>
      </c>
      <c r="C4879" t="s">
        <v>3000</v>
      </c>
      <c r="D4879">
        <v>0</v>
      </c>
      <c r="E4879">
        <v>0</v>
      </c>
    </row>
    <row r="4880" spans="2:5" x14ac:dyDescent="0.25">
      <c r="B4880" t="s">
        <v>1859</v>
      </c>
      <c r="C4880" t="s">
        <v>1859</v>
      </c>
      <c r="D4880">
        <v>0</v>
      </c>
      <c r="E4880">
        <v>0</v>
      </c>
    </row>
    <row r="4881" spans="2:5" x14ac:dyDescent="0.25">
      <c r="B4881">
        <v>8800002</v>
      </c>
      <c r="C4881" t="s">
        <v>3001</v>
      </c>
      <c r="D4881">
        <v>0</v>
      </c>
      <c r="E4881">
        <v>0</v>
      </c>
    </row>
    <row r="4882" spans="2:5" x14ac:dyDescent="0.25">
      <c r="B4882" t="s">
        <v>1859</v>
      </c>
      <c r="C4882" t="s">
        <v>1859</v>
      </c>
      <c r="D4882">
        <v>0</v>
      </c>
      <c r="E4882">
        <v>0</v>
      </c>
    </row>
    <row r="4883" spans="2:5" x14ac:dyDescent="0.25">
      <c r="B4883">
        <v>8800003</v>
      </c>
      <c r="C4883" t="s">
        <v>3002</v>
      </c>
      <c r="D4883">
        <v>0</v>
      </c>
      <c r="E4883">
        <v>0</v>
      </c>
    </row>
    <row r="4884" spans="2:5" x14ac:dyDescent="0.25">
      <c r="B4884" t="s">
        <v>1859</v>
      </c>
      <c r="C4884" t="s">
        <v>1859</v>
      </c>
      <c r="D4884">
        <v>0</v>
      </c>
      <c r="E4884">
        <v>0</v>
      </c>
    </row>
    <row r="4885" spans="2:5" x14ac:dyDescent="0.25">
      <c r="B4885">
        <v>8815007</v>
      </c>
      <c r="C4885" t="s">
        <v>2831</v>
      </c>
      <c r="D4885">
        <v>0</v>
      </c>
      <c r="E4885">
        <v>0</v>
      </c>
    </row>
    <row r="4886" spans="2:5" x14ac:dyDescent="0.25">
      <c r="B4886">
        <v>8857005</v>
      </c>
      <c r="C4886" t="s">
        <v>3003</v>
      </c>
      <c r="D4886">
        <v>1800</v>
      </c>
      <c r="E4886">
        <v>0</v>
      </c>
    </row>
    <row r="4887" spans="2:5" x14ac:dyDescent="0.25">
      <c r="B4887" t="s">
        <v>1859</v>
      </c>
      <c r="C4887" t="s">
        <v>1859</v>
      </c>
      <c r="D4887">
        <v>0</v>
      </c>
      <c r="E4887">
        <v>0</v>
      </c>
    </row>
    <row r="4888" spans="2:5" x14ac:dyDescent="0.25">
      <c r="B4888">
        <v>8858005</v>
      </c>
      <c r="C4888" t="s">
        <v>2831</v>
      </c>
      <c r="D4888">
        <v>0</v>
      </c>
      <c r="E4888">
        <v>0</v>
      </c>
    </row>
    <row r="4889" spans="2:5" x14ac:dyDescent="0.25">
      <c r="B4889" t="s">
        <v>1859</v>
      </c>
      <c r="C4889" t="s">
        <v>1859</v>
      </c>
      <c r="D4889">
        <v>0</v>
      </c>
      <c r="E4889">
        <v>0</v>
      </c>
    </row>
    <row r="4890" spans="2:5" x14ac:dyDescent="0.25">
      <c r="B4890">
        <v>8888001</v>
      </c>
      <c r="C4890" t="s">
        <v>3004</v>
      </c>
      <c r="D4890">
        <v>0</v>
      </c>
      <c r="E4890">
        <v>0</v>
      </c>
    </row>
    <row r="4891" spans="2:5" x14ac:dyDescent="0.25">
      <c r="B4891" t="s">
        <v>1859</v>
      </c>
      <c r="C4891" t="s">
        <v>1859</v>
      </c>
      <c r="D4891">
        <v>0</v>
      </c>
      <c r="E4891">
        <v>0</v>
      </c>
    </row>
    <row r="4892" spans="2:5" x14ac:dyDescent="0.25">
      <c r="B4892">
        <v>8888002</v>
      </c>
      <c r="C4892" t="s">
        <v>3005</v>
      </c>
      <c r="D4892">
        <v>0</v>
      </c>
      <c r="E4892">
        <v>0</v>
      </c>
    </row>
    <row r="4893" spans="2:5" x14ac:dyDescent="0.25">
      <c r="B4893" t="s">
        <v>1859</v>
      </c>
      <c r="C4893" t="s">
        <v>1859</v>
      </c>
      <c r="D4893">
        <v>0</v>
      </c>
      <c r="E4893">
        <v>0</v>
      </c>
    </row>
    <row r="4894" spans="2:5" x14ac:dyDescent="0.25">
      <c r="B4894">
        <v>8888003</v>
      </c>
      <c r="C4894" t="s">
        <v>3006</v>
      </c>
      <c r="D4894">
        <v>0</v>
      </c>
      <c r="E4894">
        <v>0</v>
      </c>
    </row>
    <row r="4895" spans="2:5" x14ac:dyDescent="0.25">
      <c r="B4895" t="s">
        <v>1859</v>
      </c>
      <c r="C4895" t="s">
        <v>1859</v>
      </c>
      <c r="D4895">
        <v>0</v>
      </c>
      <c r="E4895">
        <v>0</v>
      </c>
    </row>
    <row r="4896" spans="2:5" x14ac:dyDescent="0.25">
      <c r="B4896">
        <v>8888004</v>
      </c>
      <c r="C4896" t="s">
        <v>3007</v>
      </c>
      <c r="D4896">
        <v>0</v>
      </c>
      <c r="E4896">
        <v>0</v>
      </c>
    </row>
    <row r="4897" spans="2:5" x14ac:dyDescent="0.25">
      <c r="B4897" t="s">
        <v>1859</v>
      </c>
      <c r="C4897" t="s">
        <v>1859</v>
      </c>
      <c r="D4897">
        <v>0</v>
      </c>
      <c r="E4897">
        <v>0</v>
      </c>
    </row>
    <row r="4898" spans="2:5" x14ac:dyDescent="0.25">
      <c r="B4898">
        <v>8888005</v>
      </c>
      <c r="C4898" t="s">
        <v>3008</v>
      </c>
      <c r="D4898">
        <v>0</v>
      </c>
      <c r="E4898">
        <v>0</v>
      </c>
    </row>
    <row r="4899" spans="2:5" x14ac:dyDescent="0.25">
      <c r="B4899" t="s">
        <v>1859</v>
      </c>
      <c r="C4899" t="s">
        <v>1859</v>
      </c>
      <c r="D4899">
        <v>0</v>
      </c>
      <c r="E4899">
        <v>0</v>
      </c>
    </row>
    <row r="4900" spans="2:5" x14ac:dyDescent="0.25">
      <c r="B4900">
        <v>8888006</v>
      </c>
      <c r="C4900" t="s">
        <v>3009</v>
      </c>
      <c r="D4900">
        <v>0</v>
      </c>
      <c r="E4900">
        <v>0</v>
      </c>
    </row>
    <row r="4901" spans="2:5" x14ac:dyDescent="0.25">
      <c r="B4901" t="s">
        <v>1859</v>
      </c>
      <c r="C4901" t="s">
        <v>1859</v>
      </c>
      <c r="D4901">
        <v>0</v>
      </c>
      <c r="E4901">
        <v>0</v>
      </c>
    </row>
    <row r="4902" spans="2:5" x14ac:dyDescent="0.25">
      <c r="B4902">
        <v>8888007</v>
      </c>
      <c r="C4902" t="s">
        <v>3010</v>
      </c>
      <c r="D4902">
        <v>0</v>
      </c>
      <c r="E4902">
        <v>0</v>
      </c>
    </row>
    <row r="4903" spans="2:5" x14ac:dyDescent="0.25">
      <c r="B4903" t="s">
        <v>1859</v>
      </c>
      <c r="C4903" t="s">
        <v>1859</v>
      </c>
      <c r="D4903">
        <v>0</v>
      </c>
      <c r="E4903">
        <v>0</v>
      </c>
    </row>
    <row r="4904" spans="2:5" x14ac:dyDescent="0.25">
      <c r="B4904">
        <v>8888008</v>
      </c>
      <c r="C4904" t="s">
        <v>3011</v>
      </c>
      <c r="D4904">
        <v>0</v>
      </c>
      <c r="E4904">
        <v>0</v>
      </c>
    </row>
    <row r="4905" spans="2:5" x14ac:dyDescent="0.25">
      <c r="B4905" t="s">
        <v>1859</v>
      </c>
      <c r="C4905" t="s">
        <v>1859</v>
      </c>
      <c r="D4905">
        <v>0</v>
      </c>
      <c r="E4905">
        <v>0</v>
      </c>
    </row>
    <row r="4906" spans="2:5" x14ac:dyDescent="0.25">
      <c r="B4906">
        <v>8888009</v>
      </c>
      <c r="C4906" t="s">
        <v>3012</v>
      </c>
      <c r="D4906">
        <v>0</v>
      </c>
      <c r="E4906">
        <v>0</v>
      </c>
    </row>
    <row r="4907" spans="2:5" x14ac:dyDescent="0.25">
      <c r="B4907" t="s">
        <v>1859</v>
      </c>
      <c r="C4907" t="s">
        <v>1859</v>
      </c>
      <c r="D4907">
        <v>0</v>
      </c>
      <c r="E4907">
        <v>0</v>
      </c>
    </row>
    <row r="4908" spans="2:5" x14ac:dyDescent="0.25">
      <c r="B4908">
        <v>8888010</v>
      </c>
      <c r="C4908" t="s">
        <v>3013</v>
      </c>
      <c r="D4908">
        <v>0</v>
      </c>
      <c r="E4908">
        <v>0</v>
      </c>
    </row>
    <row r="4909" spans="2:5" x14ac:dyDescent="0.25">
      <c r="B4909" t="s">
        <v>1859</v>
      </c>
      <c r="C4909" t="s">
        <v>1859</v>
      </c>
      <c r="D4909">
        <v>0</v>
      </c>
      <c r="E4909">
        <v>0</v>
      </c>
    </row>
    <row r="4910" spans="2:5" x14ac:dyDescent="0.25">
      <c r="B4910">
        <v>8888011</v>
      </c>
      <c r="C4910" t="s">
        <v>3014</v>
      </c>
      <c r="D4910">
        <v>0</v>
      </c>
      <c r="E4910">
        <v>0</v>
      </c>
    </row>
    <row r="4911" spans="2:5" x14ac:dyDescent="0.25">
      <c r="B4911" t="s">
        <v>1859</v>
      </c>
      <c r="C4911" t="s">
        <v>1859</v>
      </c>
      <c r="D4911">
        <v>0</v>
      </c>
      <c r="E4911">
        <v>0</v>
      </c>
    </row>
    <row r="4912" spans="2:5" x14ac:dyDescent="0.25">
      <c r="B4912">
        <v>8888012</v>
      </c>
      <c r="C4912" t="s">
        <v>3015</v>
      </c>
      <c r="D4912">
        <v>0</v>
      </c>
      <c r="E4912">
        <v>0</v>
      </c>
    </row>
    <row r="4913" spans="2:5" x14ac:dyDescent="0.25">
      <c r="B4913" t="s">
        <v>1859</v>
      </c>
      <c r="C4913" t="s">
        <v>1859</v>
      </c>
      <c r="D4913">
        <v>0</v>
      </c>
      <c r="E4913">
        <v>0</v>
      </c>
    </row>
    <row r="4914" spans="2:5" x14ac:dyDescent="0.25">
      <c r="B4914">
        <v>8888013</v>
      </c>
      <c r="C4914" t="s">
        <v>3016</v>
      </c>
      <c r="D4914">
        <v>0</v>
      </c>
      <c r="E4914">
        <v>0</v>
      </c>
    </row>
    <row r="4915" spans="2:5" x14ac:dyDescent="0.25">
      <c r="B4915" t="s">
        <v>1859</v>
      </c>
      <c r="C4915" t="s">
        <v>1859</v>
      </c>
      <c r="D4915">
        <v>0</v>
      </c>
      <c r="E4915">
        <v>0</v>
      </c>
    </row>
    <row r="4916" spans="2:5" x14ac:dyDescent="0.25">
      <c r="B4916">
        <v>8888014</v>
      </c>
      <c r="C4916" t="s">
        <v>3017</v>
      </c>
      <c r="D4916">
        <v>0</v>
      </c>
      <c r="E4916">
        <v>0</v>
      </c>
    </row>
    <row r="4917" spans="2:5" x14ac:dyDescent="0.25">
      <c r="B4917" t="s">
        <v>1859</v>
      </c>
      <c r="C4917" t="s">
        <v>1859</v>
      </c>
      <c r="D4917">
        <v>0</v>
      </c>
      <c r="E4917">
        <v>0</v>
      </c>
    </row>
    <row r="4918" spans="2:5" x14ac:dyDescent="0.25">
      <c r="B4918">
        <v>8888015</v>
      </c>
      <c r="C4918" t="s">
        <v>3018</v>
      </c>
      <c r="D4918">
        <v>0</v>
      </c>
      <c r="E4918">
        <v>0</v>
      </c>
    </row>
    <row r="4919" spans="2:5" x14ac:dyDescent="0.25">
      <c r="B4919" t="s">
        <v>1859</v>
      </c>
      <c r="C4919" t="s">
        <v>1859</v>
      </c>
      <c r="D4919">
        <v>0</v>
      </c>
      <c r="E4919">
        <v>0</v>
      </c>
    </row>
    <row r="4920" spans="2:5" x14ac:dyDescent="0.25">
      <c r="B4920">
        <v>8888016</v>
      </c>
      <c r="C4920" t="s">
        <v>3019</v>
      </c>
      <c r="D4920">
        <v>0</v>
      </c>
      <c r="E4920">
        <v>0</v>
      </c>
    </row>
    <row r="4921" spans="2:5" x14ac:dyDescent="0.25">
      <c r="B4921" t="s">
        <v>1859</v>
      </c>
      <c r="C4921" t="s">
        <v>1859</v>
      </c>
      <c r="D4921">
        <v>0</v>
      </c>
      <c r="E4921">
        <v>0</v>
      </c>
    </row>
    <row r="4922" spans="2:5" x14ac:dyDescent="0.25">
      <c r="B4922">
        <v>8888017</v>
      </c>
      <c r="C4922" t="s">
        <v>3020</v>
      </c>
      <c r="D4922">
        <v>0</v>
      </c>
      <c r="E4922">
        <v>0</v>
      </c>
    </row>
    <row r="4923" spans="2:5" x14ac:dyDescent="0.25">
      <c r="B4923" t="s">
        <v>1859</v>
      </c>
      <c r="C4923" t="s">
        <v>1859</v>
      </c>
      <c r="D4923">
        <v>0</v>
      </c>
      <c r="E4923">
        <v>0</v>
      </c>
    </row>
    <row r="4924" spans="2:5" x14ac:dyDescent="0.25">
      <c r="B4924">
        <v>8888018</v>
      </c>
      <c r="C4924" t="s">
        <v>3021</v>
      </c>
      <c r="D4924">
        <v>0</v>
      </c>
      <c r="E4924">
        <v>0</v>
      </c>
    </row>
    <row r="4925" spans="2:5" x14ac:dyDescent="0.25">
      <c r="B4925" t="s">
        <v>1859</v>
      </c>
      <c r="C4925" t="s">
        <v>1859</v>
      </c>
      <c r="D4925">
        <v>0</v>
      </c>
      <c r="E4925">
        <v>0</v>
      </c>
    </row>
    <row r="4926" spans="2:5" x14ac:dyDescent="0.25">
      <c r="B4926">
        <v>8888019</v>
      </c>
      <c r="C4926" t="s">
        <v>3022</v>
      </c>
      <c r="D4926">
        <v>0</v>
      </c>
      <c r="E4926">
        <v>0</v>
      </c>
    </row>
    <row r="4927" spans="2:5" x14ac:dyDescent="0.25">
      <c r="B4927" t="s">
        <v>1859</v>
      </c>
      <c r="C4927" t="s">
        <v>1859</v>
      </c>
      <c r="D4927">
        <v>0</v>
      </c>
      <c r="E4927">
        <v>0</v>
      </c>
    </row>
    <row r="4928" spans="2:5" x14ac:dyDescent="0.25">
      <c r="B4928">
        <v>8888020</v>
      </c>
      <c r="C4928" t="s">
        <v>3023</v>
      </c>
      <c r="D4928">
        <v>0</v>
      </c>
      <c r="E4928">
        <v>0</v>
      </c>
    </row>
    <row r="4929" spans="2:5" x14ac:dyDescent="0.25">
      <c r="B4929" t="s">
        <v>1859</v>
      </c>
      <c r="C4929" t="s">
        <v>1859</v>
      </c>
      <c r="D4929">
        <v>0</v>
      </c>
      <c r="E4929">
        <v>0</v>
      </c>
    </row>
    <row r="4930" spans="2:5" x14ac:dyDescent="0.25">
      <c r="B4930">
        <v>8888021</v>
      </c>
      <c r="C4930" t="s">
        <v>3024</v>
      </c>
      <c r="D4930">
        <v>0</v>
      </c>
      <c r="E4930">
        <v>0</v>
      </c>
    </row>
    <row r="4931" spans="2:5" x14ac:dyDescent="0.25">
      <c r="B4931" t="s">
        <v>1859</v>
      </c>
      <c r="C4931" t="s">
        <v>1859</v>
      </c>
      <c r="D4931">
        <v>0</v>
      </c>
      <c r="E4931">
        <v>0</v>
      </c>
    </row>
    <row r="4932" spans="2:5" x14ac:dyDescent="0.25">
      <c r="B4932">
        <v>8888022</v>
      </c>
      <c r="C4932" t="s">
        <v>3025</v>
      </c>
      <c r="D4932">
        <v>0</v>
      </c>
      <c r="E4932">
        <v>0</v>
      </c>
    </row>
    <row r="4933" spans="2:5" x14ac:dyDescent="0.25">
      <c r="B4933" t="s">
        <v>1859</v>
      </c>
      <c r="C4933" t="s">
        <v>1859</v>
      </c>
      <c r="D4933">
        <v>0</v>
      </c>
      <c r="E4933">
        <v>0</v>
      </c>
    </row>
    <row r="4934" spans="2:5" x14ac:dyDescent="0.25">
      <c r="B4934">
        <v>8888023</v>
      </c>
      <c r="C4934" t="s">
        <v>3026</v>
      </c>
      <c r="D4934">
        <v>0</v>
      </c>
      <c r="E4934">
        <v>0</v>
      </c>
    </row>
    <row r="4935" spans="2:5" x14ac:dyDescent="0.25">
      <c r="B4935" t="s">
        <v>1859</v>
      </c>
      <c r="C4935" t="s">
        <v>1859</v>
      </c>
      <c r="D4935">
        <v>0</v>
      </c>
      <c r="E4935">
        <v>0</v>
      </c>
    </row>
    <row r="4936" spans="2:5" x14ac:dyDescent="0.25">
      <c r="B4936">
        <v>8888024</v>
      </c>
      <c r="C4936" t="s">
        <v>3027</v>
      </c>
      <c r="D4936">
        <v>0</v>
      </c>
      <c r="E4936">
        <v>0</v>
      </c>
    </row>
    <row r="4937" spans="2:5" x14ac:dyDescent="0.25">
      <c r="B4937" t="s">
        <v>1859</v>
      </c>
      <c r="C4937" t="s">
        <v>1859</v>
      </c>
      <c r="D4937">
        <v>0</v>
      </c>
      <c r="E4937">
        <v>0</v>
      </c>
    </row>
    <row r="4938" spans="2:5" x14ac:dyDescent="0.25">
      <c r="B4938">
        <v>8888025</v>
      </c>
      <c r="C4938" t="s">
        <v>3028</v>
      </c>
      <c r="D4938">
        <v>0</v>
      </c>
      <c r="E4938">
        <v>0</v>
      </c>
    </row>
    <row r="4939" spans="2:5" x14ac:dyDescent="0.25">
      <c r="B4939" t="s">
        <v>1859</v>
      </c>
      <c r="C4939" t="s">
        <v>1859</v>
      </c>
      <c r="D4939">
        <v>0</v>
      </c>
      <c r="E4939">
        <v>0</v>
      </c>
    </row>
    <row r="4940" spans="2:5" x14ac:dyDescent="0.25">
      <c r="B4940">
        <v>8888026</v>
      </c>
      <c r="C4940" t="s">
        <v>3029</v>
      </c>
      <c r="D4940">
        <v>0</v>
      </c>
      <c r="E4940">
        <v>0</v>
      </c>
    </row>
    <row r="4941" spans="2:5" x14ac:dyDescent="0.25">
      <c r="B4941" t="s">
        <v>1859</v>
      </c>
      <c r="C4941" t="s">
        <v>1859</v>
      </c>
      <c r="D4941">
        <v>0</v>
      </c>
      <c r="E4941">
        <v>0</v>
      </c>
    </row>
    <row r="4942" spans="2:5" x14ac:dyDescent="0.25">
      <c r="B4942">
        <v>8888027</v>
      </c>
      <c r="C4942" t="s">
        <v>3030</v>
      </c>
      <c r="D4942">
        <v>0</v>
      </c>
      <c r="E4942">
        <v>0</v>
      </c>
    </row>
    <row r="4943" spans="2:5" x14ac:dyDescent="0.25">
      <c r="B4943">
        <v>8888028</v>
      </c>
      <c r="C4943" t="s">
        <v>3031</v>
      </c>
      <c r="D4943">
        <v>0</v>
      </c>
      <c r="E4943">
        <v>0</v>
      </c>
    </row>
    <row r="4944" spans="2:5" x14ac:dyDescent="0.25">
      <c r="B4944" t="s">
        <v>1859</v>
      </c>
      <c r="C4944" t="s">
        <v>1859</v>
      </c>
      <c r="D4944">
        <v>0</v>
      </c>
      <c r="E4944">
        <v>0</v>
      </c>
    </row>
    <row r="4945" spans="2:5" x14ac:dyDescent="0.25">
      <c r="B4945">
        <v>8888029</v>
      </c>
      <c r="C4945" t="s">
        <v>3032</v>
      </c>
      <c r="D4945">
        <v>0</v>
      </c>
      <c r="E4945">
        <v>0</v>
      </c>
    </row>
    <row r="4946" spans="2:5" x14ac:dyDescent="0.25">
      <c r="B4946" t="s">
        <v>1859</v>
      </c>
      <c r="C4946" t="s">
        <v>1859</v>
      </c>
      <c r="D4946">
        <v>0</v>
      </c>
      <c r="E4946">
        <v>0</v>
      </c>
    </row>
    <row r="4947" spans="2:5" x14ac:dyDescent="0.25">
      <c r="B4947">
        <v>8888030</v>
      </c>
      <c r="C4947" t="s">
        <v>3033</v>
      </c>
      <c r="D4947">
        <v>0</v>
      </c>
      <c r="E4947">
        <v>0</v>
      </c>
    </row>
    <row r="4948" spans="2:5" x14ac:dyDescent="0.25">
      <c r="B4948" t="s">
        <v>1859</v>
      </c>
      <c r="C4948" t="s">
        <v>1859</v>
      </c>
      <c r="D4948">
        <v>0</v>
      </c>
      <c r="E4948">
        <v>0</v>
      </c>
    </row>
    <row r="4949" spans="2:5" x14ac:dyDescent="0.25">
      <c r="B4949">
        <v>8899006</v>
      </c>
      <c r="C4949" t="s">
        <v>2831</v>
      </c>
      <c r="D4949">
        <v>0</v>
      </c>
      <c r="E4949">
        <v>0</v>
      </c>
    </row>
    <row r="4950" spans="2:5" x14ac:dyDescent="0.25">
      <c r="B4950">
        <v>9000001</v>
      </c>
      <c r="C4950" t="s">
        <v>3034</v>
      </c>
      <c r="D4950">
        <v>0</v>
      </c>
      <c r="E4950">
        <v>0</v>
      </c>
    </row>
    <row r="4951" spans="2:5" x14ac:dyDescent="0.25">
      <c r="B4951">
        <v>9000002</v>
      </c>
      <c r="C4951" t="s">
        <v>852</v>
      </c>
      <c r="D4951">
        <v>111.78</v>
      </c>
      <c r="E4951">
        <v>0</v>
      </c>
    </row>
    <row r="4952" spans="2:5" x14ac:dyDescent="0.25">
      <c r="B4952">
        <v>9000003</v>
      </c>
      <c r="C4952" t="s">
        <v>851</v>
      </c>
      <c r="D4952">
        <v>138.59</v>
      </c>
      <c r="E4952">
        <v>0</v>
      </c>
    </row>
    <row r="4953" spans="2:5" x14ac:dyDescent="0.25">
      <c r="B4953" t="s">
        <v>1859</v>
      </c>
      <c r="C4953" t="s">
        <v>1859</v>
      </c>
      <c r="D4953">
        <v>0</v>
      </c>
      <c r="E4953">
        <v>0</v>
      </c>
    </row>
    <row r="4954" spans="2:5" x14ac:dyDescent="0.25">
      <c r="B4954">
        <v>9000004</v>
      </c>
      <c r="C4954" t="s">
        <v>3035</v>
      </c>
      <c r="D4954">
        <v>0</v>
      </c>
      <c r="E4954">
        <v>0</v>
      </c>
    </row>
    <row r="4955" spans="2:5" x14ac:dyDescent="0.25">
      <c r="B4955" t="s">
        <v>1859</v>
      </c>
      <c r="C4955" t="s">
        <v>1859</v>
      </c>
      <c r="D4955">
        <v>0</v>
      </c>
      <c r="E4955">
        <v>0</v>
      </c>
    </row>
    <row r="4956" spans="2:5" x14ac:dyDescent="0.25">
      <c r="B4956">
        <v>9000005</v>
      </c>
      <c r="C4956" t="s">
        <v>3036</v>
      </c>
      <c r="D4956">
        <v>0</v>
      </c>
      <c r="E4956">
        <v>0</v>
      </c>
    </row>
    <row r="4957" spans="2:5" x14ac:dyDescent="0.25">
      <c r="B4957" t="s">
        <v>1859</v>
      </c>
      <c r="C4957" t="s">
        <v>1859</v>
      </c>
      <c r="D4957">
        <v>0</v>
      </c>
      <c r="E4957">
        <v>0</v>
      </c>
    </row>
    <row r="4958" spans="2:5" x14ac:dyDescent="0.25">
      <c r="B4958">
        <v>9000006</v>
      </c>
      <c r="C4958" t="s">
        <v>3037</v>
      </c>
      <c r="D4958">
        <v>0</v>
      </c>
      <c r="E4958">
        <v>0</v>
      </c>
    </row>
    <row r="4959" spans="2:5" x14ac:dyDescent="0.25">
      <c r="B4959">
        <v>9003001</v>
      </c>
      <c r="C4959" t="s">
        <v>866</v>
      </c>
      <c r="D4959">
        <v>430</v>
      </c>
      <c r="E4959">
        <v>0</v>
      </c>
    </row>
    <row r="4960" spans="2:5" x14ac:dyDescent="0.25">
      <c r="B4960">
        <v>9003002</v>
      </c>
      <c r="C4960" t="s">
        <v>867</v>
      </c>
      <c r="D4960">
        <v>430</v>
      </c>
      <c r="E4960">
        <v>0</v>
      </c>
    </row>
    <row r="4961" spans="2:5" x14ac:dyDescent="0.25">
      <c r="B4961">
        <v>9003003</v>
      </c>
      <c r="C4961" t="s">
        <v>871</v>
      </c>
      <c r="D4961">
        <v>399.99</v>
      </c>
      <c r="E4961">
        <v>0</v>
      </c>
    </row>
    <row r="4962" spans="2:5" x14ac:dyDescent="0.25">
      <c r="B4962" t="s">
        <v>1859</v>
      </c>
      <c r="C4962" t="s">
        <v>1859</v>
      </c>
      <c r="D4962">
        <v>0</v>
      </c>
      <c r="E4962">
        <v>0</v>
      </c>
    </row>
    <row r="4963" spans="2:5" x14ac:dyDescent="0.25">
      <c r="B4963">
        <v>9003004</v>
      </c>
      <c r="C4963" t="s">
        <v>3038</v>
      </c>
      <c r="D4963">
        <v>0</v>
      </c>
      <c r="E4963">
        <v>0</v>
      </c>
    </row>
    <row r="4964" spans="2:5" x14ac:dyDescent="0.25">
      <c r="B4964" t="s">
        <v>1859</v>
      </c>
      <c r="C4964" t="s">
        <v>1859</v>
      </c>
      <c r="D4964">
        <v>0</v>
      </c>
      <c r="E4964">
        <v>0</v>
      </c>
    </row>
    <row r="4965" spans="2:5" x14ac:dyDescent="0.25">
      <c r="B4965">
        <v>9003005</v>
      </c>
      <c r="C4965" t="s">
        <v>3039</v>
      </c>
      <c r="D4965">
        <v>0</v>
      </c>
      <c r="E4965">
        <v>0</v>
      </c>
    </row>
    <row r="4966" spans="2:5" x14ac:dyDescent="0.25">
      <c r="B4966">
        <v>9003006</v>
      </c>
      <c r="C4966" t="s">
        <v>880</v>
      </c>
      <c r="D4966">
        <v>267.72000000000003</v>
      </c>
      <c r="E4966">
        <v>62</v>
      </c>
    </row>
    <row r="4967" spans="2:5" x14ac:dyDescent="0.25">
      <c r="B4967">
        <v>9003007</v>
      </c>
      <c r="C4967" t="s">
        <v>873</v>
      </c>
      <c r="D4967">
        <v>1100</v>
      </c>
      <c r="E4967">
        <v>9</v>
      </c>
    </row>
    <row r="4968" spans="2:5" x14ac:dyDescent="0.25">
      <c r="B4968">
        <v>9003008</v>
      </c>
      <c r="C4968" t="s">
        <v>872</v>
      </c>
      <c r="D4968">
        <v>1100</v>
      </c>
      <c r="E4968">
        <v>8</v>
      </c>
    </row>
    <row r="4969" spans="2:5" x14ac:dyDescent="0.25">
      <c r="B4969">
        <v>9003009</v>
      </c>
      <c r="C4969" t="s">
        <v>874</v>
      </c>
      <c r="D4969">
        <v>1100</v>
      </c>
      <c r="E4969">
        <v>5</v>
      </c>
    </row>
    <row r="4970" spans="2:5" x14ac:dyDescent="0.25">
      <c r="B4970">
        <v>9003010</v>
      </c>
      <c r="C4970" t="s">
        <v>1830</v>
      </c>
      <c r="D4970">
        <v>949.99</v>
      </c>
      <c r="E4970">
        <v>0</v>
      </c>
    </row>
    <row r="4971" spans="2:5" x14ac:dyDescent="0.25">
      <c r="B4971">
        <v>9003011</v>
      </c>
      <c r="C4971" t="s">
        <v>1831</v>
      </c>
      <c r="D4971">
        <v>649.99</v>
      </c>
      <c r="E4971">
        <v>0</v>
      </c>
    </row>
    <row r="4972" spans="2:5" x14ac:dyDescent="0.25">
      <c r="B4972">
        <v>9003012</v>
      </c>
      <c r="C4972" t="s">
        <v>1832</v>
      </c>
      <c r="D4972">
        <v>949.99</v>
      </c>
      <c r="E4972">
        <v>0</v>
      </c>
    </row>
    <row r="4973" spans="2:5" x14ac:dyDescent="0.25">
      <c r="B4973" t="s">
        <v>1859</v>
      </c>
      <c r="C4973" t="s">
        <v>1859</v>
      </c>
      <c r="D4973">
        <v>0</v>
      </c>
      <c r="E4973">
        <v>0</v>
      </c>
    </row>
    <row r="4974" spans="2:5" x14ac:dyDescent="0.25">
      <c r="B4974">
        <v>9003013</v>
      </c>
      <c r="C4974" t="s">
        <v>3040</v>
      </c>
      <c r="D4974">
        <v>0</v>
      </c>
      <c r="E4974">
        <v>0</v>
      </c>
    </row>
    <row r="4975" spans="2:5" x14ac:dyDescent="0.25">
      <c r="B4975">
        <v>9003014</v>
      </c>
      <c r="C4975" t="s">
        <v>877</v>
      </c>
      <c r="D4975">
        <v>671.8</v>
      </c>
      <c r="E4975">
        <v>0</v>
      </c>
    </row>
    <row r="4976" spans="2:5" x14ac:dyDescent="0.25">
      <c r="B4976" t="s">
        <v>1859</v>
      </c>
      <c r="C4976" t="s">
        <v>1859</v>
      </c>
      <c r="D4976">
        <v>0</v>
      </c>
      <c r="E4976">
        <v>0</v>
      </c>
    </row>
    <row r="4977" spans="2:5" x14ac:dyDescent="0.25">
      <c r="B4977">
        <v>9003015</v>
      </c>
      <c r="C4977" t="s">
        <v>882</v>
      </c>
      <c r="D4977">
        <v>0</v>
      </c>
      <c r="E4977">
        <v>0</v>
      </c>
    </row>
    <row r="4978" spans="2:5" x14ac:dyDescent="0.25">
      <c r="B4978">
        <v>9003016</v>
      </c>
      <c r="C4978" t="s">
        <v>1833</v>
      </c>
      <c r="D4978">
        <v>671.8</v>
      </c>
      <c r="E4978">
        <v>0</v>
      </c>
    </row>
    <row r="4979" spans="2:5" x14ac:dyDescent="0.25">
      <c r="B4979">
        <v>9003017</v>
      </c>
      <c r="C4979" t="s">
        <v>1834</v>
      </c>
      <c r="D4979">
        <v>671.8</v>
      </c>
      <c r="E4979">
        <v>0</v>
      </c>
    </row>
    <row r="4980" spans="2:5" x14ac:dyDescent="0.25">
      <c r="B4980">
        <v>9003018</v>
      </c>
      <c r="C4980" t="s">
        <v>1835</v>
      </c>
      <c r="D4980">
        <v>587.62</v>
      </c>
      <c r="E4980">
        <v>0</v>
      </c>
    </row>
    <row r="4981" spans="2:5" x14ac:dyDescent="0.25">
      <c r="B4981" t="s">
        <v>1859</v>
      </c>
      <c r="C4981" t="s">
        <v>1859</v>
      </c>
      <c r="D4981">
        <v>0</v>
      </c>
      <c r="E4981">
        <v>0</v>
      </c>
    </row>
    <row r="4982" spans="2:5" x14ac:dyDescent="0.25">
      <c r="B4982">
        <v>9003019</v>
      </c>
      <c r="C4982" t="s">
        <v>3041</v>
      </c>
      <c r="D4982">
        <v>0</v>
      </c>
      <c r="E4982">
        <v>0</v>
      </c>
    </row>
    <row r="4983" spans="2:5" x14ac:dyDescent="0.25">
      <c r="B4983">
        <v>9003020</v>
      </c>
      <c r="C4983" t="s">
        <v>1836</v>
      </c>
      <c r="D4983">
        <v>587.62</v>
      </c>
      <c r="E4983">
        <v>0</v>
      </c>
    </row>
    <row r="4984" spans="2:5" x14ac:dyDescent="0.25">
      <c r="B4984">
        <v>9003021</v>
      </c>
      <c r="C4984" t="s">
        <v>878</v>
      </c>
      <c r="D4984">
        <v>649.99</v>
      </c>
      <c r="E4984">
        <v>0</v>
      </c>
    </row>
    <row r="4985" spans="2:5" x14ac:dyDescent="0.25">
      <c r="B4985" t="s">
        <v>1859</v>
      </c>
      <c r="C4985" t="s">
        <v>1859</v>
      </c>
      <c r="D4985">
        <v>0</v>
      </c>
      <c r="E4985">
        <v>0</v>
      </c>
    </row>
    <row r="4986" spans="2:5" x14ac:dyDescent="0.25">
      <c r="B4986">
        <v>9003022</v>
      </c>
      <c r="C4986" t="s">
        <v>3042</v>
      </c>
      <c r="D4986">
        <v>0</v>
      </c>
      <c r="E4986">
        <v>0</v>
      </c>
    </row>
    <row r="4987" spans="2:5" x14ac:dyDescent="0.25">
      <c r="B4987">
        <v>9003023</v>
      </c>
      <c r="C4987" t="s">
        <v>881</v>
      </c>
      <c r="D4987">
        <v>267.72000000000003</v>
      </c>
      <c r="E4987">
        <v>5</v>
      </c>
    </row>
    <row r="4988" spans="2:5" x14ac:dyDescent="0.25">
      <c r="B4988">
        <v>9003024</v>
      </c>
      <c r="C4988" t="s">
        <v>882</v>
      </c>
      <c r="D4988">
        <v>267.72000000000003</v>
      </c>
      <c r="E4988">
        <v>5</v>
      </c>
    </row>
    <row r="4989" spans="2:5" x14ac:dyDescent="0.25">
      <c r="B4989" t="s">
        <v>1859</v>
      </c>
      <c r="C4989" t="s">
        <v>1859</v>
      </c>
      <c r="D4989">
        <v>0</v>
      </c>
      <c r="E4989">
        <v>0</v>
      </c>
    </row>
    <row r="4990" spans="2:5" x14ac:dyDescent="0.25">
      <c r="B4990">
        <v>9003025</v>
      </c>
      <c r="C4990" t="s">
        <v>3043</v>
      </c>
      <c r="D4990">
        <v>0</v>
      </c>
      <c r="E4990">
        <v>0</v>
      </c>
    </row>
    <row r="4991" spans="2:5" x14ac:dyDescent="0.25">
      <c r="B4991">
        <v>9003026</v>
      </c>
      <c r="C4991" t="s">
        <v>864</v>
      </c>
      <c r="D4991">
        <v>436.08</v>
      </c>
      <c r="E4991">
        <v>10</v>
      </c>
    </row>
    <row r="4992" spans="2:5" x14ac:dyDescent="0.25">
      <c r="B4992">
        <v>9003090</v>
      </c>
      <c r="C4992" t="s">
        <v>1447</v>
      </c>
      <c r="D4992">
        <v>650</v>
      </c>
      <c r="E4992">
        <v>24</v>
      </c>
    </row>
    <row r="4993" spans="2:5" x14ac:dyDescent="0.25">
      <c r="B4993">
        <v>9003100</v>
      </c>
      <c r="C4993" t="s">
        <v>869</v>
      </c>
      <c r="D4993">
        <v>650</v>
      </c>
      <c r="E4993">
        <v>39</v>
      </c>
    </row>
    <row r="4994" spans="2:5" x14ac:dyDescent="0.25">
      <c r="B4994">
        <v>9003101</v>
      </c>
      <c r="C4994" t="s">
        <v>870</v>
      </c>
      <c r="D4994">
        <v>750</v>
      </c>
      <c r="E4994">
        <v>0</v>
      </c>
    </row>
    <row r="4995" spans="2:5" x14ac:dyDescent="0.25">
      <c r="B4995">
        <v>9003417</v>
      </c>
      <c r="C4995" t="s">
        <v>865</v>
      </c>
      <c r="D4995">
        <v>436.08</v>
      </c>
      <c r="E4995">
        <v>20</v>
      </c>
    </row>
    <row r="4996" spans="2:5" x14ac:dyDescent="0.25">
      <c r="B4996" t="s">
        <v>1859</v>
      </c>
      <c r="C4996" t="s">
        <v>1859</v>
      </c>
      <c r="D4996">
        <v>0</v>
      </c>
      <c r="E4996">
        <v>0</v>
      </c>
    </row>
    <row r="4997" spans="2:5" x14ac:dyDescent="0.25">
      <c r="B4997">
        <v>9003710</v>
      </c>
      <c r="C4997" t="s">
        <v>3044</v>
      </c>
      <c r="D4997">
        <v>0</v>
      </c>
      <c r="E4997">
        <v>0</v>
      </c>
    </row>
    <row r="4998" spans="2:5" x14ac:dyDescent="0.25">
      <c r="B4998">
        <v>9003976</v>
      </c>
      <c r="C4998" t="s">
        <v>1837</v>
      </c>
      <c r="D4998">
        <v>638.13</v>
      </c>
      <c r="E4998">
        <v>0</v>
      </c>
    </row>
    <row r="4999" spans="2:5" x14ac:dyDescent="0.25">
      <c r="B4999" t="s">
        <v>1859</v>
      </c>
      <c r="C4999" t="s">
        <v>1859</v>
      </c>
      <c r="D4999">
        <v>0</v>
      </c>
      <c r="E4999">
        <v>0</v>
      </c>
    </row>
    <row r="5000" spans="2:5" x14ac:dyDescent="0.25">
      <c r="B5000">
        <v>900397601</v>
      </c>
      <c r="C5000" t="s">
        <v>3045</v>
      </c>
      <c r="D5000">
        <v>0</v>
      </c>
      <c r="E5000">
        <v>0</v>
      </c>
    </row>
    <row r="5001" spans="2:5" x14ac:dyDescent="0.25">
      <c r="B5001" t="s">
        <v>1859</v>
      </c>
      <c r="C5001" t="s">
        <v>1859</v>
      </c>
      <c r="D5001">
        <v>0</v>
      </c>
      <c r="E5001">
        <v>0</v>
      </c>
    </row>
    <row r="5002" spans="2:5" x14ac:dyDescent="0.25">
      <c r="B5002">
        <v>900397602</v>
      </c>
      <c r="C5002" t="s">
        <v>3046</v>
      </c>
      <c r="D5002">
        <v>0</v>
      </c>
      <c r="E5002">
        <v>0</v>
      </c>
    </row>
    <row r="5003" spans="2:5" x14ac:dyDescent="0.25">
      <c r="B5003">
        <v>9003978</v>
      </c>
      <c r="C5003" t="s">
        <v>879</v>
      </c>
      <c r="D5003">
        <v>840.18</v>
      </c>
      <c r="E5003">
        <v>0</v>
      </c>
    </row>
    <row r="5004" spans="2:5" x14ac:dyDescent="0.25">
      <c r="B5004" t="s">
        <v>1859</v>
      </c>
      <c r="C5004" t="s">
        <v>1859</v>
      </c>
      <c r="D5004">
        <v>0</v>
      </c>
      <c r="E5004">
        <v>0</v>
      </c>
    </row>
    <row r="5005" spans="2:5" x14ac:dyDescent="0.25">
      <c r="B5005">
        <v>900397801</v>
      </c>
      <c r="C5005" t="s">
        <v>3047</v>
      </c>
      <c r="D5005">
        <v>0</v>
      </c>
      <c r="E5005">
        <v>0</v>
      </c>
    </row>
    <row r="5006" spans="2:5" x14ac:dyDescent="0.25">
      <c r="B5006" t="s">
        <v>1859</v>
      </c>
      <c r="C5006" t="s">
        <v>1859</v>
      </c>
      <c r="D5006">
        <v>0</v>
      </c>
      <c r="E5006">
        <v>0</v>
      </c>
    </row>
    <row r="5007" spans="2:5" x14ac:dyDescent="0.25">
      <c r="B5007">
        <v>900397802</v>
      </c>
      <c r="C5007" t="s">
        <v>3048</v>
      </c>
      <c r="D5007">
        <v>0</v>
      </c>
      <c r="E5007">
        <v>0</v>
      </c>
    </row>
    <row r="5008" spans="2:5" x14ac:dyDescent="0.25">
      <c r="B5008" t="s">
        <v>1859</v>
      </c>
      <c r="C5008" t="s">
        <v>1859</v>
      </c>
      <c r="D5008">
        <v>0</v>
      </c>
      <c r="E5008">
        <v>0</v>
      </c>
    </row>
    <row r="5009" spans="2:5" x14ac:dyDescent="0.25">
      <c r="B5009">
        <v>9003981</v>
      </c>
      <c r="C5009" t="s">
        <v>3049</v>
      </c>
      <c r="D5009">
        <v>0</v>
      </c>
      <c r="E5009">
        <v>0</v>
      </c>
    </row>
    <row r="5010" spans="2:5" x14ac:dyDescent="0.25">
      <c r="B5010" t="s">
        <v>1859</v>
      </c>
      <c r="C5010" t="s">
        <v>1859</v>
      </c>
      <c r="D5010">
        <v>0</v>
      </c>
      <c r="E5010">
        <v>0</v>
      </c>
    </row>
    <row r="5011" spans="2:5" x14ac:dyDescent="0.25">
      <c r="B5011">
        <v>9003985</v>
      </c>
      <c r="C5011" t="s">
        <v>3050</v>
      </c>
      <c r="D5011">
        <v>0</v>
      </c>
      <c r="E5011">
        <v>0</v>
      </c>
    </row>
    <row r="5012" spans="2:5" x14ac:dyDescent="0.25">
      <c r="B5012" t="s">
        <v>1859</v>
      </c>
      <c r="C5012" t="s">
        <v>1859</v>
      </c>
      <c r="D5012">
        <v>0</v>
      </c>
      <c r="E5012">
        <v>0</v>
      </c>
    </row>
    <row r="5013" spans="2:5" x14ac:dyDescent="0.25">
      <c r="B5013">
        <v>900398501</v>
      </c>
      <c r="C5013" t="s">
        <v>3051</v>
      </c>
      <c r="D5013">
        <v>0</v>
      </c>
      <c r="E5013">
        <v>0</v>
      </c>
    </row>
    <row r="5014" spans="2:5" x14ac:dyDescent="0.25">
      <c r="B5014" t="s">
        <v>1859</v>
      </c>
      <c r="C5014" t="s">
        <v>1859</v>
      </c>
      <c r="D5014">
        <v>0</v>
      </c>
      <c r="E5014">
        <v>0</v>
      </c>
    </row>
    <row r="5015" spans="2:5" x14ac:dyDescent="0.25">
      <c r="B5015">
        <v>900398502</v>
      </c>
      <c r="C5015" t="s">
        <v>3052</v>
      </c>
      <c r="D5015">
        <v>0</v>
      </c>
      <c r="E5015">
        <v>0</v>
      </c>
    </row>
    <row r="5016" spans="2:5" x14ac:dyDescent="0.25">
      <c r="B5016" t="s">
        <v>1859</v>
      </c>
      <c r="C5016" t="s">
        <v>1859</v>
      </c>
      <c r="D5016">
        <v>0</v>
      </c>
      <c r="E5016">
        <v>0</v>
      </c>
    </row>
    <row r="5017" spans="2:5" x14ac:dyDescent="0.25">
      <c r="B5017">
        <v>9003986</v>
      </c>
      <c r="C5017" t="s">
        <v>3053</v>
      </c>
      <c r="D5017">
        <v>0</v>
      </c>
      <c r="E5017">
        <v>0</v>
      </c>
    </row>
    <row r="5018" spans="2:5" x14ac:dyDescent="0.25">
      <c r="B5018">
        <v>9003988</v>
      </c>
      <c r="C5018" t="s">
        <v>875</v>
      </c>
      <c r="D5018">
        <v>671.8</v>
      </c>
      <c r="E5018">
        <v>0</v>
      </c>
    </row>
    <row r="5019" spans="2:5" x14ac:dyDescent="0.25">
      <c r="B5019">
        <v>9003993</v>
      </c>
      <c r="C5019" t="s">
        <v>868</v>
      </c>
      <c r="D5019">
        <v>789.67</v>
      </c>
      <c r="E5019">
        <v>0</v>
      </c>
    </row>
    <row r="5020" spans="2:5" x14ac:dyDescent="0.25">
      <c r="B5020">
        <v>900399301</v>
      </c>
      <c r="C5020" t="s">
        <v>876</v>
      </c>
      <c r="D5020">
        <v>717.88</v>
      </c>
      <c r="E5020">
        <v>0</v>
      </c>
    </row>
    <row r="5021" spans="2:5" x14ac:dyDescent="0.25">
      <c r="B5021">
        <v>900399302</v>
      </c>
      <c r="C5021" t="s">
        <v>3054</v>
      </c>
      <c r="D5021">
        <v>0</v>
      </c>
      <c r="E5021">
        <v>0</v>
      </c>
    </row>
    <row r="5022" spans="2:5" x14ac:dyDescent="0.25">
      <c r="B5022" t="s">
        <v>1859</v>
      </c>
      <c r="C5022" t="s">
        <v>1859</v>
      </c>
      <c r="D5022">
        <v>0</v>
      </c>
      <c r="E5022">
        <v>0</v>
      </c>
    </row>
    <row r="5023" spans="2:5" x14ac:dyDescent="0.25">
      <c r="B5023">
        <v>900697601</v>
      </c>
      <c r="C5023" t="s">
        <v>3045</v>
      </c>
      <c r="D5023">
        <v>0</v>
      </c>
      <c r="E5023">
        <v>0</v>
      </c>
    </row>
    <row r="5024" spans="2:5" x14ac:dyDescent="0.25">
      <c r="B5024" t="s">
        <v>1859</v>
      </c>
      <c r="C5024" t="s">
        <v>1859</v>
      </c>
      <c r="D5024">
        <v>0</v>
      </c>
      <c r="E5024">
        <v>0</v>
      </c>
    </row>
    <row r="5025" spans="2:5" x14ac:dyDescent="0.25">
      <c r="B5025">
        <v>9010000</v>
      </c>
      <c r="C5025" t="s">
        <v>3055</v>
      </c>
      <c r="D5025">
        <v>0</v>
      </c>
      <c r="E5025">
        <v>0</v>
      </c>
    </row>
    <row r="5026" spans="2:5" x14ac:dyDescent="0.25">
      <c r="B5026" t="s">
        <v>1859</v>
      </c>
      <c r="C5026" t="s">
        <v>1859</v>
      </c>
      <c r="D5026">
        <v>0</v>
      </c>
      <c r="E5026">
        <v>0</v>
      </c>
    </row>
    <row r="5027" spans="2:5" x14ac:dyDescent="0.25">
      <c r="B5027">
        <v>9010001</v>
      </c>
      <c r="C5027" t="s">
        <v>3056</v>
      </c>
      <c r="D5027">
        <v>0</v>
      </c>
      <c r="E5027">
        <v>0</v>
      </c>
    </row>
    <row r="5028" spans="2:5" x14ac:dyDescent="0.25">
      <c r="B5028" t="s">
        <v>1859</v>
      </c>
      <c r="C5028" t="s">
        <v>1859</v>
      </c>
      <c r="D5028">
        <v>0</v>
      </c>
      <c r="E5028">
        <v>0</v>
      </c>
    </row>
    <row r="5029" spans="2:5" x14ac:dyDescent="0.25">
      <c r="B5029">
        <v>9010002</v>
      </c>
      <c r="C5029" t="s">
        <v>3057</v>
      </c>
      <c r="D5029">
        <v>0</v>
      </c>
      <c r="E5029">
        <v>0</v>
      </c>
    </row>
    <row r="5030" spans="2:5" x14ac:dyDescent="0.25">
      <c r="B5030" t="s">
        <v>1859</v>
      </c>
      <c r="C5030" t="s">
        <v>1859</v>
      </c>
      <c r="D5030">
        <v>0</v>
      </c>
      <c r="E5030">
        <v>0</v>
      </c>
    </row>
    <row r="5031" spans="2:5" x14ac:dyDescent="0.25">
      <c r="B5031">
        <v>9010003</v>
      </c>
      <c r="C5031" t="s">
        <v>3058</v>
      </c>
      <c r="D5031">
        <v>0</v>
      </c>
      <c r="E5031">
        <v>0</v>
      </c>
    </row>
    <row r="5032" spans="2:5" x14ac:dyDescent="0.25">
      <c r="B5032" t="s">
        <v>1859</v>
      </c>
      <c r="C5032" t="s">
        <v>1859</v>
      </c>
      <c r="D5032">
        <v>0</v>
      </c>
      <c r="E5032">
        <v>0</v>
      </c>
    </row>
    <row r="5033" spans="2:5" x14ac:dyDescent="0.25">
      <c r="B5033">
        <v>9010004</v>
      </c>
      <c r="C5033" t="s">
        <v>3059</v>
      </c>
      <c r="D5033">
        <v>0</v>
      </c>
      <c r="E5033">
        <v>0</v>
      </c>
    </row>
    <row r="5034" spans="2:5" x14ac:dyDescent="0.25">
      <c r="B5034" t="s">
        <v>1859</v>
      </c>
      <c r="C5034" t="s">
        <v>1859</v>
      </c>
      <c r="D5034">
        <v>0</v>
      </c>
      <c r="E5034">
        <v>0</v>
      </c>
    </row>
    <row r="5035" spans="2:5" x14ac:dyDescent="0.25">
      <c r="B5035">
        <v>9010005</v>
      </c>
      <c r="C5035" t="s">
        <v>3060</v>
      </c>
      <c r="D5035">
        <v>0</v>
      </c>
      <c r="E5035">
        <v>0</v>
      </c>
    </row>
    <row r="5036" spans="2:5" x14ac:dyDescent="0.25">
      <c r="B5036" t="s">
        <v>1859</v>
      </c>
      <c r="C5036" t="s">
        <v>1859</v>
      </c>
      <c r="D5036">
        <v>0</v>
      </c>
      <c r="E5036">
        <v>0</v>
      </c>
    </row>
    <row r="5037" spans="2:5" x14ac:dyDescent="0.25">
      <c r="B5037">
        <v>9010840</v>
      </c>
      <c r="C5037" t="s">
        <v>3061</v>
      </c>
      <c r="D5037">
        <v>0</v>
      </c>
      <c r="E5037">
        <v>0</v>
      </c>
    </row>
    <row r="5038" spans="2:5" x14ac:dyDescent="0.25">
      <c r="B5038" t="s">
        <v>1859</v>
      </c>
      <c r="C5038" t="s">
        <v>1859</v>
      </c>
      <c r="D5038">
        <v>0</v>
      </c>
      <c r="E5038">
        <v>0</v>
      </c>
    </row>
    <row r="5039" spans="2:5" x14ac:dyDescent="0.25">
      <c r="B5039">
        <v>9010841</v>
      </c>
      <c r="C5039" t="s">
        <v>3062</v>
      </c>
      <c r="D5039">
        <v>0</v>
      </c>
      <c r="E5039">
        <v>0</v>
      </c>
    </row>
    <row r="5040" spans="2:5" x14ac:dyDescent="0.25">
      <c r="B5040" t="s">
        <v>1859</v>
      </c>
      <c r="C5040" t="s">
        <v>1859</v>
      </c>
      <c r="D5040">
        <v>0</v>
      </c>
      <c r="E5040">
        <v>0</v>
      </c>
    </row>
    <row r="5041" spans="2:5" x14ac:dyDescent="0.25">
      <c r="B5041">
        <v>9709018</v>
      </c>
      <c r="C5041" t="s">
        <v>2831</v>
      </c>
      <c r="D5041">
        <v>0</v>
      </c>
      <c r="E5041">
        <v>0</v>
      </c>
    </row>
    <row r="5042" spans="2:5" x14ac:dyDescent="0.25">
      <c r="B5042" t="s">
        <v>1859</v>
      </c>
      <c r="C5042" t="s">
        <v>1859</v>
      </c>
      <c r="D5042">
        <v>0</v>
      </c>
      <c r="E5042">
        <v>0</v>
      </c>
    </row>
    <row r="5043" spans="2:5" x14ac:dyDescent="0.25">
      <c r="B5043">
        <v>9716020</v>
      </c>
      <c r="C5043" t="s">
        <v>2846</v>
      </c>
      <c r="D5043">
        <v>0</v>
      </c>
      <c r="E5043">
        <v>0</v>
      </c>
    </row>
    <row r="5044" spans="2:5" x14ac:dyDescent="0.25">
      <c r="B5044" t="s">
        <v>1859</v>
      </c>
      <c r="C5044" t="s">
        <v>1859</v>
      </c>
      <c r="D5044">
        <v>0</v>
      </c>
      <c r="E5044">
        <v>0</v>
      </c>
    </row>
    <row r="5045" spans="2:5" x14ac:dyDescent="0.25">
      <c r="B5045">
        <v>9716021</v>
      </c>
      <c r="C5045" t="s">
        <v>2847</v>
      </c>
      <c r="D5045">
        <v>0</v>
      </c>
      <c r="E5045">
        <v>0</v>
      </c>
    </row>
    <row r="5046" spans="2:5" x14ac:dyDescent="0.25">
      <c r="B5046" t="s">
        <v>1859</v>
      </c>
      <c r="C5046" t="s">
        <v>1859</v>
      </c>
      <c r="D5046">
        <v>0</v>
      </c>
      <c r="E5046">
        <v>0</v>
      </c>
    </row>
    <row r="5047" spans="2:5" x14ac:dyDescent="0.25">
      <c r="B5047">
        <v>9859017</v>
      </c>
      <c r="C5047" t="s">
        <v>3063</v>
      </c>
      <c r="D5047">
        <v>0</v>
      </c>
      <c r="E5047">
        <v>0</v>
      </c>
    </row>
    <row r="5048" spans="2:5" x14ac:dyDescent="0.25">
      <c r="B5048">
        <v>999</v>
      </c>
      <c r="C5048" t="s">
        <v>3064</v>
      </c>
      <c r="D5048">
        <v>1.21</v>
      </c>
      <c r="E5048">
        <v>0</v>
      </c>
    </row>
    <row r="5049" spans="2:5" x14ac:dyDescent="0.25">
      <c r="B5049" t="s">
        <v>1859</v>
      </c>
      <c r="C5049" t="s">
        <v>1859</v>
      </c>
      <c r="D5049">
        <v>0</v>
      </c>
      <c r="E5049">
        <v>0</v>
      </c>
    </row>
    <row r="5050" spans="2:5" x14ac:dyDescent="0.25">
      <c r="B5050">
        <v>9999022</v>
      </c>
      <c r="C5050" t="s">
        <v>3065</v>
      </c>
      <c r="D5050">
        <v>0</v>
      </c>
      <c r="E5050">
        <v>0</v>
      </c>
    </row>
    <row r="5051" spans="2:5" x14ac:dyDescent="0.25">
      <c r="B5051">
        <v>9999025</v>
      </c>
      <c r="C5051" t="s">
        <v>1838</v>
      </c>
      <c r="D5051">
        <v>44</v>
      </c>
      <c r="E5051">
        <v>0</v>
      </c>
    </row>
    <row r="5052" spans="2:5" x14ac:dyDescent="0.25">
      <c r="B5052" t="s">
        <v>1859</v>
      </c>
      <c r="C5052" t="s">
        <v>1859</v>
      </c>
      <c r="D5052">
        <v>0</v>
      </c>
      <c r="E5052">
        <v>0</v>
      </c>
    </row>
    <row r="5053" spans="2:5" x14ac:dyDescent="0.25">
      <c r="B5053">
        <v>9999026</v>
      </c>
      <c r="C5053" t="s">
        <v>3066</v>
      </c>
      <c r="D5053">
        <v>0</v>
      </c>
      <c r="E5053">
        <v>0</v>
      </c>
    </row>
    <row r="5054" spans="2:5" x14ac:dyDescent="0.25">
      <c r="B5054" t="s">
        <v>1859</v>
      </c>
      <c r="C5054" t="s">
        <v>1859</v>
      </c>
      <c r="D5054">
        <v>0</v>
      </c>
      <c r="E5054">
        <v>0</v>
      </c>
    </row>
    <row r="5055" spans="2:5" x14ac:dyDescent="0.25">
      <c r="B5055">
        <v>9999050</v>
      </c>
      <c r="C5055" t="s">
        <v>3067</v>
      </c>
      <c r="D5055">
        <v>0</v>
      </c>
      <c r="E5055">
        <v>0</v>
      </c>
    </row>
    <row r="5056" spans="2:5" x14ac:dyDescent="0.25">
      <c r="B5056" t="s">
        <v>1859</v>
      </c>
      <c r="C5056" t="s">
        <v>1859</v>
      </c>
      <c r="D5056">
        <v>0</v>
      </c>
      <c r="E5056">
        <v>0</v>
      </c>
    </row>
    <row r="5057" spans="2:5" x14ac:dyDescent="0.25">
      <c r="B5057">
        <v>9999075</v>
      </c>
      <c r="C5057" t="s">
        <v>3068</v>
      </c>
      <c r="D5057">
        <v>0</v>
      </c>
      <c r="E5057">
        <v>0</v>
      </c>
    </row>
    <row r="5058" spans="2:5" x14ac:dyDescent="0.25">
      <c r="B5058" t="s">
        <v>1859</v>
      </c>
      <c r="C5058" t="s">
        <v>3069</v>
      </c>
      <c r="D5058">
        <v>0</v>
      </c>
      <c r="E5058">
        <v>0</v>
      </c>
    </row>
    <row r="5059" spans="2:5" x14ac:dyDescent="0.25">
      <c r="B5059" t="s">
        <v>1859</v>
      </c>
      <c r="C5059" t="s">
        <v>3070</v>
      </c>
      <c r="D5059">
        <v>0</v>
      </c>
      <c r="E5059">
        <v>0</v>
      </c>
    </row>
    <row r="5060" spans="2:5" x14ac:dyDescent="0.25">
      <c r="B5060" t="s">
        <v>1859</v>
      </c>
      <c r="C5060" t="s">
        <v>3071</v>
      </c>
      <c r="D5060">
        <v>0</v>
      </c>
      <c r="E5060">
        <v>0</v>
      </c>
    </row>
    <row r="5061" spans="2:5" x14ac:dyDescent="0.25">
      <c r="B5061" t="s">
        <v>1859</v>
      </c>
      <c r="C5061" t="s">
        <v>3072</v>
      </c>
      <c r="D5061">
        <v>0</v>
      </c>
      <c r="E5061">
        <v>0</v>
      </c>
    </row>
    <row r="5062" spans="2:5" x14ac:dyDescent="0.25">
      <c r="B5062" t="s">
        <v>1859</v>
      </c>
      <c r="C5062" t="s">
        <v>3073</v>
      </c>
      <c r="D5062">
        <v>0</v>
      </c>
      <c r="E5062">
        <v>0</v>
      </c>
    </row>
    <row r="5063" spans="2:5" x14ac:dyDescent="0.25">
      <c r="B5063" t="s">
        <v>1859</v>
      </c>
      <c r="C5063" t="s">
        <v>3074</v>
      </c>
      <c r="D5063">
        <v>0</v>
      </c>
      <c r="E5063">
        <v>0</v>
      </c>
    </row>
    <row r="5064" spans="2:5" x14ac:dyDescent="0.25">
      <c r="B5064" t="s">
        <v>1859</v>
      </c>
      <c r="C5064" t="s">
        <v>3075</v>
      </c>
      <c r="D5064">
        <v>0</v>
      </c>
      <c r="E5064">
        <v>0</v>
      </c>
    </row>
    <row r="5065" spans="2:5" x14ac:dyDescent="0.25">
      <c r="B5065" t="s">
        <v>1859</v>
      </c>
      <c r="C5065" t="s">
        <v>3076</v>
      </c>
      <c r="D5065">
        <v>0</v>
      </c>
      <c r="E5065">
        <v>0</v>
      </c>
    </row>
    <row r="5066" spans="2:5" x14ac:dyDescent="0.25">
      <c r="B5066" t="s">
        <v>1859</v>
      </c>
      <c r="C5066" t="s">
        <v>3077</v>
      </c>
      <c r="D5066">
        <v>0</v>
      </c>
      <c r="E5066">
        <v>0</v>
      </c>
    </row>
    <row r="5067" spans="2:5" x14ac:dyDescent="0.25">
      <c r="B5067" t="s">
        <v>1859</v>
      </c>
      <c r="C5067" t="s">
        <v>3078</v>
      </c>
      <c r="D5067">
        <v>0</v>
      </c>
      <c r="E5067">
        <v>0</v>
      </c>
    </row>
    <row r="5068" spans="2:5" x14ac:dyDescent="0.25">
      <c r="B5068" t="s">
        <v>1859</v>
      </c>
      <c r="C5068" t="s">
        <v>3079</v>
      </c>
      <c r="D5068">
        <v>0</v>
      </c>
      <c r="E5068">
        <v>0</v>
      </c>
    </row>
    <row r="5069" spans="2:5" x14ac:dyDescent="0.25">
      <c r="B5069" t="s">
        <v>1859</v>
      </c>
      <c r="C5069" t="s">
        <v>1859</v>
      </c>
      <c r="D5069">
        <v>0</v>
      </c>
      <c r="E5069">
        <v>0</v>
      </c>
    </row>
    <row r="5070" spans="2:5" x14ac:dyDescent="0.25">
      <c r="B5070" t="s">
        <v>1859</v>
      </c>
      <c r="C5070" t="s">
        <v>3080</v>
      </c>
      <c r="D5070">
        <v>0</v>
      </c>
      <c r="E5070">
        <v>0</v>
      </c>
    </row>
    <row r="5071" spans="2:5" x14ac:dyDescent="0.25">
      <c r="B5071" t="s">
        <v>1859</v>
      </c>
      <c r="C5071" t="s">
        <v>3081</v>
      </c>
      <c r="D5071">
        <v>0</v>
      </c>
      <c r="E5071">
        <v>0</v>
      </c>
    </row>
    <row r="5072" spans="2:5" x14ac:dyDescent="0.25">
      <c r="B5072" t="s">
        <v>1859</v>
      </c>
      <c r="C5072" t="s">
        <v>3082</v>
      </c>
      <c r="D5072">
        <v>0</v>
      </c>
      <c r="E5072">
        <v>0</v>
      </c>
    </row>
    <row r="5073" spans="2:5" x14ac:dyDescent="0.25">
      <c r="B5073" t="s">
        <v>1859</v>
      </c>
      <c r="C5073" t="s">
        <v>3083</v>
      </c>
      <c r="D5073">
        <v>0</v>
      </c>
      <c r="E5073">
        <v>0</v>
      </c>
    </row>
    <row r="5074" spans="2:5" x14ac:dyDescent="0.25">
      <c r="B5074" t="s">
        <v>1859</v>
      </c>
      <c r="C5074" t="s">
        <v>3084</v>
      </c>
      <c r="D5074">
        <v>0</v>
      </c>
      <c r="E5074">
        <v>0</v>
      </c>
    </row>
    <row r="5075" spans="2:5" x14ac:dyDescent="0.25">
      <c r="B5075" t="s">
        <v>1859</v>
      </c>
      <c r="C5075" t="s">
        <v>3085</v>
      </c>
      <c r="D5075">
        <v>0</v>
      </c>
      <c r="E5075">
        <v>0</v>
      </c>
    </row>
    <row r="5076" spans="2:5" x14ac:dyDescent="0.25">
      <c r="B5076" t="s">
        <v>1859</v>
      </c>
      <c r="C5076" t="s">
        <v>3086</v>
      </c>
      <c r="D5076">
        <v>0</v>
      </c>
      <c r="E5076">
        <v>0</v>
      </c>
    </row>
    <row r="5077" spans="2:5" x14ac:dyDescent="0.25">
      <c r="B5077" t="s">
        <v>1859</v>
      </c>
      <c r="C5077" t="s">
        <v>3087</v>
      </c>
      <c r="D5077">
        <v>0</v>
      </c>
      <c r="E5077">
        <v>0</v>
      </c>
    </row>
    <row r="5078" spans="2:5" x14ac:dyDescent="0.25">
      <c r="B5078" t="s">
        <v>1859</v>
      </c>
      <c r="C5078" t="s">
        <v>3088</v>
      </c>
      <c r="D5078">
        <v>0</v>
      </c>
      <c r="E5078">
        <v>0</v>
      </c>
    </row>
    <row r="5079" spans="2:5" x14ac:dyDescent="0.25">
      <c r="B5079" t="s">
        <v>1859</v>
      </c>
      <c r="C5079" t="s">
        <v>3089</v>
      </c>
      <c r="D5079">
        <v>0</v>
      </c>
      <c r="E5079">
        <v>0</v>
      </c>
    </row>
    <row r="5080" spans="2:5" x14ac:dyDescent="0.25">
      <c r="B5080" t="s">
        <v>1859</v>
      </c>
      <c r="C5080" t="s">
        <v>3090</v>
      </c>
      <c r="D5080">
        <v>0</v>
      </c>
      <c r="E5080">
        <v>0</v>
      </c>
    </row>
    <row r="5081" spans="2:5" x14ac:dyDescent="0.25">
      <c r="B5081" t="s">
        <v>1859</v>
      </c>
      <c r="C5081" t="s">
        <v>3091</v>
      </c>
      <c r="D5081">
        <v>0</v>
      </c>
      <c r="E5081">
        <v>0</v>
      </c>
    </row>
    <row r="5082" spans="2:5" x14ac:dyDescent="0.25">
      <c r="B5082" t="s">
        <v>1859</v>
      </c>
      <c r="C5082" t="s">
        <v>3092</v>
      </c>
      <c r="D5082">
        <v>0</v>
      </c>
      <c r="E5082">
        <v>0</v>
      </c>
    </row>
    <row r="5083" spans="2:5" x14ac:dyDescent="0.25">
      <c r="B5083" t="s">
        <v>1859</v>
      </c>
      <c r="C5083" t="s">
        <v>3093</v>
      </c>
      <c r="D5083">
        <v>0</v>
      </c>
      <c r="E5083">
        <v>0</v>
      </c>
    </row>
    <row r="5084" spans="2:5" x14ac:dyDescent="0.25">
      <c r="B5084" t="s">
        <v>1859</v>
      </c>
      <c r="C5084" t="s">
        <v>3094</v>
      </c>
      <c r="D5084">
        <v>0</v>
      </c>
      <c r="E5084">
        <v>0</v>
      </c>
    </row>
    <row r="5085" spans="2:5" x14ac:dyDescent="0.25">
      <c r="B5085" t="s">
        <v>1859</v>
      </c>
      <c r="C5085" t="s">
        <v>3095</v>
      </c>
      <c r="D5085">
        <v>0</v>
      </c>
      <c r="E5085">
        <v>0</v>
      </c>
    </row>
    <row r="5086" spans="2:5" x14ac:dyDescent="0.25">
      <c r="B5086" t="s">
        <v>1859</v>
      </c>
      <c r="C5086" t="s">
        <v>3096</v>
      </c>
      <c r="D5086">
        <v>0</v>
      </c>
      <c r="E5086">
        <v>0</v>
      </c>
    </row>
    <row r="5087" spans="2:5" x14ac:dyDescent="0.25">
      <c r="B5087" t="s">
        <v>1859</v>
      </c>
      <c r="C5087" t="s">
        <v>3097</v>
      </c>
      <c r="D5087">
        <v>0</v>
      </c>
      <c r="E5087">
        <v>0</v>
      </c>
    </row>
    <row r="5088" spans="2:5" x14ac:dyDescent="0.25">
      <c r="B5088" t="s">
        <v>1859</v>
      </c>
      <c r="C5088" t="s">
        <v>3098</v>
      </c>
      <c r="D5088">
        <v>0</v>
      </c>
      <c r="E5088">
        <v>0</v>
      </c>
    </row>
    <row r="5089" spans="2:5" x14ac:dyDescent="0.25">
      <c r="B5089" t="s">
        <v>1859</v>
      </c>
      <c r="C5089" t="s">
        <v>3099</v>
      </c>
      <c r="D5089">
        <v>0</v>
      </c>
      <c r="E5089">
        <v>0</v>
      </c>
    </row>
    <row r="5090" spans="2:5" x14ac:dyDescent="0.25">
      <c r="B5090" t="s">
        <v>1859</v>
      </c>
      <c r="C5090" t="s">
        <v>3100</v>
      </c>
      <c r="D5090">
        <v>0</v>
      </c>
      <c r="E5090">
        <v>0</v>
      </c>
    </row>
    <row r="5091" spans="2:5" x14ac:dyDescent="0.25">
      <c r="B5091" t="s">
        <v>1859</v>
      </c>
      <c r="C5091" t="s">
        <v>3101</v>
      </c>
      <c r="D5091">
        <v>0</v>
      </c>
      <c r="E5091">
        <v>0</v>
      </c>
    </row>
    <row r="5092" spans="2:5" x14ac:dyDescent="0.25">
      <c r="B5092" t="s">
        <v>1859</v>
      </c>
      <c r="C5092" t="s">
        <v>3102</v>
      </c>
      <c r="D5092">
        <v>0</v>
      </c>
      <c r="E5092">
        <v>0</v>
      </c>
    </row>
    <row r="5093" spans="2:5" x14ac:dyDescent="0.25">
      <c r="B5093" t="s">
        <v>1859</v>
      </c>
      <c r="C5093" t="s">
        <v>1859</v>
      </c>
      <c r="D5093">
        <v>0</v>
      </c>
      <c r="E5093">
        <v>0</v>
      </c>
    </row>
    <row r="5094" spans="2:5" x14ac:dyDescent="0.25">
      <c r="B5094" t="s">
        <v>1859</v>
      </c>
      <c r="C5094" t="s">
        <v>3103</v>
      </c>
      <c r="D5094">
        <v>0</v>
      </c>
      <c r="E5094">
        <v>0</v>
      </c>
    </row>
    <row r="5095" spans="2:5" x14ac:dyDescent="0.25">
      <c r="B5095" t="s">
        <v>1859</v>
      </c>
      <c r="C5095" t="s">
        <v>3104</v>
      </c>
      <c r="D5095">
        <v>0</v>
      </c>
      <c r="E5095">
        <v>0</v>
      </c>
    </row>
    <row r="5096" spans="2:5" x14ac:dyDescent="0.25">
      <c r="B5096" t="s">
        <v>1859</v>
      </c>
      <c r="C5096" t="s">
        <v>3105</v>
      </c>
      <c r="D5096">
        <v>0</v>
      </c>
      <c r="E5096">
        <v>0</v>
      </c>
    </row>
    <row r="5097" spans="2:5" x14ac:dyDescent="0.25">
      <c r="B5097" t="s">
        <v>1859</v>
      </c>
      <c r="C5097" t="s">
        <v>3106</v>
      </c>
      <c r="D5097">
        <v>0</v>
      </c>
      <c r="E5097">
        <v>0</v>
      </c>
    </row>
    <row r="5098" spans="2:5" x14ac:dyDescent="0.25">
      <c r="B5098" t="s">
        <v>1859</v>
      </c>
      <c r="C5098" t="s">
        <v>3107</v>
      </c>
      <c r="D5098">
        <v>0</v>
      </c>
      <c r="E5098">
        <v>0</v>
      </c>
    </row>
    <row r="5099" spans="2:5" x14ac:dyDescent="0.25">
      <c r="B5099" t="s">
        <v>1859</v>
      </c>
      <c r="C5099" t="s">
        <v>3108</v>
      </c>
      <c r="D5099">
        <v>0</v>
      </c>
      <c r="E5099">
        <v>0</v>
      </c>
    </row>
    <row r="5100" spans="2:5" x14ac:dyDescent="0.25">
      <c r="B5100" t="s">
        <v>1859</v>
      </c>
      <c r="C5100" t="s">
        <v>3109</v>
      </c>
      <c r="D5100">
        <v>0</v>
      </c>
      <c r="E5100">
        <v>0</v>
      </c>
    </row>
    <row r="5101" spans="2:5" x14ac:dyDescent="0.25">
      <c r="B5101" t="s">
        <v>1859</v>
      </c>
      <c r="C5101" t="s">
        <v>3110</v>
      </c>
      <c r="D5101">
        <v>0</v>
      </c>
      <c r="E5101">
        <v>0</v>
      </c>
    </row>
    <row r="5102" spans="2:5" x14ac:dyDescent="0.25">
      <c r="B5102" t="s">
        <v>1859</v>
      </c>
      <c r="C5102" t="s">
        <v>3111</v>
      </c>
      <c r="D5102">
        <v>0</v>
      </c>
      <c r="E5102">
        <v>0</v>
      </c>
    </row>
    <row r="5103" spans="2:5" x14ac:dyDescent="0.25">
      <c r="B5103" t="s">
        <v>1859</v>
      </c>
      <c r="C5103" t="s">
        <v>3112</v>
      </c>
      <c r="D5103">
        <v>0</v>
      </c>
      <c r="E5103">
        <v>0</v>
      </c>
    </row>
    <row r="5104" spans="2:5" x14ac:dyDescent="0.25">
      <c r="B5104" t="s">
        <v>1859</v>
      </c>
      <c r="C5104" t="s">
        <v>3113</v>
      </c>
      <c r="D5104">
        <v>0</v>
      </c>
      <c r="E5104">
        <v>0</v>
      </c>
    </row>
    <row r="5105" spans="2:5" x14ac:dyDescent="0.25">
      <c r="B5105" t="s">
        <v>1859</v>
      </c>
      <c r="C5105" t="s">
        <v>3114</v>
      </c>
      <c r="D5105">
        <v>0</v>
      </c>
      <c r="E5105">
        <v>0</v>
      </c>
    </row>
    <row r="5106" spans="2:5" x14ac:dyDescent="0.25">
      <c r="B5106" t="s">
        <v>1859</v>
      </c>
      <c r="C5106" t="s">
        <v>3115</v>
      </c>
      <c r="D5106">
        <v>0</v>
      </c>
      <c r="E5106">
        <v>0</v>
      </c>
    </row>
    <row r="5107" spans="2:5" x14ac:dyDescent="0.25">
      <c r="B5107" t="s">
        <v>1859</v>
      </c>
      <c r="C5107" t="s">
        <v>3116</v>
      </c>
      <c r="D5107">
        <v>0</v>
      </c>
      <c r="E5107">
        <v>0</v>
      </c>
    </row>
    <row r="5108" spans="2:5" x14ac:dyDescent="0.25">
      <c r="B5108" t="s">
        <v>1859</v>
      </c>
      <c r="C5108" t="s">
        <v>3117</v>
      </c>
      <c r="D5108">
        <v>0</v>
      </c>
      <c r="E5108">
        <v>0</v>
      </c>
    </row>
    <row r="5109" spans="2:5" x14ac:dyDescent="0.25">
      <c r="B5109" t="s">
        <v>1859</v>
      </c>
      <c r="C5109" t="s">
        <v>3118</v>
      </c>
      <c r="D5109">
        <v>0</v>
      </c>
      <c r="E5109">
        <v>0</v>
      </c>
    </row>
    <row r="5110" spans="2:5" x14ac:dyDescent="0.25">
      <c r="B5110" t="s">
        <v>1859</v>
      </c>
      <c r="C5110" t="s">
        <v>3118</v>
      </c>
      <c r="D5110">
        <v>0</v>
      </c>
      <c r="E5110">
        <v>0</v>
      </c>
    </row>
    <row r="5111" spans="2:5" x14ac:dyDescent="0.25">
      <c r="B5111" t="s">
        <v>1859</v>
      </c>
      <c r="C5111" t="s">
        <v>3119</v>
      </c>
      <c r="D5111">
        <v>0</v>
      </c>
      <c r="E5111">
        <v>0</v>
      </c>
    </row>
    <row r="5112" spans="2:5" x14ac:dyDescent="0.25">
      <c r="B5112" t="s">
        <v>1859</v>
      </c>
      <c r="C5112" t="s">
        <v>3120</v>
      </c>
      <c r="D5112">
        <v>0</v>
      </c>
      <c r="E5112">
        <v>0</v>
      </c>
    </row>
    <row r="5113" spans="2:5" x14ac:dyDescent="0.25">
      <c r="B5113" t="s">
        <v>1859</v>
      </c>
      <c r="C5113" t="s">
        <v>3121</v>
      </c>
      <c r="D5113">
        <v>0</v>
      </c>
      <c r="E5113">
        <v>0</v>
      </c>
    </row>
    <row r="5114" spans="2:5" x14ac:dyDescent="0.25">
      <c r="B5114" t="s">
        <v>1859</v>
      </c>
      <c r="C5114" t="s">
        <v>3122</v>
      </c>
      <c r="D5114">
        <v>0</v>
      </c>
      <c r="E5114">
        <v>0</v>
      </c>
    </row>
    <row r="5115" spans="2:5" x14ac:dyDescent="0.25">
      <c r="B5115" t="s">
        <v>1859</v>
      </c>
      <c r="C5115" t="s">
        <v>3123</v>
      </c>
      <c r="D5115">
        <v>0</v>
      </c>
      <c r="E5115">
        <v>0</v>
      </c>
    </row>
    <row r="5116" spans="2:5" x14ac:dyDescent="0.25">
      <c r="B5116" t="s">
        <v>1859</v>
      </c>
      <c r="C5116" t="s">
        <v>3124</v>
      </c>
      <c r="D5116">
        <v>0</v>
      </c>
      <c r="E5116">
        <v>0</v>
      </c>
    </row>
    <row r="5117" spans="2:5" x14ac:dyDescent="0.25">
      <c r="B5117" t="s">
        <v>1859</v>
      </c>
      <c r="C5117" t="s">
        <v>3125</v>
      </c>
      <c r="D5117">
        <v>0</v>
      </c>
      <c r="E5117">
        <v>0</v>
      </c>
    </row>
    <row r="5118" spans="2:5" x14ac:dyDescent="0.25">
      <c r="B5118" t="s">
        <v>1859</v>
      </c>
      <c r="C5118" t="s">
        <v>3126</v>
      </c>
      <c r="D5118">
        <v>0</v>
      </c>
      <c r="E5118">
        <v>0</v>
      </c>
    </row>
    <row r="5119" spans="2:5" x14ac:dyDescent="0.25">
      <c r="B5119" t="s">
        <v>1859</v>
      </c>
      <c r="C5119" t="s">
        <v>3127</v>
      </c>
      <c r="D5119">
        <v>0</v>
      </c>
      <c r="E5119">
        <v>0</v>
      </c>
    </row>
    <row r="5120" spans="2:5" x14ac:dyDescent="0.25">
      <c r="B5120" t="s">
        <v>1859</v>
      </c>
      <c r="C5120" t="s">
        <v>3128</v>
      </c>
      <c r="D5120">
        <v>0</v>
      </c>
      <c r="E5120">
        <v>0</v>
      </c>
    </row>
    <row r="5121" spans="2:5" x14ac:dyDescent="0.25">
      <c r="B5121" t="s">
        <v>1859</v>
      </c>
      <c r="C5121" t="s">
        <v>3129</v>
      </c>
      <c r="D5121">
        <v>0</v>
      </c>
      <c r="E5121">
        <v>0</v>
      </c>
    </row>
    <row r="5122" spans="2:5" x14ac:dyDescent="0.25">
      <c r="B5122" t="s">
        <v>1859</v>
      </c>
      <c r="C5122" t="s">
        <v>3130</v>
      </c>
      <c r="D5122">
        <v>0</v>
      </c>
      <c r="E5122">
        <v>0</v>
      </c>
    </row>
    <row r="5123" spans="2:5" x14ac:dyDescent="0.25">
      <c r="B5123" t="s">
        <v>1859</v>
      </c>
      <c r="C5123" t="s">
        <v>3131</v>
      </c>
      <c r="D5123">
        <v>0</v>
      </c>
      <c r="E5123">
        <v>0</v>
      </c>
    </row>
    <row r="5124" spans="2:5" x14ac:dyDescent="0.25">
      <c r="B5124" t="s">
        <v>1859</v>
      </c>
      <c r="C5124" t="s">
        <v>3132</v>
      </c>
      <c r="D5124">
        <v>0</v>
      </c>
      <c r="E5124">
        <v>0</v>
      </c>
    </row>
    <row r="5125" spans="2:5" x14ac:dyDescent="0.25">
      <c r="B5125" t="s">
        <v>1859</v>
      </c>
      <c r="C5125" t="s">
        <v>3133</v>
      </c>
      <c r="D5125">
        <v>0</v>
      </c>
      <c r="E5125">
        <v>0</v>
      </c>
    </row>
    <row r="5126" spans="2:5" x14ac:dyDescent="0.25">
      <c r="B5126" t="s">
        <v>1859</v>
      </c>
      <c r="C5126" t="s">
        <v>3134</v>
      </c>
      <c r="D5126">
        <v>0</v>
      </c>
      <c r="E5126">
        <v>0</v>
      </c>
    </row>
    <row r="5127" spans="2:5" x14ac:dyDescent="0.25">
      <c r="B5127" t="s">
        <v>1859</v>
      </c>
      <c r="C5127" t="s">
        <v>3135</v>
      </c>
      <c r="D5127">
        <v>0</v>
      </c>
      <c r="E5127">
        <v>0</v>
      </c>
    </row>
    <row r="5128" spans="2:5" x14ac:dyDescent="0.25">
      <c r="B5128" t="s">
        <v>1859</v>
      </c>
      <c r="C5128" t="s">
        <v>3136</v>
      </c>
      <c r="D5128">
        <v>730.41</v>
      </c>
      <c r="E5128">
        <v>0</v>
      </c>
    </row>
    <row r="5129" spans="2:5" x14ac:dyDescent="0.25">
      <c r="B5129" t="s">
        <v>1859</v>
      </c>
      <c r="C5129" t="s">
        <v>3136</v>
      </c>
      <c r="D5129">
        <v>730.41</v>
      </c>
      <c r="E5129">
        <v>0</v>
      </c>
    </row>
    <row r="5130" spans="2:5" x14ac:dyDescent="0.25">
      <c r="B5130" t="s">
        <v>1859</v>
      </c>
      <c r="C5130" t="s">
        <v>3137</v>
      </c>
      <c r="D5130">
        <v>630.13</v>
      </c>
      <c r="E5130">
        <v>0</v>
      </c>
    </row>
    <row r="5131" spans="2:5" x14ac:dyDescent="0.25">
      <c r="B5131" t="s">
        <v>1859</v>
      </c>
      <c r="C5131" t="s">
        <v>3138</v>
      </c>
      <c r="D5131">
        <v>678.62</v>
      </c>
      <c r="E5131">
        <v>0</v>
      </c>
    </row>
    <row r="5132" spans="2:5" x14ac:dyDescent="0.25">
      <c r="B5132" t="s">
        <v>1859</v>
      </c>
      <c r="C5132" t="s">
        <v>3139</v>
      </c>
      <c r="D5132">
        <v>265.60000000000002</v>
      </c>
      <c r="E5132">
        <v>0</v>
      </c>
    </row>
    <row r="5133" spans="2:5" x14ac:dyDescent="0.25">
      <c r="B5133" t="s">
        <v>1859</v>
      </c>
      <c r="C5133" t="s">
        <v>3140</v>
      </c>
      <c r="D5133">
        <v>366.9</v>
      </c>
      <c r="E5133">
        <v>0</v>
      </c>
    </row>
    <row r="5134" spans="2:5" x14ac:dyDescent="0.25">
      <c r="B5134" t="s">
        <v>1859</v>
      </c>
      <c r="C5134" t="s">
        <v>1859</v>
      </c>
      <c r="D5134">
        <v>0</v>
      </c>
      <c r="E5134">
        <v>0</v>
      </c>
    </row>
    <row r="5135" spans="2:5" x14ac:dyDescent="0.25">
      <c r="B5135" t="s">
        <v>1859</v>
      </c>
      <c r="C5135" t="s">
        <v>1859</v>
      </c>
      <c r="D5135">
        <v>0</v>
      </c>
      <c r="E5135">
        <v>0</v>
      </c>
    </row>
    <row r="5136" spans="2:5" x14ac:dyDescent="0.25">
      <c r="B5136" t="s">
        <v>1859</v>
      </c>
      <c r="C5136" t="s">
        <v>1859</v>
      </c>
      <c r="D5136">
        <v>0</v>
      </c>
      <c r="E5136">
        <v>0</v>
      </c>
    </row>
    <row r="5137" spans="2:5" x14ac:dyDescent="0.25">
      <c r="B5137" t="s">
        <v>1859</v>
      </c>
      <c r="C5137" t="s">
        <v>1859</v>
      </c>
      <c r="D5137">
        <v>0</v>
      </c>
      <c r="E5137">
        <v>0</v>
      </c>
    </row>
    <row r="5138" spans="2:5" x14ac:dyDescent="0.25">
      <c r="B5138" t="s">
        <v>1859</v>
      </c>
      <c r="C5138" t="s">
        <v>1859</v>
      </c>
      <c r="D5138">
        <v>0</v>
      </c>
      <c r="E5138">
        <v>0</v>
      </c>
    </row>
    <row r="5139" spans="2:5" x14ac:dyDescent="0.25">
      <c r="B5139" t="s">
        <v>1859</v>
      </c>
      <c r="C5139" t="s">
        <v>1477</v>
      </c>
      <c r="D5139">
        <v>0</v>
      </c>
      <c r="E5139">
        <v>133</v>
      </c>
    </row>
    <row r="5140" spans="2:5" x14ac:dyDescent="0.25">
      <c r="B5140" t="s">
        <v>1859</v>
      </c>
      <c r="C5140" t="s">
        <v>1502</v>
      </c>
      <c r="D5140">
        <v>0</v>
      </c>
      <c r="E5140">
        <v>96</v>
      </c>
    </row>
    <row r="5141" spans="2:5" x14ac:dyDescent="0.25">
      <c r="B5141" t="s">
        <v>1859</v>
      </c>
      <c r="C5141" t="s">
        <v>1505</v>
      </c>
      <c r="D5141">
        <v>0</v>
      </c>
      <c r="E5141">
        <v>5</v>
      </c>
    </row>
    <row r="5142" spans="2:5" x14ac:dyDescent="0.25">
      <c r="B5142" t="s">
        <v>1859</v>
      </c>
      <c r="C5142" t="s">
        <v>1747</v>
      </c>
      <c r="D5142">
        <v>0</v>
      </c>
      <c r="E5142">
        <v>25</v>
      </c>
    </row>
    <row r="5143" spans="2:5" x14ac:dyDescent="0.25">
      <c r="B5143" t="s">
        <v>1859</v>
      </c>
      <c r="C5143" t="s">
        <v>2786</v>
      </c>
      <c r="D5143">
        <v>0</v>
      </c>
      <c r="E5143">
        <v>-337</v>
      </c>
    </row>
    <row r="5144" spans="2:5" x14ac:dyDescent="0.25">
      <c r="B5144" t="s">
        <v>1859</v>
      </c>
      <c r="C5144" t="s">
        <v>1765</v>
      </c>
      <c r="D5144">
        <v>0</v>
      </c>
      <c r="E5144">
        <v>68</v>
      </c>
    </row>
    <row r="5145" spans="2:5" x14ac:dyDescent="0.25">
      <c r="B5145" t="s">
        <v>1859</v>
      </c>
      <c r="C5145" t="s">
        <v>1766</v>
      </c>
      <c r="D5145">
        <v>0</v>
      </c>
      <c r="E5145">
        <v>-7</v>
      </c>
    </row>
    <row r="5146" spans="2:5" x14ac:dyDescent="0.25">
      <c r="B5146" t="s">
        <v>1859</v>
      </c>
      <c r="C5146" t="s">
        <v>1767</v>
      </c>
      <c r="D5146">
        <v>0</v>
      </c>
      <c r="E5146">
        <v>183</v>
      </c>
    </row>
    <row r="5147" spans="2:5" x14ac:dyDescent="0.25">
      <c r="B5147" t="s">
        <v>1859</v>
      </c>
      <c r="C5147" t="s">
        <v>1768</v>
      </c>
      <c r="D5147">
        <v>0</v>
      </c>
      <c r="E5147">
        <v>117</v>
      </c>
    </row>
    <row r="5148" spans="2:5" x14ac:dyDescent="0.25">
      <c r="B5148" t="s">
        <v>1859</v>
      </c>
      <c r="C5148" t="s">
        <v>1769</v>
      </c>
      <c r="D5148">
        <v>0</v>
      </c>
      <c r="E5148">
        <v>18</v>
      </c>
    </row>
    <row r="5149" spans="2:5" x14ac:dyDescent="0.25">
      <c r="B5149" t="s">
        <v>1859</v>
      </c>
      <c r="C5149" t="s">
        <v>1759</v>
      </c>
      <c r="D5149">
        <v>0</v>
      </c>
      <c r="E5149">
        <v>14</v>
      </c>
    </row>
    <row r="5150" spans="2:5" x14ac:dyDescent="0.25">
      <c r="B5150" t="s">
        <v>1859</v>
      </c>
      <c r="C5150" t="s">
        <v>1748</v>
      </c>
      <c r="D5150">
        <v>0</v>
      </c>
      <c r="E5150">
        <v>15</v>
      </c>
    </row>
    <row r="5151" spans="2:5" x14ac:dyDescent="0.25">
      <c r="B5151" t="s">
        <v>1859</v>
      </c>
      <c r="C5151" t="s">
        <v>1761</v>
      </c>
      <c r="D5151">
        <v>0</v>
      </c>
      <c r="E5151">
        <v>513</v>
      </c>
    </row>
    <row r="5152" spans="2:5" x14ac:dyDescent="0.25">
      <c r="B5152" t="s">
        <v>1859</v>
      </c>
      <c r="C5152" t="s">
        <v>1763</v>
      </c>
      <c r="D5152">
        <v>0</v>
      </c>
      <c r="E5152">
        <v>806</v>
      </c>
    </row>
    <row r="5153" spans="2:5" x14ac:dyDescent="0.25">
      <c r="B5153" t="s">
        <v>1859</v>
      </c>
      <c r="C5153" t="s">
        <v>1763</v>
      </c>
      <c r="D5153">
        <v>0</v>
      </c>
      <c r="E5153">
        <v>0</v>
      </c>
    </row>
    <row r="5154" spans="2:5" x14ac:dyDescent="0.25">
      <c r="B5154" t="s">
        <v>1859</v>
      </c>
      <c r="C5154" t="s">
        <v>1502</v>
      </c>
      <c r="D5154">
        <v>0</v>
      </c>
      <c r="E5154">
        <v>0</v>
      </c>
    </row>
    <row r="5155" spans="2:5" x14ac:dyDescent="0.25">
      <c r="B5155" t="s">
        <v>1859</v>
      </c>
      <c r="C5155" t="s">
        <v>1502</v>
      </c>
      <c r="D5155">
        <v>0</v>
      </c>
      <c r="E5155">
        <v>0</v>
      </c>
    </row>
    <row r="5156" spans="2:5" x14ac:dyDescent="0.25">
      <c r="B5156" t="s">
        <v>1859</v>
      </c>
      <c r="C5156" t="s">
        <v>1502</v>
      </c>
      <c r="D5156">
        <v>0</v>
      </c>
      <c r="E5156">
        <v>0</v>
      </c>
    </row>
    <row r="5157" spans="2:5" x14ac:dyDescent="0.25">
      <c r="B5157" t="s">
        <v>1859</v>
      </c>
      <c r="C5157" t="s">
        <v>1502</v>
      </c>
      <c r="D5157">
        <v>0</v>
      </c>
      <c r="E5157">
        <v>0</v>
      </c>
    </row>
    <row r="5158" spans="2:5" x14ac:dyDescent="0.25">
      <c r="B5158" t="s">
        <v>1859</v>
      </c>
      <c r="C5158" t="s">
        <v>1769</v>
      </c>
      <c r="D5158">
        <v>0</v>
      </c>
      <c r="E5158">
        <v>0</v>
      </c>
    </row>
    <row r="5159" spans="2:5" x14ac:dyDescent="0.25">
      <c r="B5159" t="s">
        <v>1859</v>
      </c>
      <c r="C5159" t="s">
        <v>1759</v>
      </c>
      <c r="D5159">
        <v>0</v>
      </c>
      <c r="E5159">
        <v>0</v>
      </c>
    </row>
    <row r="5160" spans="2:5" x14ac:dyDescent="0.25">
      <c r="B5160" t="s">
        <v>1859</v>
      </c>
      <c r="C5160" t="s">
        <v>1768</v>
      </c>
      <c r="D5160">
        <v>0</v>
      </c>
      <c r="E5160">
        <v>0</v>
      </c>
    </row>
    <row r="5161" spans="2:5" x14ac:dyDescent="0.25">
      <c r="B5161" t="s">
        <v>1859</v>
      </c>
      <c r="C5161" t="s">
        <v>1766</v>
      </c>
      <c r="D5161">
        <v>0</v>
      </c>
      <c r="E5161">
        <v>0</v>
      </c>
    </row>
    <row r="5162" spans="2:5" x14ac:dyDescent="0.25">
      <c r="B5162" t="s">
        <v>1859</v>
      </c>
      <c r="C5162" t="s">
        <v>1765</v>
      </c>
      <c r="D5162">
        <v>0</v>
      </c>
      <c r="E5162">
        <v>0</v>
      </c>
    </row>
    <row r="5163" spans="2:5" x14ac:dyDescent="0.25">
      <c r="B5163" t="s">
        <v>1859</v>
      </c>
      <c r="C5163" t="s">
        <v>1748</v>
      </c>
      <c r="D5163">
        <v>0</v>
      </c>
      <c r="E5163">
        <v>0</v>
      </c>
    </row>
    <row r="5164" spans="2:5" x14ac:dyDescent="0.25">
      <c r="B5164" t="s">
        <v>1859</v>
      </c>
      <c r="C5164" t="s">
        <v>1767</v>
      </c>
      <c r="D5164">
        <v>0</v>
      </c>
      <c r="E5164">
        <v>0</v>
      </c>
    </row>
    <row r="5165" spans="2:5" x14ac:dyDescent="0.25">
      <c r="B5165" t="s">
        <v>1859</v>
      </c>
      <c r="C5165" t="s">
        <v>1747</v>
      </c>
      <c r="D5165">
        <v>0</v>
      </c>
      <c r="E5165">
        <v>0</v>
      </c>
    </row>
    <row r="5166" spans="2:5" x14ac:dyDescent="0.25">
      <c r="B5166" t="s">
        <v>1859</v>
      </c>
      <c r="C5166" t="s">
        <v>2786</v>
      </c>
      <c r="D5166">
        <v>0</v>
      </c>
      <c r="E5166">
        <v>0</v>
      </c>
    </row>
    <row r="5167" spans="2:5" x14ac:dyDescent="0.25">
      <c r="B5167" t="s">
        <v>1859</v>
      </c>
      <c r="C5167" t="s">
        <v>1477</v>
      </c>
      <c r="D5167">
        <v>0</v>
      </c>
      <c r="E5167">
        <v>0</v>
      </c>
    </row>
    <row r="5168" spans="2:5" x14ac:dyDescent="0.25">
      <c r="B5168" t="s">
        <v>1859</v>
      </c>
      <c r="C5168" t="s">
        <v>1505</v>
      </c>
      <c r="D5168">
        <v>0</v>
      </c>
      <c r="E5168">
        <v>0</v>
      </c>
    </row>
    <row r="5169" spans="2:5" x14ac:dyDescent="0.25">
      <c r="B5169" t="s">
        <v>1859</v>
      </c>
      <c r="C5169" t="s">
        <v>3141</v>
      </c>
      <c r="D5169">
        <v>0</v>
      </c>
      <c r="E5169">
        <v>0</v>
      </c>
    </row>
    <row r="5170" spans="2:5" x14ac:dyDescent="0.25">
      <c r="B5170" t="s">
        <v>1859</v>
      </c>
      <c r="C5170" t="s">
        <v>3142</v>
      </c>
      <c r="D5170">
        <v>0</v>
      </c>
      <c r="E5170">
        <v>0</v>
      </c>
    </row>
    <row r="5171" spans="2:5" x14ac:dyDescent="0.25">
      <c r="B5171" t="s">
        <v>1859</v>
      </c>
      <c r="C5171" t="s">
        <v>3143</v>
      </c>
      <c r="D5171">
        <v>0</v>
      </c>
      <c r="E5171">
        <v>0</v>
      </c>
    </row>
    <row r="5172" spans="2:5" x14ac:dyDescent="0.25">
      <c r="B5172" t="s">
        <v>1859</v>
      </c>
      <c r="C5172" t="s">
        <v>3144</v>
      </c>
      <c r="D5172">
        <v>0</v>
      </c>
      <c r="E5172">
        <v>0</v>
      </c>
    </row>
    <row r="5173" spans="2:5" x14ac:dyDescent="0.25">
      <c r="B5173" t="s">
        <v>1859</v>
      </c>
      <c r="C5173" t="s">
        <v>3145</v>
      </c>
      <c r="D5173">
        <v>0</v>
      </c>
      <c r="E5173">
        <v>0</v>
      </c>
    </row>
    <row r="5174" spans="2:5" x14ac:dyDescent="0.25">
      <c r="B5174" t="s">
        <v>1859</v>
      </c>
      <c r="C5174" t="s">
        <v>1859</v>
      </c>
      <c r="D5174">
        <v>0</v>
      </c>
      <c r="E5174">
        <v>0</v>
      </c>
    </row>
    <row r="5175" spans="2:5" x14ac:dyDescent="0.25">
      <c r="B5175" t="s">
        <v>1859</v>
      </c>
      <c r="C5175" t="s">
        <v>1859</v>
      </c>
      <c r="D5175">
        <v>0</v>
      </c>
      <c r="E5175">
        <v>0</v>
      </c>
    </row>
    <row r="5176" spans="2:5" x14ac:dyDescent="0.25">
      <c r="B5176" t="s">
        <v>1859</v>
      </c>
      <c r="C5176" t="s">
        <v>1859</v>
      </c>
      <c r="D5176">
        <v>0</v>
      </c>
      <c r="E5176">
        <v>0</v>
      </c>
    </row>
    <row r="5177" spans="2:5" x14ac:dyDescent="0.25">
      <c r="B5177" t="s">
        <v>1859</v>
      </c>
      <c r="C5177" t="s">
        <v>3146</v>
      </c>
      <c r="D5177">
        <v>0</v>
      </c>
      <c r="E5177">
        <v>0</v>
      </c>
    </row>
    <row r="5178" spans="2:5" x14ac:dyDescent="0.25">
      <c r="B5178" t="s">
        <v>1859</v>
      </c>
      <c r="C5178" t="s">
        <v>1859</v>
      </c>
      <c r="D5178">
        <v>0</v>
      </c>
      <c r="E5178">
        <v>0</v>
      </c>
    </row>
    <row r="5179" spans="2:5" x14ac:dyDescent="0.25">
      <c r="B5179" t="s">
        <v>1859</v>
      </c>
      <c r="C5179" t="s">
        <v>3147</v>
      </c>
      <c r="D5179">
        <v>0</v>
      </c>
      <c r="E5179">
        <v>0</v>
      </c>
    </row>
    <row r="5180" spans="2:5" x14ac:dyDescent="0.25">
      <c r="B5180" t="s">
        <v>1859</v>
      </c>
      <c r="C5180" t="s">
        <v>3148</v>
      </c>
      <c r="D5180">
        <v>730.41</v>
      </c>
      <c r="E5180">
        <v>0</v>
      </c>
    </row>
    <row r="5181" spans="2:5" x14ac:dyDescent="0.25">
      <c r="B5181" t="s">
        <v>1859</v>
      </c>
      <c r="C5181" t="s">
        <v>3149</v>
      </c>
      <c r="D5181">
        <v>770.25</v>
      </c>
      <c r="E5181">
        <v>0</v>
      </c>
    </row>
    <row r="5182" spans="2:5" x14ac:dyDescent="0.25">
      <c r="B5182" t="s">
        <v>1859</v>
      </c>
      <c r="C5182" t="s">
        <v>3150</v>
      </c>
      <c r="D5182">
        <v>640.97</v>
      </c>
      <c r="E5182">
        <v>0</v>
      </c>
    </row>
    <row r="5183" spans="2:5" x14ac:dyDescent="0.25">
      <c r="B5183" t="s">
        <v>1859</v>
      </c>
      <c r="C5183" t="s">
        <v>3151</v>
      </c>
      <c r="D5183">
        <v>679.95</v>
      </c>
      <c r="E5183">
        <v>0</v>
      </c>
    </row>
    <row r="5184" spans="2:5" x14ac:dyDescent="0.25">
      <c r="B5184" t="s">
        <v>1859</v>
      </c>
      <c r="C5184" t="s">
        <v>3152</v>
      </c>
      <c r="D5184">
        <v>748.99</v>
      </c>
      <c r="E5184">
        <v>0</v>
      </c>
    </row>
    <row r="5185" spans="2:5" x14ac:dyDescent="0.25">
      <c r="B5185" t="s">
        <v>1859</v>
      </c>
      <c r="C5185" t="s">
        <v>3153</v>
      </c>
      <c r="D5185">
        <v>2037.58</v>
      </c>
      <c r="E5185">
        <v>0</v>
      </c>
    </row>
    <row r="5186" spans="2:5" x14ac:dyDescent="0.25">
      <c r="B5186" t="s">
        <v>1859</v>
      </c>
      <c r="C5186" t="s">
        <v>3154</v>
      </c>
      <c r="D5186">
        <v>668.86</v>
      </c>
      <c r="E5186">
        <v>0</v>
      </c>
    </row>
    <row r="5187" spans="2:5" x14ac:dyDescent="0.25">
      <c r="B5187" t="s">
        <v>1859</v>
      </c>
      <c r="C5187" t="s">
        <v>3155</v>
      </c>
      <c r="D5187">
        <v>1593.66</v>
      </c>
      <c r="E5187">
        <v>0</v>
      </c>
    </row>
    <row r="5188" spans="2:5" x14ac:dyDescent="0.25">
      <c r="B5188" t="s">
        <v>1859</v>
      </c>
      <c r="C5188" t="s">
        <v>3156</v>
      </c>
      <c r="D5188">
        <v>1859.27</v>
      </c>
      <c r="E5188">
        <v>0</v>
      </c>
    </row>
    <row r="5189" spans="2:5" x14ac:dyDescent="0.25">
      <c r="B5189" t="s">
        <v>1859</v>
      </c>
      <c r="C5189" t="s">
        <v>3157</v>
      </c>
      <c r="D5189">
        <v>717.13</v>
      </c>
      <c r="E5189">
        <v>0</v>
      </c>
    </row>
    <row r="5190" spans="2:5" x14ac:dyDescent="0.25">
      <c r="B5190" t="s">
        <v>1859</v>
      </c>
      <c r="C5190" t="s">
        <v>1861</v>
      </c>
      <c r="D5190">
        <v>0</v>
      </c>
      <c r="E5190">
        <v>0</v>
      </c>
    </row>
    <row r="5191" spans="2:5" x14ac:dyDescent="0.25">
      <c r="B5191" t="s">
        <v>1859</v>
      </c>
      <c r="C5191" t="s">
        <v>1861</v>
      </c>
      <c r="D5191">
        <v>0</v>
      </c>
      <c r="E5191">
        <v>0</v>
      </c>
    </row>
    <row r="5192" spans="2:5" x14ac:dyDescent="0.25">
      <c r="B5192" t="s">
        <v>1859</v>
      </c>
      <c r="C5192" t="s">
        <v>1861</v>
      </c>
      <c r="D5192">
        <v>0</v>
      </c>
      <c r="E5192">
        <v>0</v>
      </c>
    </row>
    <row r="5193" spans="2:5" x14ac:dyDescent="0.25">
      <c r="B5193" t="s">
        <v>1859</v>
      </c>
      <c r="C5193" t="s">
        <v>3158</v>
      </c>
      <c r="D5193">
        <v>637.46</v>
      </c>
      <c r="E5193">
        <v>0</v>
      </c>
    </row>
    <row r="5194" spans="2:5" x14ac:dyDescent="0.25">
      <c r="B5194" t="s">
        <v>1859</v>
      </c>
      <c r="C5194" t="s">
        <v>3159</v>
      </c>
      <c r="D5194">
        <v>703.87</v>
      </c>
      <c r="E5194">
        <v>0</v>
      </c>
    </row>
    <row r="5195" spans="2:5" x14ac:dyDescent="0.25">
      <c r="B5195" t="s">
        <v>1859</v>
      </c>
      <c r="C5195" t="s">
        <v>3159</v>
      </c>
      <c r="D5195">
        <v>743.71</v>
      </c>
      <c r="E5195">
        <v>0</v>
      </c>
    </row>
    <row r="5196" spans="2:5" x14ac:dyDescent="0.25">
      <c r="B5196" t="s">
        <v>1859</v>
      </c>
      <c r="C5196" t="s">
        <v>3160</v>
      </c>
      <c r="D5196">
        <v>1354.61</v>
      </c>
      <c r="E5196">
        <v>0</v>
      </c>
    </row>
    <row r="5197" spans="2:5" x14ac:dyDescent="0.25">
      <c r="B5197" t="s">
        <v>1859</v>
      </c>
      <c r="C5197" t="s">
        <v>3161</v>
      </c>
      <c r="D5197">
        <v>730.41</v>
      </c>
      <c r="E5197">
        <v>0</v>
      </c>
    </row>
    <row r="5198" spans="2:5" x14ac:dyDescent="0.25">
      <c r="B5198" t="s">
        <v>1859</v>
      </c>
      <c r="C5198" t="s">
        <v>3161</v>
      </c>
      <c r="D5198">
        <v>730.41</v>
      </c>
      <c r="E5198">
        <v>0</v>
      </c>
    </row>
    <row r="5199" spans="2:5" x14ac:dyDescent="0.25">
      <c r="B5199" t="s">
        <v>1859</v>
      </c>
      <c r="C5199" t="s">
        <v>3162</v>
      </c>
      <c r="D5199">
        <v>730.41</v>
      </c>
      <c r="E5199">
        <v>0</v>
      </c>
    </row>
    <row r="5200" spans="2:5" x14ac:dyDescent="0.25">
      <c r="B5200" t="s">
        <v>1859</v>
      </c>
      <c r="C5200" t="s">
        <v>1861</v>
      </c>
      <c r="D5200">
        <v>0</v>
      </c>
      <c r="E5200">
        <v>0</v>
      </c>
    </row>
    <row r="5201" spans="2:5" x14ac:dyDescent="0.25">
      <c r="B5201" t="s">
        <v>1859</v>
      </c>
      <c r="C5201" t="s">
        <v>1861</v>
      </c>
      <c r="D5201">
        <v>0</v>
      </c>
      <c r="E5201">
        <v>0</v>
      </c>
    </row>
    <row r="5202" spans="2:5" x14ac:dyDescent="0.25">
      <c r="B5202" t="s">
        <v>1859</v>
      </c>
      <c r="C5202" t="s">
        <v>3163</v>
      </c>
      <c r="D5202">
        <v>0</v>
      </c>
      <c r="E5202">
        <v>0</v>
      </c>
    </row>
    <row r="5203" spans="2:5" x14ac:dyDescent="0.25">
      <c r="B5203" t="s">
        <v>1859</v>
      </c>
      <c r="C5203" t="s">
        <v>3164</v>
      </c>
      <c r="D5203">
        <v>0</v>
      </c>
      <c r="E5203">
        <v>0</v>
      </c>
    </row>
    <row r="5204" spans="2:5" x14ac:dyDescent="0.25">
      <c r="B5204" t="s">
        <v>1859</v>
      </c>
      <c r="C5204" t="s">
        <v>3165</v>
      </c>
      <c r="D5204">
        <v>795.5</v>
      </c>
      <c r="E5204">
        <v>0</v>
      </c>
    </row>
    <row r="5205" spans="2:5" x14ac:dyDescent="0.25">
      <c r="B5205" t="s">
        <v>1859</v>
      </c>
      <c r="C5205" t="s">
        <v>3166</v>
      </c>
      <c r="D5205">
        <v>0</v>
      </c>
      <c r="E5205">
        <v>0</v>
      </c>
    </row>
    <row r="5206" spans="2:5" x14ac:dyDescent="0.25">
      <c r="B5206" t="s">
        <v>1859</v>
      </c>
      <c r="C5206" t="s">
        <v>1859</v>
      </c>
      <c r="D5206">
        <v>0</v>
      </c>
      <c r="E5206">
        <v>0</v>
      </c>
    </row>
    <row r="5207" spans="2:5" x14ac:dyDescent="0.25">
      <c r="B5207" t="s">
        <v>1859</v>
      </c>
      <c r="C5207" t="s">
        <v>3167</v>
      </c>
      <c r="D5207">
        <v>7302.94</v>
      </c>
      <c r="E5207">
        <v>0</v>
      </c>
    </row>
    <row r="5208" spans="2:5" x14ac:dyDescent="0.25">
      <c r="B5208" t="s">
        <v>1859</v>
      </c>
      <c r="C5208" t="s">
        <v>3168</v>
      </c>
      <c r="D5208">
        <v>398.42</v>
      </c>
      <c r="E5208">
        <v>0</v>
      </c>
    </row>
    <row r="5209" spans="2:5" x14ac:dyDescent="0.25">
      <c r="B5209" t="s">
        <v>1859</v>
      </c>
      <c r="C5209" t="s">
        <v>1859</v>
      </c>
      <c r="D5209">
        <v>0</v>
      </c>
      <c r="E5209">
        <v>0</v>
      </c>
    </row>
    <row r="5210" spans="2:5" x14ac:dyDescent="0.25">
      <c r="B5210" t="s">
        <v>1859</v>
      </c>
      <c r="C5210" t="s">
        <v>3169</v>
      </c>
      <c r="D5210">
        <v>783.55</v>
      </c>
      <c r="E5210">
        <v>0</v>
      </c>
    </row>
    <row r="5211" spans="2:5" x14ac:dyDescent="0.25">
      <c r="B5211" t="s">
        <v>1859</v>
      </c>
      <c r="C5211" t="s">
        <v>3103</v>
      </c>
      <c r="D5211">
        <v>0</v>
      </c>
      <c r="E5211">
        <v>0</v>
      </c>
    </row>
    <row r="5212" spans="2:5" x14ac:dyDescent="0.25">
      <c r="B5212" t="s">
        <v>1859</v>
      </c>
      <c r="C5212" t="s">
        <v>3170</v>
      </c>
      <c r="D5212">
        <v>239.03</v>
      </c>
      <c r="E5212">
        <v>0</v>
      </c>
    </row>
    <row r="5213" spans="2:5" x14ac:dyDescent="0.25">
      <c r="B5213" t="s">
        <v>1859</v>
      </c>
      <c r="C5213" t="s">
        <v>3171</v>
      </c>
      <c r="D5213">
        <v>239.03</v>
      </c>
      <c r="E5213">
        <v>0</v>
      </c>
    </row>
    <row r="5214" spans="2:5" x14ac:dyDescent="0.25">
      <c r="B5214" t="s">
        <v>1859</v>
      </c>
      <c r="C5214" t="s">
        <v>3172</v>
      </c>
      <c r="D5214">
        <v>0</v>
      </c>
      <c r="E5214">
        <v>0</v>
      </c>
    </row>
    <row r="5215" spans="2:5" x14ac:dyDescent="0.25">
      <c r="B5215" t="s">
        <v>1859</v>
      </c>
      <c r="C5215" t="s">
        <v>3173</v>
      </c>
      <c r="D5215">
        <v>160.69</v>
      </c>
      <c r="E5215">
        <v>0</v>
      </c>
    </row>
    <row r="5216" spans="2:5" x14ac:dyDescent="0.25">
      <c r="B5216" t="s">
        <v>1859</v>
      </c>
      <c r="C5216" t="s">
        <v>1859</v>
      </c>
      <c r="D5216">
        <v>0</v>
      </c>
      <c r="E5216">
        <v>0</v>
      </c>
    </row>
    <row r="5217" spans="2:5" x14ac:dyDescent="0.25">
      <c r="B5217" t="s">
        <v>1859</v>
      </c>
      <c r="C5217" t="s">
        <v>3174</v>
      </c>
      <c r="D5217">
        <v>0</v>
      </c>
      <c r="E5217">
        <v>0</v>
      </c>
    </row>
    <row r="5218" spans="2:5" x14ac:dyDescent="0.25">
      <c r="B5218" t="s">
        <v>1859</v>
      </c>
      <c r="C5218" t="s">
        <v>3175</v>
      </c>
      <c r="D5218">
        <v>0</v>
      </c>
      <c r="E5218">
        <v>0</v>
      </c>
    </row>
    <row r="5219" spans="2:5" x14ac:dyDescent="0.25">
      <c r="B5219" t="s">
        <v>1859</v>
      </c>
      <c r="C5219" t="s">
        <v>3176</v>
      </c>
      <c r="D5219">
        <v>450</v>
      </c>
      <c r="E5219">
        <v>0</v>
      </c>
    </row>
    <row r="5220" spans="2:5" x14ac:dyDescent="0.25">
      <c r="B5220" t="s">
        <v>1859</v>
      </c>
      <c r="C5220" t="s">
        <v>3177</v>
      </c>
      <c r="D5220">
        <v>0</v>
      </c>
      <c r="E5220">
        <v>0</v>
      </c>
    </row>
    <row r="5221" spans="2:5" x14ac:dyDescent="0.25">
      <c r="B5221" t="s">
        <v>1859</v>
      </c>
      <c r="C5221" t="s">
        <v>1859</v>
      </c>
      <c r="D5221">
        <v>0</v>
      </c>
      <c r="E5221">
        <v>0</v>
      </c>
    </row>
    <row r="5222" spans="2:5" x14ac:dyDescent="0.25">
      <c r="B5222" t="s">
        <v>1859</v>
      </c>
      <c r="C5222" t="s">
        <v>1859</v>
      </c>
      <c r="D5222">
        <v>0</v>
      </c>
      <c r="E5222">
        <v>0</v>
      </c>
    </row>
    <row r="5223" spans="2:5" x14ac:dyDescent="0.25">
      <c r="B5223" t="s">
        <v>1859</v>
      </c>
      <c r="C5223" t="s">
        <v>3178</v>
      </c>
      <c r="D5223">
        <v>0</v>
      </c>
      <c r="E5223">
        <v>0</v>
      </c>
    </row>
    <row r="5224" spans="2:5" x14ac:dyDescent="0.25">
      <c r="B5224" t="s">
        <v>1859</v>
      </c>
      <c r="C5224" t="s">
        <v>3112</v>
      </c>
      <c r="D5224">
        <v>0</v>
      </c>
      <c r="E5224">
        <v>0</v>
      </c>
    </row>
    <row r="5225" spans="2:5" x14ac:dyDescent="0.25">
      <c r="B5225" t="s">
        <v>1859</v>
      </c>
      <c r="C5225" t="s">
        <v>3179</v>
      </c>
      <c r="D5225">
        <v>0</v>
      </c>
      <c r="E5225">
        <v>0</v>
      </c>
    </row>
    <row r="5226" spans="2:5" x14ac:dyDescent="0.25">
      <c r="B5226" t="s">
        <v>1859</v>
      </c>
      <c r="C5226" t="s">
        <v>3181</v>
      </c>
      <c r="D5226">
        <v>0</v>
      </c>
      <c r="E5226">
        <v>0</v>
      </c>
    </row>
    <row r="5227" spans="2:5" x14ac:dyDescent="0.25">
      <c r="B5227" t="s">
        <v>1859</v>
      </c>
      <c r="C5227" t="s">
        <v>3182</v>
      </c>
      <c r="D5227">
        <v>0</v>
      </c>
      <c r="E5227">
        <v>0</v>
      </c>
    </row>
    <row r="5228" spans="2:5" x14ac:dyDescent="0.25">
      <c r="B5228" t="s">
        <v>1859</v>
      </c>
      <c r="C5228" t="s">
        <v>3183</v>
      </c>
      <c r="D5228">
        <v>0</v>
      </c>
      <c r="E5228">
        <v>0</v>
      </c>
    </row>
    <row r="5229" spans="2:5" x14ac:dyDescent="0.25">
      <c r="B5229" t="s">
        <v>1859</v>
      </c>
      <c r="C5229" t="s">
        <v>3184</v>
      </c>
      <c r="D5229">
        <v>115.54</v>
      </c>
      <c r="E5229">
        <v>0</v>
      </c>
    </row>
    <row r="5230" spans="2:5" x14ac:dyDescent="0.25">
      <c r="B5230" t="s">
        <v>1859</v>
      </c>
      <c r="C5230" t="s">
        <v>3185</v>
      </c>
      <c r="D5230">
        <v>1326.72</v>
      </c>
      <c r="E5230">
        <v>0</v>
      </c>
    </row>
    <row r="5231" spans="2:5" x14ac:dyDescent="0.25">
      <c r="B5231" t="s">
        <v>1859</v>
      </c>
      <c r="C5231" t="s">
        <v>3186</v>
      </c>
      <c r="D5231">
        <v>1990.74</v>
      </c>
      <c r="E5231">
        <v>0</v>
      </c>
    </row>
    <row r="5232" spans="2:5" x14ac:dyDescent="0.25">
      <c r="B5232" t="s">
        <v>1859</v>
      </c>
      <c r="C5232" t="s">
        <v>3187</v>
      </c>
      <c r="D5232">
        <v>185.93</v>
      </c>
      <c r="E5232">
        <v>0</v>
      </c>
    </row>
    <row r="5233" spans="2:5" x14ac:dyDescent="0.25">
      <c r="B5233" t="s">
        <v>1859</v>
      </c>
      <c r="C5233" t="s">
        <v>1859</v>
      </c>
      <c r="D5233">
        <v>0</v>
      </c>
      <c r="E5233">
        <v>0</v>
      </c>
    </row>
    <row r="5234" spans="2:5" x14ac:dyDescent="0.25">
      <c r="B5234" t="s">
        <v>1859</v>
      </c>
      <c r="C5234" t="s">
        <v>3188</v>
      </c>
      <c r="D5234">
        <v>0</v>
      </c>
      <c r="E5234">
        <v>0</v>
      </c>
    </row>
    <row r="5235" spans="2:5" x14ac:dyDescent="0.25">
      <c r="B5235" t="s">
        <v>1859</v>
      </c>
      <c r="C5235" t="s">
        <v>3189</v>
      </c>
      <c r="D5235">
        <v>0</v>
      </c>
      <c r="E5235">
        <v>0</v>
      </c>
    </row>
    <row r="5236" spans="2:5" x14ac:dyDescent="0.25">
      <c r="B5236" t="s">
        <v>1859</v>
      </c>
      <c r="C5236" t="s">
        <v>3190</v>
      </c>
      <c r="D5236">
        <v>0</v>
      </c>
      <c r="E5236">
        <v>0</v>
      </c>
    </row>
    <row r="5237" spans="2:5" x14ac:dyDescent="0.25">
      <c r="B5237" t="s">
        <v>1859</v>
      </c>
      <c r="C5237" t="s">
        <v>3191</v>
      </c>
      <c r="D5237">
        <v>0</v>
      </c>
      <c r="E5237">
        <v>0</v>
      </c>
    </row>
    <row r="5238" spans="2:5" x14ac:dyDescent="0.25">
      <c r="B5238" t="s">
        <v>1859</v>
      </c>
      <c r="C5238" t="s">
        <v>3192</v>
      </c>
      <c r="D5238">
        <v>796.82</v>
      </c>
      <c r="E5238">
        <v>0</v>
      </c>
    </row>
    <row r="5239" spans="2:5" x14ac:dyDescent="0.25">
      <c r="B5239" t="s">
        <v>1859</v>
      </c>
      <c r="C5239" t="s">
        <v>1861</v>
      </c>
      <c r="D5239">
        <v>0</v>
      </c>
      <c r="E5239">
        <v>0</v>
      </c>
    </row>
    <row r="5240" spans="2:5" x14ac:dyDescent="0.25">
      <c r="B5240" t="s">
        <v>1859</v>
      </c>
      <c r="C5240" t="s">
        <v>3193</v>
      </c>
      <c r="D5240">
        <v>0</v>
      </c>
      <c r="E5240">
        <v>0</v>
      </c>
    </row>
    <row r="5241" spans="2:5" x14ac:dyDescent="0.25">
      <c r="B5241" t="s">
        <v>1859</v>
      </c>
      <c r="C5241" t="s">
        <v>3180</v>
      </c>
      <c r="D5241">
        <v>0</v>
      </c>
      <c r="E5241">
        <v>0</v>
      </c>
    </row>
    <row r="5242" spans="2:5" x14ac:dyDescent="0.25">
      <c r="B5242" t="s">
        <v>1859</v>
      </c>
      <c r="C5242" t="s">
        <v>3194</v>
      </c>
      <c r="D5242">
        <v>211.16</v>
      </c>
      <c r="E5242">
        <v>0</v>
      </c>
    </row>
    <row r="5243" spans="2:5" x14ac:dyDescent="0.25">
      <c r="B5243" t="s">
        <v>1859</v>
      </c>
      <c r="C5243" t="s">
        <v>3195</v>
      </c>
      <c r="D5243">
        <v>928.31</v>
      </c>
      <c r="E5243">
        <v>0</v>
      </c>
    </row>
    <row r="5244" spans="2:5" x14ac:dyDescent="0.25">
      <c r="B5244" t="s">
        <v>1859</v>
      </c>
      <c r="C5244" t="s">
        <v>3196</v>
      </c>
      <c r="D5244">
        <v>928.31</v>
      </c>
      <c r="E5244">
        <v>0</v>
      </c>
    </row>
    <row r="5245" spans="2:5" x14ac:dyDescent="0.25">
      <c r="B5245" t="s">
        <v>1859</v>
      </c>
      <c r="C5245" t="s">
        <v>3197</v>
      </c>
      <c r="D5245">
        <v>13.28</v>
      </c>
      <c r="E5245">
        <v>0</v>
      </c>
    </row>
    <row r="5246" spans="2:5" x14ac:dyDescent="0.25">
      <c r="B5246" t="s">
        <v>1859</v>
      </c>
      <c r="C5246" t="s">
        <v>3198</v>
      </c>
      <c r="D5246">
        <v>928.31</v>
      </c>
      <c r="E5246">
        <v>0</v>
      </c>
    </row>
    <row r="5247" spans="2:5" x14ac:dyDescent="0.25">
      <c r="B5247" t="s">
        <v>1859</v>
      </c>
      <c r="C5247" t="s">
        <v>3199</v>
      </c>
      <c r="D5247">
        <v>0</v>
      </c>
      <c r="E5247">
        <v>0</v>
      </c>
    </row>
    <row r="5248" spans="2:5" x14ac:dyDescent="0.25">
      <c r="B5248" t="s">
        <v>1859</v>
      </c>
      <c r="C5248" t="s">
        <v>1859</v>
      </c>
      <c r="D5248">
        <v>0</v>
      </c>
      <c r="E5248">
        <v>0</v>
      </c>
    </row>
    <row r="5249" spans="2:5" x14ac:dyDescent="0.25">
      <c r="B5249" t="s">
        <v>1859</v>
      </c>
      <c r="C5249" t="s">
        <v>3200</v>
      </c>
      <c r="D5249">
        <v>0</v>
      </c>
      <c r="E5249">
        <v>0</v>
      </c>
    </row>
    <row r="5250" spans="2:5" x14ac:dyDescent="0.25">
      <c r="B5250" t="s">
        <v>1859</v>
      </c>
      <c r="C5250" t="s">
        <v>3201</v>
      </c>
      <c r="D5250">
        <v>158.31</v>
      </c>
      <c r="E5250">
        <v>0</v>
      </c>
    </row>
    <row r="5251" spans="2:5" x14ac:dyDescent="0.25">
      <c r="B5251" t="s">
        <v>1859</v>
      </c>
      <c r="C5251" t="s">
        <v>3202</v>
      </c>
      <c r="D5251">
        <v>398.42</v>
      </c>
      <c r="E5251">
        <v>0</v>
      </c>
    </row>
    <row r="5252" spans="2:5" x14ac:dyDescent="0.25">
      <c r="B5252" t="s">
        <v>1859</v>
      </c>
      <c r="C5252" t="s">
        <v>3203</v>
      </c>
      <c r="D5252">
        <v>0</v>
      </c>
      <c r="E5252">
        <v>0</v>
      </c>
    </row>
    <row r="5253" spans="2:5" x14ac:dyDescent="0.25">
      <c r="B5253" t="s">
        <v>1859</v>
      </c>
      <c r="C5253" t="s">
        <v>3204</v>
      </c>
      <c r="D5253">
        <v>14475.67</v>
      </c>
      <c r="E5253">
        <v>0</v>
      </c>
    </row>
    <row r="5254" spans="2:5" x14ac:dyDescent="0.25">
      <c r="B5254" t="s">
        <v>1859</v>
      </c>
      <c r="C5254" t="s">
        <v>3205</v>
      </c>
      <c r="D5254">
        <v>3784.95</v>
      </c>
      <c r="E5254">
        <v>0</v>
      </c>
    </row>
    <row r="5255" spans="2:5" x14ac:dyDescent="0.25">
      <c r="B5255" t="s">
        <v>1859</v>
      </c>
      <c r="C5255" t="s">
        <v>3206</v>
      </c>
      <c r="D5255">
        <v>1274.93</v>
      </c>
      <c r="E5255">
        <v>0</v>
      </c>
    </row>
    <row r="5256" spans="2:5" x14ac:dyDescent="0.25">
      <c r="B5256" t="s">
        <v>1859</v>
      </c>
      <c r="C5256" t="s">
        <v>3207</v>
      </c>
      <c r="D5256">
        <v>59.77</v>
      </c>
      <c r="E5256">
        <v>0</v>
      </c>
    </row>
    <row r="5257" spans="2:5" x14ac:dyDescent="0.25">
      <c r="B5257" t="s">
        <v>1859</v>
      </c>
      <c r="C5257" t="s">
        <v>3208</v>
      </c>
      <c r="D5257">
        <v>0</v>
      </c>
      <c r="E5257">
        <v>0</v>
      </c>
    </row>
    <row r="5258" spans="2:5" x14ac:dyDescent="0.25">
      <c r="B5258" t="s">
        <v>1859</v>
      </c>
      <c r="C5258" t="s">
        <v>1859</v>
      </c>
      <c r="D5258">
        <v>0</v>
      </c>
      <c r="E5258">
        <v>0</v>
      </c>
    </row>
    <row r="5259" spans="2:5" x14ac:dyDescent="0.25">
      <c r="B5259" t="s">
        <v>1859</v>
      </c>
      <c r="C5259" t="s">
        <v>3209</v>
      </c>
      <c r="D5259">
        <v>0</v>
      </c>
      <c r="E5259">
        <v>0</v>
      </c>
    </row>
    <row r="5260" spans="2:5" x14ac:dyDescent="0.25">
      <c r="B5260" t="s">
        <v>1859</v>
      </c>
      <c r="C5260" t="s">
        <v>1859</v>
      </c>
      <c r="D5260">
        <v>0</v>
      </c>
      <c r="E5260">
        <v>0</v>
      </c>
    </row>
    <row r="5261" spans="2:5" x14ac:dyDescent="0.25">
      <c r="B5261" t="s">
        <v>1859</v>
      </c>
      <c r="C5261" t="s">
        <v>1859</v>
      </c>
      <c r="D5261">
        <v>0</v>
      </c>
      <c r="E5261">
        <v>0</v>
      </c>
    </row>
    <row r="5262" spans="2:5" x14ac:dyDescent="0.25">
      <c r="B5262" t="s">
        <v>1859</v>
      </c>
      <c r="C5262" t="s">
        <v>1859</v>
      </c>
      <c r="D5262">
        <v>0</v>
      </c>
      <c r="E5262">
        <v>0</v>
      </c>
    </row>
    <row r="5263" spans="2:5" x14ac:dyDescent="0.25">
      <c r="B5263" t="s">
        <v>1859</v>
      </c>
      <c r="C5263" t="s">
        <v>1859</v>
      </c>
      <c r="D5263">
        <v>0</v>
      </c>
      <c r="E5263">
        <v>0</v>
      </c>
    </row>
    <row r="5264" spans="2:5" x14ac:dyDescent="0.25">
      <c r="B5264" t="s">
        <v>1859</v>
      </c>
      <c r="C5264" t="s">
        <v>3210</v>
      </c>
      <c r="D5264">
        <v>1525.93</v>
      </c>
      <c r="E5264">
        <v>0</v>
      </c>
    </row>
    <row r="5265" spans="2:5" x14ac:dyDescent="0.25">
      <c r="B5265" t="s">
        <v>1859</v>
      </c>
      <c r="C5265" t="s">
        <v>3211</v>
      </c>
      <c r="D5265">
        <v>1460.85</v>
      </c>
      <c r="E5265">
        <v>0</v>
      </c>
    </row>
    <row r="5266" spans="2:5" x14ac:dyDescent="0.25">
      <c r="B5266" t="s">
        <v>1859</v>
      </c>
      <c r="C5266" t="s">
        <v>3212</v>
      </c>
      <c r="D5266">
        <v>1460.85</v>
      </c>
      <c r="E5266">
        <v>0</v>
      </c>
    </row>
    <row r="5267" spans="2:5" x14ac:dyDescent="0.25">
      <c r="B5267" t="s">
        <v>1859</v>
      </c>
    </row>
    <row r="5268" spans="2:5" x14ac:dyDescent="0.25">
      <c r="B5268" t="s">
        <v>1859</v>
      </c>
    </row>
    <row r="5269" spans="2:5" x14ac:dyDescent="0.25">
      <c r="B5269" t="s">
        <v>1859</v>
      </c>
    </row>
    <row r="5270" spans="2:5" x14ac:dyDescent="0.25">
      <c r="B5270" t="s">
        <v>1859</v>
      </c>
    </row>
    <row r="5271" spans="2:5" x14ac:dyDescent="0.25">
      <c r="B5271" t="s">
        <v>1859</v>
      </c>
    </row>
    <row r="5272" spans="2:5" x14ac:dyDescent="0.25">
      <c r="B5272" t="s">
        <v>1859</v>
      </c>
    </row>
    <row r="5273" spans="2:5" x14ac:dyDescent="0.25">
      <c r="B5273" t="s">
        <v>1859</v>
      </c>
    </row>
    <row r="5274" spans="2:5" x14ac:dyDescent="0.25">
      <c r="B5274" t="s">
        <v>1859</v>
      </c>
    </row>
    <row r="5275" spans="2:5" x14ac:dyDescent="0.25">
      <c r="B5275" t="s">
        <v>1859</v>
      </c>
    </row>
    <row r="5276" spans="2:5" x14ac:dyDescent="0.25">
      <c r="B5276" t="s">
        <v>1859</v>
      </c>
    </row>
    <row r="5277" spans="2:5" x14ac:dyDescent="0.25">
      <c r="B5277" t="s">
        <v>1859</v>
      </c>
    </row>
    <row r="5278" spans="2:5" x14ac:dyDescent="0.25">
      <c r="B5278" t="s">
        <v>1859</v>
      </c>
    </row>
    <row r="5279" spans="2:5" x14ac:dyDescent="0.25">
      <c r="B5279" t="s">
        <v>1859</v>
      </c>
    </row>
    <row r="5280" spans="2:5" x14ac:dyDescent="0.25">
      <c r="B5280" t="s">
        <v>1859</v>
      </c>
    </row>
    <row r="5281" spans="2:2" x14ac:dyDescent="0.25">
      <c r="B5281" t="s">
        <v>1859</v>
      </c>
    </row>
    <row r="5282" spans="2:2" x14ac:dyDescent="0.25">
      <c r="B5282" t="s">
        <v>1859</v>
      </c>
    </row>
    <row r="5283" spans="2:2" x14ac:dyDescent="0.25">
      <c r="B5283" t="s">
        <v>1859</v>
      </c>
    </row>
    <row r="5284" spans="2:2" x14ac:dyDescent="0.25">
      <c r="B5284" t="s">
        <v>1859</v>
      </c>
    </row>
    <row r="5285" spans="2:2" x14ac:dyDescent="0.25">
      <c r="B5285" t="s">
        <v>1859</v>
      </c>
    </row>
    <row r="5286" spans="2:2" x14ac:dyDescent="0.25">
      <c r="B5286" t="s">
        <v>1859</v>
      </c>
    </row>
    <row r="5287" spans="2:2" x14ac:dyDescent="0.25">
      <c r="B5287" t="s">
        <v>1859</v>
      </c>
    </row>
    <row r="5288" spans="2:2" x14ac:dyDescent="0.25">
      <c r="B5288" t="s">
        <v>1859</v>
      </c>
    </row>
    <row r="5289" spans="2:2" x14ac:dyDescent="0.25">
      <c r="B5289" t="s">
        <v>1859</v>
      </c>
    </row>
    <row r="5290" spans="2:2" x14ac:dyDescent="0.25">
      <c r="B5290" t="s">
        <v>1859</v>
      </c>
    </row>
    <row r="5291" spans="2:2" x14ac:dyDescent="0.25">
      <c r="B5291" t="s">
        <v>1859</v>
      </c>
    </row>
    <row r="5292" spans="2:2" x14ac:dyDescent="0.25">
      <c r="B5292" t="s">
        <v>1859</v>
      </c>
    </row>
    <row r="5293" spans="2:2" x14ac:dyDescent="0.25">
      <c r="B5293" t="s">
        <v>1859</v>
      </c>
    </row>
    <row r="5294" spans="2:2" x14ac:dyDescent="0.25">
      <c r="B5294" t="s">
        <v>1859</v>
      </c>
    </row>
    <row r="5295" spans="2:2" x14ac:dyDescent="0.25">
      <c r="B5295" t="s">
        <v>1859</v>
      </c>
    </row>
    <row r="5296" spans="2:2" x14ac:dyDescent="0.25">
      <c r="B5296" t="s">
        <v>1859</v>
      </c>
    </row>
    <row r="5297" spans="2:2" x14ac:dyDescent="0.25">
      <c r="B5297" t="s">
        <v>1859</v>
      </c>
    </row>
    <row r="5298" spans="2:2" x14ac:dyDescent="0.25">
      <c r="B5298" t="s">
        <v>1859</v>
      </c>
    </row>
    <row r="5299" spans="2:2" x14ac:dyDescent="0.25">
      <c r="B5299" t="s">
        <v>1859</v>
      </c>
    </row>
    <row r="5300" spans="2:2" x14ac:dyDescent="0.25">
      <c r="B5300" t="s">
        <v>1859</v>
      </c>
    </row>
    <row r="5301" spans="2:2" x14ac:dyDescent="0.25">
      <c r="B5301" t="s">
        <v>1859</v>
      </c>
    </row>
    <row r="5302" spans="2:2" x14ac:dyDescent="0.25">
      <c r="B5302" t="s">
        <v>1859</v>
      </c>
    </row>
    <row r="5303" spans="2:2" x14ac:dyDescent="0.25">
      <c r="B5303" t="s">
        <v>1859</v>
      </c>
    </row>
    <row r="5304" spans="2:2" x14ac:dyDescent="0.25">
      <c r="B5304" t="s">
        <v>1859</v>
      </c>
    </row>
    <row r="5305" spans="2:2" x14ac:dyDescent="0.25">
      <c r="B5305" t="s">
        <v>1859</v>
      </c>
    </row>
    <row r="5306" spans="2:2" x14ac:dyDescent="0.25">
      <c r="B5306" t="s">
        <v>1859</v>
      </c>
    </row>
    <row r="5307" spans="2:2" x14ac:dyDescent="0.25">
      <c r="B5307" t="s">
        <v>1859</v>
      </c>
    </row>
    <row r="5308" spans="2:2" x14ac:dyDescent="0.25">
      <c r="B5308" t="s">
        <v>1859</v>
      </c>
    </row>
    <row r="5309" spans="2:2" x14ac:dyDescent="0.25">
      <c r="B5309" t="s">
        <v>1859</v>
      </c>
    </row>
    <row r="5310" spans="2:2" x14ac:dyDescent="0.25">
      <c r="B5310" t="s">
        <v>1859</v>
      </c>
    </row>
    <row r="5311" spans="2:2" x14ac:dyDescent="0.25">
      <c r="B5311" t="s">
        <v>1859</v>
      </c>
    </row>
    <row r="5312" spans="2:2" x14ac:dyDescent="0.25">
      <c r="B5312" t="s">
        <v>1859</v>
      </c>
    </row>
    <row r="5313" spans="2:2" x14ac:dyDescent="0.25">
      <c r="B5313" t="s">
        <v>1859</v>
      </c>
    </row>
    <row r="5314" spans="2:2" x14ac:dyDescent="0.25">
      <c r="B5314" t="s">
        <v>1859</v>
      </c>
    </row>
    <row r="5315" spans="2:2" x14ac:dyDescent="0.25">
      <c r="B5315" t="s">
        <v>1859</v>
      </c>
    </row>
    <row r="5316" spans="2:2" x14ac:dyDescent="0.25">
      <c r="B5316" t="s">
        <v>1859</v>
      </c>
    </row>
    <row r="5317" spans="2:2" x14ac:dyDescent="0.25">
      <c r="B5317" t="s">
        <v>1859</v>
      </c>
    </row>
    <row r="5318" spans="2:2" x14ac:dyDescent="0.25">
      <c r="B5318" t="s">
        <v>1859</v>
      </c>
    </row>
    <row r="5319" spans="2:2" x14ac:dyDescent="0.25">
      <c r="B5319" t="s">
        <v>1859</v>
      </c>
    </row>
    <row r="5320" spans="2:2" x14ac:dyDescent="0.25">
      <c r="B5320" t="s">
        <v>1859</v>
      </c>
    </row>
    <row r="5321" spans="2:2" x14ac:dyDescent="0.25">
      <c r="B5321" t="s">
        <v>1859</v>
      </c>
    </row>
    <row r="5322" spans="2:2" x14ac:dyDescent="0.25">
      <c r="B5322" t="s">
        <v>1859</v>
      </c>
    </row>
    <row r="5323" spans="2:2" x14ac:dyDescent="0.25">
      <c r="B5323" t="s">
        <v>1859</v>
      </c>
    </row>
    <row r="5324" spans="2:2" x14ac:dyDescent="0.25">
      <c r="B5324" t="s">
        <v>1859</v>
      </c>
    </row>
    <row r="5325" spans="2:2" x14ac:dyDescent="0.25">
      <c r="B5325" t="s">
        <v>1859</v>
      </c>
    </row>
    <row r="5326" spans="2:2" x14ac:dyDescent="0.25">
      <c r="B5326" t="s">
        <v>1859</v>
      </c>
    </row>
    <row r="5327" spans="2:2" x14ac:dyDescent="0.25">
      <c r="B5327" t="s">
        <v>1859</v>
      </c>
    </row>
    <row r="5328" spans="2:2" x14ac:dyDescent="0.25">
      <c r="B5328" t="s">
        <v>1859</v>
      </c>
    </row>
    <row r="5329" spans="2:2" x14ac:dyDescent="0.25">
      <c r="B5329" t="s">
        <v>1859</v>
      </c>
    </row>
    <row r="5330" spans="2:2" x14ac:dyDescent="0.25">
      <c r="B5330" t="s">
        <v>1859</v>
      </c>
    </row>
    <row r="5331" spans="2:2" x14ac:dyDescent="0.25">
      <c r="B5331" t="s">
        <v>1859</v>
      </c>
    </row>
    <row r="5332" spans="2:2" x14ac:dyDescent="0.25">
      <c r="B5332" t="s">
        <v>1859</v>
      </c>
    </row>
    <row r="5333" spans="2:2" x14ac:dyDescent="0.25">
      <c r="B5333" t="s">
        <v>1859</v>
      </c>
    </row>
    <row r="5334" spans="2:2" x14ac:dyDescent="0.25">
      <c r="B5334" t="s">
        <v>1859</v>
      </c>
    </row>
    <row r="5335" spans="2:2" x14ac:dyDescent="0.25">
      <c r="B5335" t="s">
        <v>1859</v>
      </c>
    </row>
    <row r="5336" spans="2:2" x14ac:dyDescent="0.25">
      <c r="B5336" t="s">
        <v>1859</v>
      </c>
    </row>
    <row r="5337" spans="2:2" x14ac:dyDescent="0.25">
      <c r="B5337" t="s">
        <v>1859</v>
      </c>
    </row>
    <row r="5338" spans="2:2" x14ac:dyDescent="0.25">
      <c r="B5338" t="s">
        <v>1859</v>
      </c>
    </row>
    <row r="5339" spans="2:2" x14ac:dyDescent="0.25">
      <c r="B5339" t="s">
        <v>1859</v>
      </c>
    </row>
    <row r="5340" spans="2:2" x14ac:dyDescent="0.25">
      <c r="B5340" t="s">
        <v>1859</v>
      </c>
    </row>
    <row r="5341" spans="2:2" x14ac:dyDescent="0.25">
      <c r="B5341" t="s">
        <v>1859</v>
      </c>
    </row>
    <row r="5342" spans="2:2" x14ac:dyDescent="0.25">
      <c r="B5342" t="s">
        <v>1859</v>
      </c>
    </row>
    <row r="5343" spans="2:2" x14ac:dyDescent="0.25">
      <c r="B5343" t="s">
        <v>1859</v>
      </c>
    </row>
    <row r="5344" spans="2:2" x14ac:dyDescent="0.25">
      <c r="B5344" t="s">
        <v>1859</v>
      </c>
    </row>
    <row r="5345" spans="2:2" x14ac:dyDescent="0.25">
      <c r="B5345" t="s">
        <v>1859</v>
      </c>
    </row>
    <row r="5346" spans="2:2" x14ac:dyDescent="0.25">
      <c r="B5346" t="s">
        <v>1859</v>
      </c>
    </row>
    <row r="5347" spans="2:2" x14ac:dyDescent="0.25">
      <c r="B5347" t="s">
        <v>1859</v>
      </c>
    </row>
    <row r="5348" spans="2:2" x14ac:dyDescent="0.25">
      <c r="B5348" t="s">
        <v>1859</v>
      </c>
    </row>
    <row r="5349" spans="2:2" x14ac:dyDescent="0.25">
      <c r="B5349" t="s">
        <v>1859</v>
      </c>
    </row>
    <row r="5350" spans="2:2" x14ac:dyDescent="0.25">
      <c r="B5350" t="s">
        <v>1859</v>
      </c>
    </row>
    <row r="5351" spans="2:2" x14ac:dyDescent="0.25">
      <c r="B5351" t="s">
        <v>1859</v>
      </c>
    </row>
    <row r="5352" spans="2:2" x14ac:dyDescent="0.25">
      <c r="B5352" t="s">
        <v>1859</v>
      </c>
    </row>
    <row r="5353" spans="2:2" x14ac:dyDescent="0.25">
      <c r="B5353" t="s">
        <v>1859</v>
      </c>
    </row>
    <row r="5354" spans="2:2" x14ac:dyDescent="0.25">
      <c r="B5354" t="s">
        <v>1859</v>
      </c>
    </row>
    <row r="5355" spans="2:2" x14ac:dyDescent="0.25">
      <c r="B5355" t="s">
        <v>1859</v>
      </c>
    </row>
    <row r="5356" spans="2:2" x14ac:dyDescent="0.25">
      <c r="B5356" t="s">
        <v>1859</v>
      </c>
    </row>
    <row r="5357" spans="2:2" x14ac:dyDescent="0.25">
      <c r="B5357" t="s">
        <v>1859</v>
      </c>
    </row>
    <row r="5358" spans="2:2" x14ac:dyDescent="0.25">
      <c r="B5358" t="s">
        <v>1859</v>
      </c>
    </row>
    <row r="5359" spans="2:2" x14ac:dyDescent="0.25">
      <c r="B5359" t="s">
        <v>1859</v>
      </c>
    </row>
    <row r="5360" spans="2:2" x14ac:dyDescent="0.25">
      <c r="B5360" t="s">
        <v>1859</v>
      </c>
    </row>
    <row r="5361" spans="2:2" x14ac:dyDescent="0.25">
      <c r="B5361" t="s">
        <v>1859</v>
      </c>
    </row>
    <row r="5362" spans="2:2" x14ac:dyDescent="0.25">
      <c r="B5362" t="s">
        <v>1859</v>
      </c>
    </row>
    <row r="5363" spans="2:2" x14ac:dyDescent="0.25">
      <c r="B5363" t="s">
        <v>1859</v>
      </c>
    </row>
    <row r="5364" spans="2:2" x14ac:dyDescent="0.25">
      <c r="B5364" t="s">
        <v>1859</v>
      </c>
    </row>
    <row r="5365" spans="2:2" x14ac:dyDescent="0.25">
      <c r="B5365" t="s">
        <v>1859</v>
      </c>
    </row>
    <row r="5366" spans="2:2" x14ac:dyDescent="0.25">
      <c r="B5366" t="s">
        <v>1859</v>
      </c>
    </row>
    <row r="5367" spans="2:2" x14ac:dyDescent="0.25">
      <c r="B5367" t="s">
        <v>1859</v>
      </c>
    </row>
    <row r="5368" spans="2:2" x14ac:dyDescent="0.25">
      <c r="B5368" t="s">
        <v>1859</v>
      </c>
    </row>
    <row r="5369" spans="2:2" x14ac:dyDescent="0.25">
      <c r="B5369" t="s">
        <v>1859</v>
      </c>
    </row>
    <row r="5370" spans="2:2" x14ac:dyDescent="0.25">
      <c r="B5370" t="s">
        <v>1859</v>
      </c>
    </row>
    <row r="5371" spans="2:2" x14ac:dyDescent="0.25">
      <c r="B5371" t="s">
        <v>1859</v>
      </c>
    </row>
    <row r="5372" spans="2:2" x14ac:dyDescent="0.25">
      <c r="B5372" t="s">
        <v>1859</v>
      </c>
    </row>
    <row r="5373" spans="2:2" x14ac:dyDescent="0.25">
      <c r="B5373" t="s">
        <v>1859</v>
      </c>
    </row>
    <row r="5374" spans="2:2" x14ac:dyDescent="0.25">
      <c r="B5374" t="s">
        <v>1859</v>
      </c>
    </row>
    <row r="5375" spans="2:2" x14ac:dyDescent="0.25">
      <c r="B5375" t="s">
        <v>1859</v>
      </c>
    </row>
    <row r="5376" spans="2:2" x14ac:dyDescent="0.25">
      <c r="B5376" t="s">
        <v>1859</v>
      </c>
    </row>
    <row r="5377" spans="2:2" x14ac:dyDescent="0.25">
      <c r="B5377" t="s">
        <v>1859</v>
      </c>
    </row>
    <row r="5378" spans="2:2" x14ac:dyDescent="0.25">
      <c r="B5378" t="s">
        <v>1859</v>
      </c>
    </row>
    <row r="5379" spans="2:2" x14ac:dyDescent="0.25">
      <c r="B5379" t="s">
        <v>1859</v>
      </c>
    </row>
    <row r="5380" spans="2:2" x14ac:dyDescent="0.25">
      <c r="B5380" t="s">
        <v>1859</v>
      </c>
    </row>
    <row r="5381" spans="2:2" x14ac:dyDescent="0.25">
      <c r="B5381" t="s">
        <v>1859</v>
      </c>
    </row>
    <row r="5382" spans="2:2" x14ac:dyDescent="0.25">
      <c r="B5382" t="s">
        <v>1859</v>
      </c>
    </row>
    <row r="5383" spans="2:2" x14ac:dyDescent="0.25">
      <c r="B5383" t="s">
        <v>1859</v>
      </c>
    </row>
    <row r="5384" spans="2:2" x14ac:dyDescent="0.25">
      <c r="B5384" t="s">
        <v>1859</v>
      </c>
    </row>
    <row r="5385" spans="2:2" x14ac:dyDescent="0.25">
      <c r="B5385" t="s">
        <v>1859</v>
      </c>
    </row>
    <row r="5386" spans="2:2" x14ac:dyDescent="0.25">
      <c r="B5386" t="s">
        <v>1859</v>
      </c>
    </row>
    <row r="5387" spans="2:2" x14ac:dyDescent="0.25">
      <c r="B5387" t="s">
        <v>1859</v>
      </c>
    </row>
    <row r="5388" spans="2:2" x14ac:dyDescent="0.25">
      <c r="B5388" t="s">
        <v>1859</v>
      </c>
    </row>
    <row r="5389" spans="2:2" x14ac:dyDescent="0.25">
      <c r="B5389" t="s">
        <v>1859</v>
      </c>
    </row>
    <row r="5390" spans="2:2" x14ac:dyDescent="0.25">
      <c r="B5390" t="s">
        <v>1859</v>
      </c>
    </row>
    <row r="5391" spans="2:2" x14ac:dyDescent="0.25">
      <c r="B5391" t="s">
        <v>1859</v>
      </c>
    </row>
    <row r="5392" spans="2:2" x14ac:dyDescent="0.25">
      <c r="B5392" t="s">
        <v>1859</v>
      </c>
    </row>
    <row r="5393" spans="2:2" x14ac:dyDescent="0.25">
      <c r="B5393" t="s">
        <v>1859</v>
      </c>
    </row>
    <row r="5394" spans="2:2" x14ac:dyDescent="0.25">
      <c r="B5394" t="s">
        <v>1859</v>
      </c>
    </row>
    <row r="5395" spans="2:2" x14ac:dyDescent="0.25">
      <c r="B5395" t="s">
        <v>1859</v>
      </c>
    </row>
    <row r="5396" spans="2:2" x14ac:dyDescent="0.25">
      <c r="B5396" t="s">
        <v>1859</v>
      </c>
    </row>
    <row r="5397" spans="2:2" x14ac:dyDescent="0.25">
      <c r="B5397" t="s">
        <v>1859</v>
      </c>
    </row>
    <row r="5398" spans="2:2" x14ac:dyDescent="0.25">
      <c r="B5398" t="s">
        <v>1859</v>
      </c>
    </row>
    <row r="5399" spans="2:2" x14ac:dyDescent="0.25">
      <c r="B5399" t="s">
        <v>1859</v>
      </c>
    </row>
    <row r="5400" spans="2:2" x14ac:dyDescent="0.25">
      <c r="B5400" t="s">
        <v>1859</v>
      </c>
    </row>
    <row r="5401" spans="2:2" x14ac:dyDescent="0.25">
      <c r="B5401" t="s">
        <v>1859</v>
      </c>
    </row>
    <row r="5402" spans="2:2" x14ac:dyDescent="0.25">
      <c r="B5402" t="s">
        <v>1859</v>
      </c>
    </row>
    <row r="5403" spans="2:2" x14ac:dyDescent="0.25">
      <c r="B5403" t="s">
        <v>1859</v>
      </c>
    </row>
    <row r="5404" spans="2:2" x14ac:dyDescent="0.25">
      <c r="B5404" t="s">
        <v>1859</v>
      </c>
    </row>
    <row r="5405" spans="2:2" x14ac:dyDescent="0.25">
      <c r="B5405" t="s">
        <v>1859</v>
      </c>
    </row>
    <row r="5406" spans="2:2" x14ac:dyDescent="0.25">
      <c r="B5406" t="s">
        <v>1859</v>
      </c>
    </row>
    <row r="5407" spans="2:2" x14ac:dyDescent="0.25">
      <c r="B5407" t="s">
        <v>1859</v>
      </c>
    </row>
    <row r="5408" spans="2:2" x14ac:dyDescent="0.25">
      <c r="B5408" t="s">
        <v>1859</v>
      </c>
    </row>
    <row r="5409" spans="2:2" x14ac:dyDescent="0.25">
      <c r="B5409" t="s">
        <v>1859</v>
      </c>
    </row>
    <row r="5410" spans="2:2" x14ac:dyDescent="0.25">
      <c r="B5410" t="s">
        <v>1859</v>
      </c>
    </row>
    <row r="5411" spans="2:2" x14ac:dyDescent="0.25">
      <c r="B5411" t="s">
        <v>1859</v>
      </c>
    </row>
    <row r="5412" spans="2:2" x14ac:dyDescent="0.25">
      <c r="B5412" t="s">
        <v>1859</v>
      </c>
    </row>
    <row r="5413" spans="2:2" x14ac:dyDescent="0.25">
      <c r="B5413" t="s">
        <v>1859</v>
      </c>
    </row>
    <row r="5414" spans="2:2" x14ac:dyDescent="0.25">
      <c r="B5414" t="s">
        <v>1859</v>
      </c>
    </row>
    <row r="5415" spans="2:2" x14ac:dyDescent="0.25">
      <c r="B5415" t="s">
        <v>1859</v>
      </c>
    </row>
    <row r="5416" spans="2:2" x14ac:dyDescent="0.25">
      <c r="B5416" t="s">
        <v>1859</v>
      </c>
    </row>
    <row r="5417" spans="2:2" x14ac:dyDescent="0.25">
      <c r="B5417" t="s">
        <v>1859</v>
      </c>
    </row>
    <row r="5418" spans="2:2" x14ac:dyDescent="0.25">
      <c r="B5418" t="s">
        <v>1859</v>
      </c>
    </row>
    <row r="5419" spans="2:2" x14ac:dyDescent="0.25">
      <c r="B5419" t="s">
        <v>1859</v>
      </c>
    </row>
    <row r="5420" spans="2:2" x14ac:dyDescent="0.25">
      <c r="B5420" t="s">
        <v>1859</v>
      </c>
    </row>
    <row r="5421" spans="2:2" x14ac:dyDescent="0.25">
      <c r="B5421" t="s">
        <v>1859</v>
      </c>
    </row>
    <row r="5422" spans="2:2" x14ac:dyDescent="0.25">
      <c r="B5422" t="s">
        <v>1859</v>
      </c>
    </row>
    <row r="5423" spans="2:2" x14ac:dyDescent="0.25">
      <c r="B5423" t="s">
        <v>1859</v>
      </c>
    </row>
    <row r="5424" spans="2:2" x14ac:dyDescent="0.25">
      <c r="B5424" t="s">
        <v>1859</v>
      </c>
    </row>
    <row r="5425" spans="2:2" x14ac:dyDescent="0.25">
      <c r="B5425" t="s">
        <v>1859</v>
      </c>
    </row>
    <row r="5426" spans="2:2" x14ac:dyDescent="0.25">
      <c r="B5426" t="s">
        <v>1859</v>
      </c>
    </row>
    <row r="5427" spans="2:2" x14ac:dyDescent="0.25">
      <c r="B5427" t="s">
        <v>1859</v>
      </c>
    </row>
    <row r="5428" spans="2:2" x14ac:dyDescent="0.25">
      <c r="B5428" t="s">
        <v>1859</v>
      </c>
    </row>
    <row r="5429" spans="2:2" x14ac:dyDescent="0.25">
      <c r="B5429" t="s">
        <v>1859</v>
      </c>
    </row>
    <row r="5430" spans="2:2" x14ac:dyDescent="0.25">
      <c r="B5430" t="s">
        <v>1859</v>
      </c>
    </row>
    <row r="5431" spans="2:2" x14ac:dyDescent="0.25">
      <c r="B5431" t="s">
        <v>1859</v>
      </c>
    </row>
    <row r="5432" spans="2:2" x14ac:dyDescent="0.25">
      <c r="B5432" t="s">
        <v>1859</v>
      </c>
    </row>
    <row r="5433" spans="2:2" x14ac:dyDescent="0.25">
      <c r="B5433" t="s">
        <v>1859</v>
      </c>
    </row>
    <row r="5434" spans="2:2" x14ac:dyDescent="0.25">
      <c r="B5434" t="s">
        <v>1859</v>
      </c>
    </row>
    <row r="5435" spans="2:2" x14ac:dyDescent="0.25">
      <c r="B5435" t="s">
        <v>1859</v>
      </c>
    </row>
    <row r="5436" spans="2:2" x14ac:dyDescent="0.25">
      <c r="B5436" t="s">
        <v>1859</v>
      </c>
    </row>
    <row r="5437" spans="2:2" x14ac:dyDescent="0.25">
      <c r="B5437" t="s">
        <v>1859</v>
      </c>
    </row>
    <row r="5438" spans="2:2" x14ac:dyDescent="0.25">
      <c r="B5438" t="s">
        <v>1859</v>
      </c>
    </row>
    <row r="5439" spans="2:2" x14ac:dyDescent="0.25">
      <c r="B5439" t="s">
        <v>1859</v>
      </c>
    </row>
    <row r="5440" spans="2:2" x14ac:dyDescent="0.25">
      <c r="B5440" t="s">
        <v>1859</v>
      </c>
    </row>
    <row r="5441" spans="2:2" x14ac:dyDescent="0.25">
      <c r="B5441" t="s">
        <v>1859</v>
      </c>
    </row>
    <row r="5442" spans="2:2" x14ac:dyDescent="0.25">
      <c r="B5442" t="s">
        <v>1859</v>
      </c>
    </row>
    <row r="5443" spans="2:2" x14ac:dyDescent="0.25">
      <c r="B5443" t="s">
        <v>1859</v>
      </c>
    </row>
    <row r="5444" spans="2:2" x14ac:dyDescent="0.25">
      <c r="B5444" t="s">
        <v>1859</v>
      </c>
    </row>
    <row r="5445" spans="2:2" x14ac:dyDescent="0.25">
      <c r="B5445" t="s">
        <v>1859</v>
      </c>
    </row>
    <row r="5446" spans="2:2" x14ac:dyDescent="0.25">
      <c r="B5446" t="s">
        <v>1859</v>
      </c>
    </row>
    <row r="5447" spans="2:2" x14ac:dyDescent="0.25">
      <c r="B5447" t="s">
        <v>1859</v>
      </c>
    </row>
    <row r="5448" spans="2:2" x14ac:dyDescent="0.25">
      <c r="B5448" t="s">
        <v>1859</v>
      </c>
    </row>
    <row r="5449" spans="2:2" x14ac:dyDescent="0.25">
      <c r="B5449" t="s">
        <v>1859</v>
      </c>
    </row>
    <row r="5450" spans="2:2" x14ac:dyDescent="0.25">
      <c r="B5450" t="s">
        <v>1859</v>
      </c>
    </row>
    <row r="5451" spans="2:2" x14ac:dyDescent="0.25">
      <c r="B5451" t="s">
        <v>1859</v>
      </c>
    </row>
    <row r="5452" spans="2:2" x14ac:dyDescent="0.25">
      <c r="B5452" t="s">
        <v>1859</v>
      </c>
    </row>
    <row r="5453" spans="2:2" x14ac:dyDescent="0.25">
      <c r="B5453" t="s">
        <v>1859</v>
      </c>
    </row>
    <row r="5454" spans="2:2" x14ac:dyDescent="0.25">
      <c r="B5454" t="s">
        <v>1859</v>
      </c>
    </row>
    <row r="5455" spans="2:2" x14ac:dyDescent="0.25">
      <c r="B5455" t="s">
        <v>1859</v>
      </c>
    </row>
    <row r="5456" spans="2:2" x14ac:dyDescent="0.25">
      <c r="B5456" t="s">
        <v>1859</v>
      </c>
    </row>
    <row r="5457" spans="2:2" x14ac:dyDescent="0.25">
      <c r="B5457" t="s">
        <v>1859</v>
      </c>
    </row>
    <row r="5458" spans="2:2" x14ac:dyDescent="0.25">
      <c r="B5458" t="s">
        <v>1859</v>
      </c>
    </row>
    <row r="5459" spans="2:2" x14ac:dyDescent="0.25">
      <c r="B5459" t="s">
        <v>1859</v>
      </c>
    </row>
    <row r="5460" spans="2:2" x14ac:dyDescent="0.25">
      <c r="B5460" t="s">
        <v>1859</v>
      </c>
    </row>
    <row r="5461" spans="2:2" x14ac:dyDescent="0.25">
      <c r="B5461" t="s">
        <v>1859</v>
      </c>
    </row>
    <row r="5462" spans="2:2" x14ac:dyDescent="0.25">
      <c r="B5462" t="s">
        <v>1859</v>
      </c>
    </row>
    <row r="5463" spans="2:2" x14ac:dyDescent="0.25">
      <c r="B5463" t="s">
        <v>1859</v>
      </c>
    </row>
    <row r="5464" spans="2:2" x14ac:dyDescent="0.25">
      <c r="B5464" t="s">
        <v>1859</v>
      </c>
    </row>
    <row r="5465" spans="2:2" x14ac:dyDescent="0.25">
      <c r="B5465" t="s">
        <v>1859</v>
      </c>
    </row>
    <row r="5466" spans="2:2" x14ac:dyDescent="0.25">
      <c r="B5466" t="s">
        <v>1859</v>
      </c>
    </row>
    <row r="5467" spans="2:2" x14ac:dyDescent="0.25">
      <c r="B5467" t="s">
        <v>1859</v>
      </c>
    </row>
    <row r="5468" spans="2:2" x14ac:dyDescent="0.25">
      <c r="B5468" t="s">
        <v>1859</v>
      </c>
    </row>
    <row r="5469" spans="2:2" x14ac:dyDescent="0.25">
      <c r="B5469" t="s">
        <v>1859</v>
      </c>
    </row>
    <row r="5470" spans="2:2" x14ac:dyDescent="0.25">
      <c r="B5470" t="s">
        <v>1859</v>
      </c>
    </row>
    <row r="5471" spans="2:2" x14ac:dyDescent="0.25">
      <c r="B5471" t="s">
        <v>1859</v>
      </c>
    </row>
    <row r="5472" spans="2:2" x14ac:dyDescent="0.25">
      <c r="B5472" t="s">
        <v>1859</v>
      </c>
    </row>
    <row r="5473" spans="2:2" x14ac:dyDescent="0.25">
      <c r="B5473" t="s">
        <v>1859</v>
      </c>
    </row>
    <row r="5474" spans="2:2" x14ac:dyDescent="0.25">
      <c r="B5474" t="s">
        <v>1859</v>
      </c>
    </row>
    <row r="5475" spans="2:2" x14ac:dyDescent="0.25">
      <c r="B5475" t="s">
        <v>1859</v>
      </c>
    </row>
    <row r="5476" spans="2:2" x14ac:dyDescent="0.25">
      <c r="B5476" t="s">
        <v>1859</v>
      </c>
    </row>
    <row r="5477" spans="2:2" x14ac:dyDescent="0.25">
      <c r="B5477" t="s">
        <v>1859</v>
      </c>
    </row>
    <row r="5478" spans="2:2" x14ac:dyDescent="0.25">
      <c r="B5478" t="s">
        <v>1859</v>
      </c>
    </row>
    <row r="5479" spans="2:2" x14ac:dyDescent="0.25">
      <c r="B5479" t="s">
        <v>1859</v>
      </c>
    </row>
    <row r="5480" spans="2:2" x14ac:dyDescent="0.25">
      <c r="B5480" t="s">
        <v>1859</v>
      </c>
    </row>
    <row r="5481" spans="2:2" x14ac:dyDescent="0.25">
      <c r="B5481" t="s">
        <v>1859</v>
      </c>
    </row>
    <row r="5482" spans="2:2" x14ac:dyDescent="0.25">
      <c r="B5482" t="s">
        <v>1859</v>
      </c>
    </row>
    <row r="5483" spans="2:2" x14ac:dyDescent="0.25">
      <c r="B5483" t="s">
        <v>1859</v>
      </c>
    </row>
    <row r="5484" spans="2:2" x14ac:dyDescent="0.25">
      <c r="B5484" t="s">
        <v>1859</v>
      </c>
    </row>
    <row r="5485" spans="2:2" x14ac:dyDescent="0.25">
      <c r="B5485" t="s">
        <v>1859</v>
      </c>
    </row>
    <row r="5486" spans="2:2" x14ac:dyDescent="0.25">
      <c r="B5486" t="s">
        <v>1859</v>
      </c>
    </row>
    <row r="5487" spans="2:2" x14ac:dyDescent="0.25">
      <c r="B5487" t="s">
        <v>1859</v>
      </c>
    </row>
    <row r="5488" spans="2:2" x14ac:dyDescent="0.25">
      <c r="B5488" t="s">
        <v>1859</v>
      </c>
    </row>
    <row r="5489" spans="2:2" x14ac:dyDescent="0.25">
      <c r="B5489" t="s">
        <v>1859</v>
      </c>
    </row>
    <row r="5490" spans="2:2" x14ac:dyDescent="0.25">
      <c r="B5490" t="s">
        <v>1859</v>
      </c>
    </row>
    <row r="5491" spans="2:2" x14ac:dyDescent="0.25">
      <c r="B5491" t="s">
        <v>1859</v>
      </c>
    </row>
    <row r="5492" spans="2:2" x14ac:dyDescent="0.25">
      <c r="B5492" t="s">
        <v>1859</v>
      </c>
    </row>
    <row r="5493" spans="2:2" x14ac:dyDescent="0.25">
      <c r="B5493" t="s">
        <v>1859</v>
      </c>
    </row>
    <row r="5494" spans="2:2" x14ac:dyDescent="0.25">
      <c r="B5494" t="s">
        <v>1859</v>
      </c>
    </row>
    <row r="5495" spans="2:2" x14ac:dyDescent="0.25">
      <c r="B5495" t="s">
        <v>1859</v>
      </c>
    </row>
    <row r="5496" spans="2:2" x14ac:dyDescent="0.25">
      <c r="B5496" t="s">
        <v>1859</v>
      </c>
    </row>
    <row r="5497" spans="2:2" x14ac:dyDescent="0.25">
      <c r="B5497" t="s">
        <v>1859</v>
      </c>
    </row>
    <row r="5498" spans="2:2" x14ac:dyDescent="0.25">
      <c r="B5498" t="s">
        <v>1859</v>
      </c>
    </row>
    <row r="5499" spans="2:2" x14ac:dyDescent="0.25">
      <c r="B5499" t="s">
        <v>1859</v>
      </c>
    </row>
    <row r="5500" spans="2:2" x14ac:dyDescent="0.25">
      <c r="B5500" t="s">
        <v>1859</v>
      </c>
    </row>
    <row r="5501" spans="2:2" x14ac:dyDescent="0.25">
      <c r="B5501" t="s">
        <v>1859</v>
      </c>
    </row>
    <row r="5502" spans="2:2" x14ac:dyDescent="0.25">
      <c r="B5502" t="s">
        <v>1859</v>
      </c>
    </row>
    <row r="5503" spans="2:2" x14ac:dyDescent="0.25">
      <c r="B5503" t="s">
        <v>1859</v>
      </c>
    </row>
    <row r="5504" spans="2:2" x14ac:dyDescent="0.25">
      <c r="B5504" t="s">
        <v>1859</v>
      </c>
    </row>
    <row r="5505" spans="2:2" x14ac:dyDescent="0.25">
      <c r="B5505" t="s">
        <v>1859</v>
      </c>
    </row>
    <row r="5506" spans="2:2" x14ac:dyDescent="0.25">
      <c r="B5506" t="s">
        <v>1859</v>
      </c>
    </row>
    <row r="5507" spans="2:2" x14ac:dyDescent="0.25">
      <c r="B5507" t="s">
        <v>1859</v>
      </c>
    </row>
    <row r="5508" spans="2:2" x14ac:dyDescent="0.25">
      <c r="B5508" t="s">
        <v>1859</v>
      </c>
    </row>
    <row r="5509" spans="2:2" x14ac:dyDescent="0.25">
      <c r="B5509" t="s">
        <v>1859</v>
      </c>
    </row>
    <row r="5510" spans="2:2" x14ac:dyDescent="0.25">
      <c r="B5510" t="s">
        <v>1859</v>
      </c>
    </row>
    <row r="5511" spans="2:2" x14ac:dyDescent="0.25">
      <c r="B5511" t="s">
        <v>1859</v>
      </c>
    </row>
    <row r="5512" spans="2:2" x14ac:dyDescent="0.25">
      <c r="B5512" t="s">
        <v>1859</v>
      </c>
    </row>
    <row r="5513" spans="2:2" x14ac:dyDescent="0.25">
      <c r="B5513" t="s">
        <v>1859</v>
      </c>
    </row>
    <row r="5514" spans="2:2" x14ac:dyDescent="0.25">
      <c r="B5514" t="s">
        <v>1859</v>
      </c>
    </row>
    <row r="5515" spans="2:2" x14ac:dyDescent="0.25">
      <c r="B5515" t="s">
        <v>1859</v>
      </c>
    </row>
    <row r="5516" spans="2:2" x14ac:dyDescent="0.25">
      <c r="B5516" t="s">
        <v>1859</v>
      </c>
    </row>
    <row r="5517" spans="2:2" x14ac:dyDescent="0.25">
      <c r="B5517" t="s">
        <v>1859</v>
      </c>
    </row>
    <row r="5518" spans="2:2" x14ac:dyDescent="0.25">
      <c r="B5518" t="s">
        <v>1859</v>
      </c>
    </row>
    <row r="5519" spans="2:2" x14ac:dyDescent="0.25">
      <c r="B5519" t="s">
        <v>1859</v>
      </c>
    </row>
    <row r="5520" spans="2:2" x14ac:dyDescent="0.25">
      <c r="B5520" t="s">
        <v>1859</v>
      </c>
    </row>
    <row r="5521" spans="2:2" x14ac:dyDescent="0.25">
      <c r="B5521" t="s">
        <v>1859</v>
      </c>
    </row>
    <row r="5522" spans="2:2" x14ac:dyDescent="0.25">
      <c r="B5522" t="s">
        <v>1859</v>
      </c>
    </row>
    <row r="5523" spans="2:2" x14ac:dyDescent="0.25">
      <c r="B5523" t="s">
        <v>1859</v>
      </c>
    </row>
    <row r="5524" spans="2:2" x14ac:dyDescent="0.25">
      <c r="B5524" t="s">
        <v>1859</v>
      </c>
    </row>
    <row r="5525" spans="2:2" x14ac:dyDescent="0.25">
      <c r="B5525" t="s">
        <v>1859</v>
      </c>
    </row>
    <row r="5526" spans="2:2" x14ac:dyDescent="0.25">
      <c r="B5526" t="s">
        <v>1859</v>
      </c>
    </row>
    <row r="5527" spans="2:2" x14ac:dyDescent="0.25">
      <c r="B5527" t="s">
        <v>1859</v>
      </c>
    </row>
    <row r="5528" spans="2:2" x14ac:dyDescent="0.25">
      <c r="B5528" t="s">
        <v>1859</v>
      </c>
    </row>
    <row r="5529" spans="2:2" x14ac:dyDescent="0.25">
      <c r="B5529" t="s">
        <v>1859</v>
      </c>
    </row>
    <row r="5530" spans="2:2" x14ac:dyDescent="0.25">
      <c r="B5530" t="s">
        <v>1859</v>
      </c>
    </row>
    <row r="5531" spans="2:2" x14ac:dyDescent="0.25">
      <c r="B5531" t="s">
        <v>1859</v>
      </c>
    </row>
    <row r="5532" spans="2:2" x14ac:dyDescent="0.25">
      <c r="B5532" t="s">
        <v>1859</v>
      </c>
    </row>
    <row r="5533" spans="2:2" x14ac:dyDescent="0.25">
      <c r="B5533" t="s">
        <v>1859</v>
      </c>
    </row>
    <row r="5534" spans="2:2" x14ac:dyDescent="0.25">
      <c r="B5534" t="s">
        <v>1859</v>
      </c>
    </row>
    <row r="5535" spans="2:2" x14ac:dyDescent="0.25">
      <c r="B5535" t="s">
        <v>1859</v>
      </c>
    </row>
    <row r="5536" spans="2:2" x14ac:dyDescent="0.25">
      <c r="B5536" t="s">
        <v>1859</v>
      </c>
    </row>
    <row r="5537" spans="2:2" x14ac:dyDescent="0.25">
      <c r="B5537" t="s">
        <v>1859</v>
      </c>
    </row>
    <row r="5538" spans="2:2" x14ac:dyDescent="0.25">
      <c r="B5538" t="s">
        <v>1859</v>
      </c>
    </row>
    <row r="5539" spans="2:2" x14ac:dyDescent="0.25">
      <c r="B5539" t="s">
        <v>1859</v>
      </c>
    </row>
    <row r="5540" spans="2:2" x14ac:dyDescent="0.25">
      <c r="B5540" t="s">
        <v>1859</v>
      </c>
    </row>
    <row r="5541" spans="2:2" x14ac:dyDescent="0.25">
      <c r="B5541" t="s">
        <v>1859</v>
      </c>
    </row>
    <row r="5542" spans="2:2" x14ac:dyDescent="0.25">
      <c r="B5542" t="s">
        <v>1859</v>
      </c>
    </row>
    <row r="5543" spans="2:2" x14ac:dyDescent="0.25">
      <c r="B5543" t="s">
        <v>1859</v>
      </c>
    </row>
    <row r="5544" spans="2:2" x14ac:dyDescent="0.25">
      <c r="B5544" t="s">
        <v>1859</v>
      </c>
    </row>
    <row r="5545" spans="2:2" x14ac:dyDescent="0.25">
      <c r="B5545" t="s">
        <v>1859</v>
      </c>
    </row>
    <row r="5546" spans="2:2" x14ac:dyDescent="0.25">
      <c r="B5546" t="s">
        <v>1859</v>
      </c>
    </row>
    <row r="5547" spans="2:2" x14ac:dyDescent="0.25">
      <c r="B5547" t="s">
        <v>1859</v>
      </c>
    </row>
    <row r="5548" spans="2:2" x14ac:dyDescent="0.25">
      <c r="B5548" t="s">
        <v>1859</v>
      </c>
    </row>
    <row r="5549" spans="2:2" x14ac:dyDescent="0.25">
      <c r="B5549" t="s">
        <v>1859</v>
      </c>
    </row>
    <row r="5550" spans="2:2" x14ac:dyDescent="0.25">
      <c r="B5550" t="s">
        <v>1859</v>
      </c>
    </row>
    <row r="5551" spans="2:2" x14ac:dyDescent="0.25">
      <c r="B5551" t="s">
        <v>1859</v>
      </c>
    </row>
    <row r="5552" spans="2:2" x14ac:dyDescent="0.25">
      <c r="B5552" t="s">
        <v>1859</v>
      </c>
    </row>
    <row r="5553" spans="2:2" x14ac:dyDescent="0.25">
      <c r="B5553" t="s">
        <v>1859</v>
      </c>
    </row>
    <row r="5554" spans="2:2" x14ac:dyDescent="0.25">
      <c r="B5554" t="s">
        <v>1859</v>
      </c>
    </row>
    <row r="5555" spans="2:2" x14ac:dyDescent="0.25">
      <c r="B5555" t="s">
        <v>1859</v>
      </c>
    </row>
    <row r="5556" spans="2:2" x14ac:dyDescent="0.25">
      <c r="B5556" t="s">
        <v>1859</v>
      </c>
    </row>
    <row r="5557" spans="2:2" x14ac:dyDescent="0.25">
      <c r="B5557" t="s">
        <v>1859</v>
      </c>
    </row>
    <row r="5558" spans="2:2" x14ac:dyDescent="0.25">
      <c r="B5558" t="s">
        <v>1859</v>
      </c>
    </row>
    <row r="5559" spans="2:2" x14ac:dyDescent="0.25">
      <c r="B5559" t="s">
        <v>1859</v>
      </c>
    </row>
    <row r="5560" spans="2:2" x14ac:dyDescent="0.25">
      <c r="B5560" t="s">
        <v>1859</v>
      </c>
    </row>
    <row r="5561" spans="2:2" x14ac:dyDescent="0.25">
      <c r="B5561" t="s">
        <v>1859</v>
      </c>
    </row>
    <row r="5562" spans="2:2" x14ac:dyDescent="0.25">
      <c r="B5562" t="s">
        <v>1859</v>
      </c>
    </row>
    <row r="5563" spans="2:2" x14ac:dyDescent="0.25">
      <c r="B5563" t="s">
        <v>1859</v>
      </c>
    </row>
    <row r="5564" spans="2:2" x14ac:dyDescent="0.25">
      <c r="B5564" t="s">
        <v>1859</v>
      </c>
    </row>
    <row r="5565" spans="2:2" x14ac:dyDescent="0.25">
      <c r="B5565" t="s">
        <v>1859</v>
      </c>
    </row>
    <row r="5566" spans="2:2" x14ac:dyDescent="0.25">
      <c r="B5566" t="s">
        <v>1859</v>
      </c>
    </row>
    <row r="5567" spans="2:2" x14ac:dyDescent="0.25">
      <c r="B5567" t="s">
        <v>1859</v>
      </c>
    </row>
    <row r="5568" spans="2:2" x14ac:dyDescent="0.25">
      <c r="B5568" t="s">
        <v>1859</v>
      </c>
    </row>
    <row r="5569" spans="2:2" x14ac:dyDescent="0.25">
      <c r="B5569" t="s">
        <v>1859</v>
      </c>
    </row>
    <row r="5570" spans="2:2" x14ac:dyDescent="0.25">
      <c r="B5570" t="s">
        <v>1859</v>
      </c>
    </row>
    <row r="5571" spans="2:2" x14ac:dyDescent="0.25">
      <c r="B5571" t="s">
        <v>1859</v>
      </c>
    </row>
    <row r="5572" spans="2:2" x14ac:dyDescent="0.25">
      <c r="B5572" t="s">
        <v>1859</v>
      </c>
    </row>
    <row r="5573" spans="2:2" x14ac:dyDescent="0.25">
      <c r="B5573" t="s">
        <v>1859</v>
      </c>
    </row>
    <row r="5574" spans="2:2" x14ac:dyDescent="0.25">
      <c r="B5574" t="s">
        <v>1859</v>
      </c>
    </row>
    <row r="5575" spans="2:2" x14ac:dyDescent="0.25">
      <c r="B5575" t="s">
        <v>1859</v>
      </c>
    </row>
    <row r="5576" spans="2:2" x14ac:dyDescent="0.25">
      <c r="B5576" t="s">
        <v>1859</v>
      </c>
    </row>
    <row r="5577" spans="2:2" x14ac:dyDescent="0.25">
      <c r="B5577" t="s">
        <v>1859</v>
      </c>
    </row>
    <row r="5578" spans="2:2" x14ac:dyDescent="0.25">
      <c r="B5578" t="s">
        <v>1859</v>
      </c>
    </row>
    <row r="5579" spans="2:2" x14ac:dyDescent="0.25">
      <c r="B5579" t="s">
        <v>1859</v>
      </c>
    </row>
    <row r="5580" spans="2:2" x14ac:dyDescent="0.25">
      <c r="B5580" t="s">
        <v>1859</v>
      </c>
    </row>
    <row r="5581" spans="2:2" x14ac:dyDescent="0.25">
      <c r="B5581" t="s">
        <v>1859</v>
      </c>
    </row>
    <row r="5582" spans="2:2" x14ac:dyDescent="0.25">
      <c r="B5582" t="s">
        <v>1859</v>
      </c>
    </row>
    <row r="5583" spans="2:2" x14ac:dyDescent="0.25">
      <c r="B5583" t="s">
        <v>1859</v>
      </c>
    </row>
    <row r="5584" spans="2:2" x14ac:dyDescent="0.25">
      <c r="B5584" t="s">
        <v>1859</v>
      </c>
    </row>
    <row r="5585" spans="2:2" x14ac:dyDescent="0.25">
      <c r="B5585" t="s">
        <v>1859</v>
      </c>
    </row>
    <row r="5586" spans="2:2" x14ac:dyDescent="0.25">
      <c r="B5586" t="s">
        <v>1859</v>
      </c>
    </row>
    <row r="5587" spans="2:2" x14ac:dyDescent="0.25">
      <c r="B5587" t="s">
        <v>1859</v>
      </c>
    </row>
    <row r="5588" spans="2:2" x14ac:dyDescent="0.25">
      <c r="B5588" t="s">
        <v>1859</v>
      </c>
    </row>
    <row r="5589" spans="2:2" x14ac:dyDescent="0.25">
      <c r="B5589" t="s">
        <v>1859</v>
      </c>
    </row>
    <row r="5590" spans="2:2" x14ac:dyDescent="0.25">
      <c r="B5590" t="s">
        <v>1859</v>
      </c>
    </row>
    <row r="5591" spans="2:2" x14ac:dyDescent="0.25">
      <c r="B5591" t="s">
        <v>1859</v>
      </c>
    </row>
    <row r="5592" spans="2:2" x14ac:dyDescent="0.25">
      <c r="B5592" t="s">
        <v>1859</v>
      </c>
    </row>
    <row r="5593" spans="2:2" x14ac:dyDescent="0.25">
      <c r="B5593" t="s">
        <v>1859</v>
      </c>
    </row>
    <row r="5594" spans="2:2" x14ac:dyDescent="0.25">
      <c r="B5594" t="s">
        <v>1859</v>
      </c>
    </row>
    <row r="5595" spans="2:2" x14ac:dyDescent="0.25">
      <c r="B5595" t="s">
        <v>1859</v>
      </c>
    </row>
    <row r="5596" spans="2:2" x14ac:dyDescent="0.25">
      <c r="B5596" t="s">
        <v>1859</v>
      </c>
    </row>
    <row r="5597" spans="2:2" x14ac:dyDescent="0.25">
      <c r="B5597" t="s">
        <v>1859</v>
      </c>
    </row>
    <row r="5598" spans="2:2" x14ac:dyDescent="0.25">
      <c r="B5598" t="s">
        <v>1859</v>
      </c>
    </row>
    <row r="5599" spans="2:2" x14ac:dyDescent="0.25">
      <c r="B5599" t="s">
        <v>1859</v>
      </c>
    </row>
    <row r="5600" spans="2:2" x14ac:dyDescent="0.25">
      <c r="B5600" t="s">
        <v>1859</v>
      </c>
    </row>
    <row r="5601" spans="2:2" x14ac:dyDescent="0.25">
      <c r="B5601" t="s">
        <v>1859</v>
      </c>
    </row>
    <row r="5602" spans="2:2" x14ac:dyDescent="0.25">
      <c r="B5602" t="s">
        <v>1859</v>
      </c>
    </row>
    <row r="5603" spans="2:2" x14ac:dyDescent="0.25">
      <c r="B5603" t="s">
        <v>1859</v>
      </c>
    </row>
    <row r="5604" spans="2:2" x14ac:dyDescent="0.25">
      <c r="B5604" t="s">
        <v>1859</v>
      </c>
    </row>
    <row r="5605" spans="2:2" x14ac:dyDescent="0.25">
      <c r="B5605" t="s">
        <v>1859</v>
      </c>
    </row>
    <row r="5606" spans="2:2" x14ac:dyDescent="0.25">
      <c r="B5606" t="s">
        <v>1859</v>
      </c>
    </row>
    <row r="5607" spans="2:2" x14ac:dyDescent="0.25">
      <c r="B5607" t="s">
        <v>1859</v>
      </c>
    </row>
    <row r="5608" spans="2:2" x14ac:dyDescent="0.25">
      <c r="B5608" t="s">
        <v>1859</v>
      </c>
    </row>
    <row r="5609" spans="2:2" x14ac:dyDescent="0.25">
      <c r="B5609" t="s">
        <v>1859</v>
      </c>
    </row>
    <row r="5610" spans="2:2" x14ac:dyDescent="0.25">
      <c r="B5610" t="s">
        <v>1859</v>
      </c>
    </row>
    <row r="5611" spans="2:2" x14ac:dyDescent="0.25">
      <c r="B5611" t="s">
        <v>1859</v>
      </c>
    </row>
    <row r="5612" spans="2:2" x14ac:dyDescent="0.25">
      <c r="B5612" t="s">
        <v>1859</v>
      </c>
    </row>
    <row r="5613" spans="2:2" x14ac:dyDescent="0.25">
      <c r="B5613" t="s">
        <v>1859</v>
      </c>
    </row>
    <row r="5614" spans="2:2" x14ac:dyDescent="0.25">
      <c r="B5614" t="s">
        <v>1859</v>
      </c>
    </row>
    <row r="5615" spans="2:2" x14ac:dyDescent="0.25">
      <c r="B5615" t="s">
        <v>1859</v>
      </c>
    </row>
    <row r="5616" spans="2:2" x14ac:dyDescent="0.25">
      <c r="B5616" t="s">
        <v>1859</v>
      </c>
    </row>
    <row r="5617" spans="2:2" x14ac:dyDescent="0.25">
      <c r="B5617" t="s">
        <v>1859</v>
      </c>
    </row>
    <row r="5618" spans="2:2" x14ac:dyDescent="0.25">
      <c r="B5618" t="s">
        <v>1859</v>
      </c>
    </row>
    <row r="5619" spans="2:2" x14ac:dyDescent="0.25">
      <c r="B5619" t="s">
        <v>1859</v>
      </c>
    </row>
    <row r="5620" spans="2:2" x14ac:dyDescent="0.25">
      <c r="B5620" t="s">
        <v>1859</v>
      </c>
    </row>
    <row r="5621" spans="2:2" x14ac:dyDescent="0.25">
      <c r="B5621" t="s">
        <v>1859</v>
      </c>
    </row>
    <row r="5622" spans="2:2" x14ac:dyDescent="0.25">
      <c r="B5622" t="s">
        <v>1859</v>
      </c>
    </row>
    <row r="5623" spans="2:2" x14ac:dyDescent="0.25">
      <c r="B5623" t="s">
        <v>1859</v>
      </c>
    </row>
    <row r="5624" spans="2:2" x14ac:dyDescent="0.25">
      <c r="B5624" t="s">
        <v>1859</v>
      </c>
    </row>
    <row r="5625" spans="2:2" x14ac:dyDescent="0.25">
      <c r="B5625" t="s">
        <v>1859</v>
      </c>
    </row>
    <row r="5626" spans="2:2" x14ac:dyDescent="0.25">
      <c r="B5626" t="s">
        <v>1859</v>
      </c>
    </row>
    <row r="5627" spans="2:2" x14ac:dyDescent="0.25">
      <c r="B5627" t="s">
        <v>1859</v>
      </c>
    </row>
    <row r="5628" spans="2:2" x14ac:dyDescent="0.25">
      <c r="B5628" t="s">
        <v>1859</v>
      </c>
    </row>
    <row r="5629" spans="2:2" x14ac:dyDescent="0.25">
      <c r="B5629" t="s">
        <v>1859</v>
      </c>
    </row>
    <row r="5630" spans="2:2" x14ac:dyDescent="0.25">
      <c r="B5630" t="s">
        <v>1859</v>
      </c>
    </row>
    <row r="5631" spans="2:2" x14ac:dyDescent="0.25">
      <c r="B5631" t="s">
        <v>1859</v>
      </c>
    </row>
    <row r="5632" spans="2:2" x14ac:dyDescent="0.25">
      <c r="B5632" t="s">
        <v>1859</v>
      </c>
    </row>
    <row r="5633" spans="2:2" x14ac:dyDescent="0.25">
      <c r="B5633" t="s">
        <v>1859</v>
      </c>
    </row>
    <row r="5634" spans="2:2" x14ac:dyDescent="0.25">
      <c r="B5634" t="s">
        <v>1859</v>
      </c>
    </row>
    <row r="5635" spans="2:2" x14ac:dyDescent="0.25">
      <c r="B5635" t="s">
        <v>1859</v>
      </c>
    </row>
    <row r="5636" spans="2:2" x14ac:dyDescent="0.25">
      <c r="B5636" t="s">
        <v>1859</v>
      </c>
    </row>
    <row r="5637" spans="2:2" x14ac:dyDescent="0.25">
      <c r="B5637" t="s">
        <v>1859</v>
      </c>
    </row>
    <row r="5638" spans="2:2" x14ac:dyDescent="0.25">
      <c r="B5638" t="s">
        <v>1859</v>
      </c>
    </row>
    <row r="5639" spans="2:2" x14ac:dyDescent="0.25">
      <c r="B5639" t="s">
        <v>1859</v>
      </c>
    </row>
    <row r="5640" spans="2:2" x14ac:dyDescent="0.25">
      <c r="B5640" t="s">
        <v>1859</v>
      </c>
    </row>
    <row r="5641" spans="2:2" x14ac:dyDescent="0.25">
      <c r="B5641" t="s">
        <v>1859</v>
      </c>
    </row>
    <row r="5642" spans="2:2" x14ac:dyDescent="0.25">
      <c r="B5642" t="s">
        <v>1859</v>
      </c>
    </row>
    <row r="5643" spans="2:2" x14ac:dyDescent="0.25">
      <c r="B5643" t="s">
        <v>1859</v>
      </c>
    </row>
    <row r="5644" spans="2:2" x14ac:dyDescent="0.25">
      <c r="B5644" t="s">
        <v>1859</v>
      </c>
    </row>
    <row r="5645" spans="2:2" x14ac:dyDescent="0.25">
      <c r="B5645" t="s">
        <v>1859</v>
      </c>
    </row>
    <row r="5646" spans="2:2" x14ac:dyDescent="0.25">
      <c r="B5646" t="s">
        <v>1859</v>
      </c>
    </row>
    <row r="5647" spans="2:2" x14ac:dyDescent="0.25">
      <c r="B5647" t="s">
        <v>1859</v>
      </c>
    </row>
    <row r="5648" spans="2:2" x14ac:dyDescent="0.25">
      <c r="B5648" t="s">
        <v>1859</v>
      </c>
    </row>
    <row r="5649" spans="2:2" x14ac:dyDescent="0.25">
      <c r="B5649" t="s">
        <v>1859</v>
      </c>
    </row>
    <row r="5650" spans="2:2" x14ac:dyDescent="0.25">
      <c r="B5650" t="s">
        <v>1859</v>
      </c>
    </row>
    <row r="5651" spans="2:2" x14ac:dyDescent="0.25">
      <c r="B5651" t="s">
        <v>1859</v>
      </c>
    </row>
    <row r="5652" spans="2:2" x14ac:dyDescent="0.25">
      <c r="B5652" t="s">
        <v>1859</v>
      </c>
    </row>
    <row r="5653" spans="2:2" x14ac:dyDescent="0.25">
      <c r="B5653" t="s">
        <v>1859</v>
      </c>
    </row>
    <row r="5654" spans="2:2" x14ac:dyDescent="0.25">
      <c r="B5654" t="s">
        <v>1859</v>
      </c>
    </row>
    <row r="5655" spans="2:2" x14ac:dyDescent="0.25">
      <c r="B5655" t="s">
        <v>1859</v>
      </c>
    </row>
    <row r="5656" spans="2:2" x14ac:dyDescent="0.25">
      <c r="B5656" t="s">
        <v>1859</v>
      </c>
    </row>
    <row r="5657" spans="2:2" x14ac:dyDescent="0.25">
      <c r="B5657" t="s">
        <v>1859</v>
      </c>
    </row>
    <row r="5658" spans="2:2" x14ac:dyDescent="0.25">
      <c r="B5658" t="s">
        <v>1859</v>
      </c>
    </row>
    <row r="5659" spans="2:2" x14ac:dyDescent="0.25">
      <c r="B5659" t="s">
        <v>1859</v>
      </c>
    </row>
    <row r="5660" spans="2:2" x14ac:dyDescent="0.25">
      <c r="B5660" t="s">
        <v>1859</v>
      </c>
    </row>
    <row r="5661" spans="2:2" x14ac:dyDescent="0.25">
      <c r="B5661" t="s">
        <v>1859</v>
      </c>
    </row>
    <row r="5662" spans="2:2" x14ac:dyDescent="0.25">
      <c r="B5662" t="s">
        <v>1859</v>
      </c>
    </row>
    <row r="5663" spans="2:2" x14ac:dyDescent="0.25">
      <c r="B5663" t="s">
        <v>1859</v>
      </c>
    </row>
    <row r="5664" spans="2:2" x14ac:dyDescent="0.25">
      <c r="B5664" t="s">
        <v>1859</v>
      </c>
    </row>
    <row r="5665" spans="2:2" x14ac:dyDescent="0.25">
      <c r="B5665" t="s">
        <v>1859</v>
      </c>
    </row>
    <row r="5666" spans="2:2" x14ac:dyDescent="0.25">
      <c r="B5666" t="s">
        <v>1859</v>
      </c>
    </row>
    <row r="5667" spans="2:2" x14ac:dyDescent="0.25">
      <c r="B5667" t="s">
        <v>1859</v>
      </c>
    </row>
    <row r="5668" spans="2:2" x14ac:dyDescent="0.25">
      <c r="B5668" t="s">
        <v>1859</v>
      </c>
    </row>
    <row r="5669" spans="2:2" x14ac:dyDescent="0.25">
      <c r="B5669" t="s">
        <v>1859</v>
      </c>
    </row>
    <row r="5670" spans="2:2" x14ac:dyDescent="0.25">
      <c r="B5670" t="s">
        <v>1859</v>
      </c>
    </row>
    <row r="5671" spans="2:2" x14ac:dyDescent="0.25">
      <c r="B5671" t="s">
        <v>1859</v>
      </c>
    </row>
    <row r="5672" spans="2:2" x14ac:dyDescent="0.25">
      <c r="B5672" t="s">
        <v>1859</v>
      </c>
    </row>
    <row r="5673" spans="2:2" x14ac:dyDescent="0.25">
      <c r="B5673" t="s">
        <v>1859</v>
      </c>
    </row>
    <row r="5674" spans="2:2" x14ac:dyDescent="0.25">
      <c r="B5674" t="s">
        <v>1859</v>
      </c>
    </row>
    <row r="5675" spans="2:2" x14ac:dyDescent="0.25">
      <c r="B5675" t="s">
        <v>1859</v>
      </c>
    </row>
    <row r="5676" spans="2:2" x14ac:dyDescent="0.25">
      <c r="B5676" t="s">
        <v>1859</v>
      </c>
    </row>
    <row r="5677" spans="2:2" x14ac:dyDescent="0.25">
      <c r="B5677" t="s">
        <v>1859</v>
      </c>
    </row>
    <row r="5678" spans="2:2" x14ac:dyDescent="0.25">
      <c r="B5678" t="s">
        <v>1859</v>
      </c>
    </row>
    <row r="5679" spans="2:2" x14ac:dyDescent="0.25">
      <c r="B5679" t="s">
        <v>1859</v>
      </c>
    </row>
    <row r="5680" spans="2:2" x14ac:dyDescent="0.25">
      <c r="B5680" t="s">
        <v>1859</v>
      </c>
    </row>
    <row r="5681" spans="2:2" x14ac:dyDescent="0.25">
      <c r="B5681" t="s">
        <v>1859</v>
      </c>
    </row>
    <row r="5682" spans="2:2" x14ac:dyDescent="0.25">
      <c r="B5682" t="s">
        <v>1859</v>
      </c>
    </row>
    <row r="5683" spans="2:2" x14ac:dyDescent="0.25">
      <c r="B5683" t="s">
        <v>1859</v>
      </c>
    </row>
    <row r="5684" spans="2:2" x14ac:dyDescent="0.25">
      <c r="B5684" t="s">
        <v>1859</v>
      </c>
    </row>
    <row r="5685" spans="2:2" x14ac:dyDescent="0.25">
      <c r="B5685" t="s">
        <v>1859</v>
      </c>
    </row>
    <row r="5686" spans="2:2" x14ac:dyDescent="0.25">
      <c r="B5686" t="s">
        <v>1859</v>
      </c>
    </row>
    <row r="5687" spans="2:2" x14ac:dyDescent="0.25">
      <c r="B5687" t="s">
        <v>1859</v>
      </c>
    </row>
    <row r="5688" spans="2:2" x14ac:dyDescent="0.25">
      <c r="B5688" t="s">
        <v>1859</v>
      </c>
    </row>
    <row r="5689" spans="2:2" x14ac:dyDescent="0.25">
      <c r="B5689" t="s">
        <v>1859</v>
      </c>
    </row>
    <row r="5690" spans="2:2" x14ac:dyDescent="0.25">
      <c r="B5690" t="s">
        <v>1859</v>
      </c>
    </row>
    <row r="5691" spans="2:2" x14ac:dyDescent="0.25">
      <c r="B5691" t="s">
        <v>1859</v>
      </c>
    </row>
    <row r="5692" spans="2:2" x14ac:dyDescent="0.25">
      <c r="B5692" t="s">
        <v>1859</v>
      </c>
    </row>
    <row r="5693" spans="2:2" x14ac:dyDescent="0.25">
      <c r="B5693" t="s">
        <v>1859</v>
      </c>
    </row>
    <row r="5694" spans="2:2" x14ac:dyDescent="0.25">
      <c r="B5694" t="s">
        <v>1859</v>
      </c>
    </row>
    <row r="5695" spans="2:2" x14ac:dyDescent="0.25">
      <c r="B5695" t="s">
        <v>1859</v>
      </c>
    </row>
    <row r="5696" spans="2:2" x14ac:dyDescent="0.25">
      <c r="B5696" t="s">
        <v>1859</v>
      </c>
    </row>
    <row r="5697" spans="2:2" x14ac:dyDescent="0.25">
      <c r="B5697" t="s">
        <v>1859</v>
      </c>
    </row>
    <row r="5698" spans="2:2" x14ac:dyDescent="0.25">
      <c r="B5698" t="s">
        <v>1859</v>
      </c>
    </row>
    <row r="5699" spans="2:2" x14ac:dyDescent="0.25">
      <c r="B5699" t="s">
        <v>1859</v>
      </c>
    </row>
    <row r="5700" spans="2:2" x14ac:dyDescent="0.25">
      <c r="B5700" t="s">
        <v>1859</v>
      </c>
    </row>
    <row r="5701" spans="2:2" x14ac:dyDescent="0.25">
      <c r="B5701" t="s">
        <v>1859</v>
      </c>
    </row>
    <row r="5702" spans="2:2" x14ac:dyDescent="0.25">
      <c r="B5702" t="s">
        <v>1859</v>
      </c>
    </row>
    <row r="5703" spans="2:2" x14ac:dyDescent="0.25">
      <c r="B5703" t="s">
        <v>1859</v>
      </c>
    </row>
    <row r="5704" spans="2:2" x14ac:dyDescent="0.25">
      <c r="B5704" t="s">
        <v>1859</v>
      </c>
    </row>
    <row r="5705" spans="2:2" x14ac:dyDescent="0.25">
      <c r="B5705" t="s">
        <v>1859</v>
      </c>
    </row>
    <row r="5706" spans="2:2" x14ac:dyDescent="0.25">
      <c r="B5706" t="s">
        <v>1859</v>
      </c>
    </row>
    <row r="5707" spans="2:2" x14ac:dyDescent="0.25">
      <c r="B5707" t="s">
        <v>1859</v>
      </c>
    </row>
    <row r="5708" spans="2:2" x14ac:dyDescent="0.25">
      <c r="B5708" t="s">
        <v>1859</v>
      </c>
    </row>
    <row r="5709" spans="2:2" x14ac:dyDescent="0.25">
      <c r="B5709" t="s">
        <v>1859</v>
      </c>
    </row>
    <row r="5710" spans="2:2" x14ac:dyDescent="0.25">
      <c r="B5710" t="s">
        <v>1859</v>
      </c>
    </row>
    <row r="5711" spans="2:2" x14ac:dyDescent="0.25">
      <c r="B5711" t="s">
        <v>1859</v>
      </c>
    </row>
    <row r="5712" spans="2:2" x14ac:dyDescent="0.25">
      <c r="B5712" t="s">
        <v>1859</v>
      </c>
    </row>
    <row r="5713" spans="2:2" x14ac:dyDescent="0.25">
      <c r="B5713" t="s">
        <v>1859</v>
      </c>
    </row>
    <row r="5714" spans="2:2" x14ac:dyDescent="0.25">
      <c r="B5714" t="s">
        <v>1859</v>
      </c>
    </row>
    <row r="5715" spans="2:2" x14ac:dyDescent="0.25">
      <c r="B5715" t="s">
        <v>1859</v>
      </c>
    </row>
    <row r="5716" spans="2:2" x14ac:dyDescent="0.25">
      <c r="B5716" t="s">
        <v>1859</v>
      </c>
    </row>
    <row r="5717" spans="2:2" x14ac:dyDescent="0.25">
      <c r="B5717" t="s">
        <v>1859</v>
      </c>
    </row>
    <row r="5718" spans="2:2" x14ac:dyDescent="0.25">
      <c r="B5718" t="s">
        <v>1859</v>
      </c>
    </row>
    <row r="5719" spans="2:2" x14ac:dyDescent="0.25">
      <c r="B5719" t="s">
        <v>1859</v>
      </c>
    </row>
    <row r="5720" spans="2:2" x14ac:dyDescent="0.25">
      <c r="B5720" t="s">
        <v>1859</v>
      </c>
    </row>
    <row r="5721" spans="2:2" x14ac:dyDescent="0.25">
      <c r="B5721" t="s">
        <v>1859</v>
      </c>
    </row>
    <row r="5722" spans="2:2" x14ac:dyDescent="0.25">
      <c r="B5722" t="s">
        <v>1859</v>
      </c>
    </row>
    <row r="5723" spans="2:2" x14ac:dyDescent="0.25">
      <c r="B5723" t="s">
        <v>1859</v>
      </c>
    </row>
    <row r="5724" spans="2:2" x14ac:dyDescent="0.25">
      <c r="B5724" t="s">
        <v>1859</v>
      </c>
    </row>
    <row r="5725" spans="2:2" x14ac:dyDescent="0.25">
      <c r="B5725" t="s">
        <v>1859</v>
      </c>
    </row>
    <row r="5726" spans="2:2" x14ac:dyDescent="0.25">
      <c r="B5726" t="s">
        <v>1859</v>
      </c>
    </row>
    <row r="5727" spans="2:2" x14ac:dyDescent="0.25">
      <c r="B5727" t="s">
        <v>1859</v>
      </c>
    </row>
    <row r="5728" spans="2:2" x14ac:dyDescent="0.25">
      <c r="B5728" t="s">
        <v>1859</v>
      </c>
    </row>
    <row r="5729" spans="2:2" x14ac:dyDescent="0.25">
      <c r="B5729" t="s">
        <v>1859</v>
      </c>
    </row>
    <row r="5730" spans="2:2" x14ac:dyDescent="0.25">
      <c r="B5730" t="s">
        <v>1859</v>
      </c>
    </row>
    <row r="5731" spans="2:2" x14ac:dyDescent="0.25">
      <c r="B5731" t="s">
        <v>1859</v>
      </c>
    </row>
    <row r="5732" spans="2:2" x14ac:dyDescent="0.25">
      <c r="B5732" t="s">
        <v>1859</v>
      </c>
    </row>
    <row r="5733" spans="2:2" x14ac:dyDescent="0.25">
      <c r="B5733" t="s">
        <v>1859</v>
      </c>
    </row>
    <row r="5734" spans="2:2" x14ac:dyDescent="0.25">
      <c r="B5734" t="s">
        <v>1859</v>
      </c>
    </row>
    <row r="5735" spans="2:2" x14ac:dyDescent="0.25">
      <c r="B5735" t="s">
        <v>1859</v>
      </c>
    </row>
    <row r="5736" spans="2:2" x14ac:dyDescent="0.25">
      <c r="B5736" t="s">
        <v>1859</v>
      </c>
    </row>
    <row r="5737" spans="2:2" x14ac:dyDescent="0.25">
      <c r="B5737" t="s">
        <v>1859</v>
      </c>
    </row>
    <row r="5738" spans="2:2" x14ac:dyDescent="0.25">
      <c r="B5738" t="s">
        <v>1859</v>
      </c>
    </row>
    <row r="5739" spans="2:2" x14ac:dyDescent="0.25">
      <c r="B5739" t="s">
        <v>1859</v>
      </c>
    </row>
    <row r="5740" spans="2:2" x14ac:dyDescent="0.25">
      <c r="B5740" t="s">
        <v>1859</v>
      </c>
    </row>
    <row r="5741" spans="2:2" x14ac:dyDescent="0.25">
      <c r="B5741" t="s">
        <v>1859</v>
      </c>
    </row>
    <row r="5742" spans="2:2" x14ac:dyDescent="0.25">
      <c r="B5742" t="s">
        <v>1859</v>
      </c>
    </row>
    <row r="5743" spans="2:2" x14ac:dyDescent="0.25">
      <c r="B5743" t="s">
        <v>1859</v>
      </c>
    </row>
    <row r="5744" spans="2:2" x14ac:dyDescent="0.25">
      <c r="B5744" t="s">
        <v>1859</v>
      </c>
    </row>
    <row r="5745" spans="2:2" x14ac:dyDescent="0.25">
      <c r="B5745" t="s">
        <v>1859</v>
      </c>
    </row>
    <row r="5746" spans="2:2" x14ac:dyDescent="0.25">
      <c r="B5746" t="s">
        <v>1859</v>
      </c>
    </row>
    <row r="5747" spans="2:2" x14ac:dyDescent="0.25">
      <c r="B5747" t="s">
        <v>1859</v>
      </c>
    </row>
    <row r="5748" spans="2:2" x14ac:dyDescent="0.25">
      <c r="B5748" t="s">
        <v>1859</v>
      </c>
    </row>
    <row r="5749" spans="2:2" x14ac:dyDescent="0.25">
      <c r="B5749" t="s">
        <v>1859</v>
      </c>
    </row>
    <row r="5750" spans="2:2" x14ac:dyDescent="0.25">
      <c r="B5750" t="s">
        <v>1859</v>
      </c>
    </row>
    <row r="5751" spans="2:2" x14ac:dyDescent="0.25">
      <c r="B5751" t="s">
        <v>1859</v>
      </c>
    </row>
    <row r="5752" spans="2:2" x14ac:dyDescent="0.25">
      <c r="B5752" t="s">
        <v>1859</v>
      </c>
    </row>
    <row r="5753" spans="2:2" x14ac:dyDescent="0.25">
      <c r="B5753" t="s">
        <v>1859</v>
      </c>
    </row>
    <row r="5754" spans="2:2" x14ac:dyDescent="0.25">
      <c r="B5754" t="s">
        <v>1859</v>
      </c>
    </row>
    <row r="5755" spans="2:2" x14ac:dyDescent="0.25">
      <c r="B5755" t="s">
        <v>1859</v>
      </c>
    </row>
    <row r="5756" spans="2:2" x14ac:dyDescent="0.25">
      <c r="B5756" t="s">
        <v>1859</v>
      </c>
    </row>
    <row r="5757" spans="2:2" x14ac:dyDescent="0.25">
      <c r="B5757" t="s">
        <v>1859</v>
      </c>
    </row>
    <row r="5758" spans="2:2" x14ac:dyDescent="0.25">
      <c r="B5758" t="s">
        <v>1859</v>
      </c>
    </row>
    <row r="5759" spans="2:2" x14ac:dyDescent="0.25">
      <c r="B5759" t="s">
        <v>1859</v>
      </c>
    </row>
    <row r="5760" spans="2:2" x14ac:dyDescent="0.25">
      <c r="B5760" t="s">
        <v>1859</v>
      </c>
    </row>
    <row r="5761" spans="2:2" x14ac:dyDescent="0.25">
      <c r="B5761" t="s">
        <v>1859</v>
      </c>
    </row>
    <row r="5762" spans="2:2" x14ac:dyDescent="0.25">
      <c r="B5762" t="s">
        <v>1859</v>
      </c>
    </row>
    <row r="5763" spans="2:2" x14ac:dyDescent="0.25">
      <c r="B5763" t="s">
        <v>1859</v>
      </c>
    </row>
    <row r="5764" spans="2:2" x14ac:dyDescent="0.25">
      <c r="B5764" t="s">
        <v>1859</v>
      </c>
    </row>
    <row r="5765" spans="2:2" x14ac:dyDescent="0.25">
      <c r="B5765" t="s">
        <v>1859</v>
      </c>
    </row>
    <row r="5766" spans="2:2" x14ac:dyDescent="0.25">
      <c r="B5766" t="s">
        <v>1859</v>
      </c>
    </row>
    <row r="5767" spans="2:2" x14ac:dyDescent="0.25">
      <c r="B5767" t="s">
        <v>1859</v>
      </c>
    </row>
    <row r="5768" spans="2:2" x14ac:dyDescent="0.25">
      <c r="B5768" t="s">
        <v>1859</v>
      </c>
    </row>
    <row r="5769" spans="2:2" x14ac:dyDescent="0.25">
      <c r="B5769" t="s">
        <v>1859</v>
      </c>
    </row>
    <row r="5770" spans="2:2" x14ac:dyDescent="0.25">
      <c r="B5770" t="s">
        <v>1859</v>
      </c>
    </row>
    <row r="5771" spans="2:2" x14ac:dyDescent="0.25">
      <c r="B5771" t="s">
        <v>1859</v>
      </c>
    </row>
    <row r="5772" spans="2:2" x14ac:dyDescent="0.25">
      <c r="B5772" t="s">
        <v>1859</v>
      </c>
    </row>
    <row r="5773" spans="2:2" x14ac:dyDescent="0.25">
      <c r="B5773" t="s">
        <v>1859</v>
      </c>
    </row>
    <row r="5774" spans="2:2" x14ac:dyDescent="0.25">
      <c r="B5774" t="s">
        <v>1859</v>
      </c>
    </row>
    <row r="5775" spans="2:2" x14ac:dyDescent="0.25">
      <c r="B5775" t="s">
        <v>1859</v>
      </c>
    </row>
    <row r="5776" spans="2:2" x14ac:dyDescent="0.25">
      <c r="B5776" t="s">
        <v>1859</v>
      </c>
    </row>
    <row r="5777" spans="2:2" x14ac:dyDescent="0.25">
      <c r="B5777" t="s">
        <v>1859</v>
      </c>
    </row>
    <row r="5778" spans="2:2" x14ac:dyDescent="0.25">
      <c r="B5778" t="s">
        <v>1859</v>
      </c>
    </row>
    <row r="5779" spans="2:2" x14ac:dyDescent="0.25">
      <c r="B5779" t="s">
        <v>1859</v>
      </c>
    </row>
    <row r="5780" spans="2:2" x14ac:dyDescent="0.25">
      <c r="B5780" t="s">
        <v>1859</v>
      </c>
    </row>
    <row r="5781" spans="2:2" x14ac:dyDescent="0.25">
      <c r="B5781" t="s">
        <v>1859</v>
      </c>
    </row>
    <row r="5782" spans="2:2" x14ac:dyDescent="0.25">
      <c r="B5782" t="s">
        <v>1859</v>
      </c>
    </row>
    <row r="5783" spans="2:2" x14ac:dyDescent="0.25">
      <c r="B5783" t="s">
        <v>1859</v>
      </c>
    </row>
    <row r="5784" spans="2:2" x14ac:dyDescent="0.25">
      <c r="B5784" t="s">
        <v>1859</v>
      </c>
    </row>
    <row r="5785" spans="2:2" x14ac:dyDescent="0.25">
      <c r="B5785" t="s">
        <v>1859</v>
      </c>
    </row>
    <row r="5786" spans="2:2" x14ac:dyDescent="0.25">
      <c r="B5786" t="s">
        <v>1859</v>
      </c>
    </row>
    <row r="5787" spans="2:2" x14ac:dyDescent="0.25">
      <c r="B5787" t="s">
        <v>1859</v>
      </c>
    </row>
    <row r="5788" spans="2:2" x14ac:dyDescent="0.25">
      <c r="B5788" t="s">
        <v>1859</v>
      </c>
    </row>
    <row r="5789" spans="2:2" x14ac:dyDescent="0.25">
      <c r="B5789" t="s">
        <v>1859</v>
      </c>
    </row>
    <row r="5790" spans="2:2" x14ac:dyDescent="0.25">
      <c r="B5790" t="s">
        <v>1859</v>
      </c>
    </row>
    <row r="5791" spans="2:2" x14ac:dyDescent="0.25">
      <c r="B5791" t="s">
        <v>1859</v>
      </c>
    </row>
    <row r="5792" spans="2:2" x14ac:dyDescent="0.25">
      <c r="B5792" t="s">
        <v>1859</v>
      </c>
    </row>
    <row r="5793" spans="2:2" x14ac:dyDescent="0.25">
      <c r="B5793" t="s">
        <v>1859</v>
      </c>
    </row>
    <row r="5794" spans="2:2" x14ac:dyDescent="0.25">
      <c r="B5794" t="s">
        <v>1859</v>
      </c>
    </row>
    <row r="5795" spans="2:2" x14ac:dyDescent="0.25">
      <c r="B5795" t="s">
        <v>1859</v>
      </c>
    </row>
    <row r="5796" spans="2:2" x14ac:dyDescent="0.25">
      <c r="B5796" t="s">
        <v>1859</v>
      </c>
    </row>
    <row r="5797" spans="2:2" x14ac:dyDescent="0.25">
      <c r="B5797" t="s">
        <v>1859</v>
      </c>
    </row>
    <row r="5798" spans="2:2" x14ac:dyDescent="0.25">
      <c r="B5798" t="s">
        <v>1859</v>
      </c>
    </row>
    <row r="5799" spans="2:2" x14ac:dyDescent="0.25">
      <c r="B5799" t="s">
        <v>1859</v>
      </c>
    </row>
    <row r="5800" spans="2:2" x14ac:dyDescent="0.25">
      <c r="B5800" t="s">
        <v>1859</v>
      </c>
    </row>
    <row r="5801" spans="2:2" x14ac:dyDescent="0.25">
      <c r="B5801" t="s">
        <v>1859</v>
      </c>
    </row>
    <row r="5802" spans="2:2" x14ac:dyDescent="0.25">
      <c r="B5802" t="s">
        <v>1859</v>
      </c>
    </row>
    <row r="5803" spans="2:2" x14ac:dyDescent="0.25">
      <c r="B5803" t="s">
        <v>1859</v>
      </c>
    </row>
    <row r="5804" spans="2:2" x14ac:dyDescent="0.25">
      <c r="B5804" t="s">
        <v>1859</v>
      </c>
    </row>
    <row r="5805" spans="2:2" x14ac:dyDescent="0.25">
      <c r="B5805" t="s">
        <v>1859</v>
      </c>
    </row>
    <row r="5806" spans="2:2" x14ac:dyDescent="0.25">
      <c r="B5806" t="s">
        <v>1859</v>
      </c>
    </row>
    <row r="5807" spans="2:2" x14ac:dyDescent="0.25">
      <c r="B5807" t="s">
        <v>1859</v>
      </c>
    </row>
    <row r="5808" spans="2:2" x14ac:dyDescent="0.25">
      <c r="B5808" t="s">
        <v>1859</v>
      </c>
    </row>
    <row r="5809" spans="2:2" x14ac:dyDescent="0.25">
      <c r="B5809" t="s">
        <v>1859</v>
      </c>
    </row>
    <row r="5810" spans="2:2" x14ac:dyDescent="0.25">
      <c r="B5810" t="s">
        <v>1859</v>
      </c>
    </row>
    <row r="5811" spans="2:2" x14ac:dyDescent="0.25">
      <c r="B5811" t="s">
        <v>1859</v>
      </c>
    </row>
    <row r="5812" spans="2:2" x14ac:dyDescent="0.25">
      <c r="B5812" t="s">
        <v>1859</v>
      </c>
    </row>
    <row r="5813" spans="2:2" x14ac:dyDescent="0.25">
      <c r="B5813" t="s">
        <v>1859</v>
      </c>
    </row>
    <row r="5814" spans="2:2" x14ac:dyDescent="0.25">
      <c r="B5814" t="s">
        <v>1859</v>
      </c>
    </row>
    <row r="5815" spans="2:2" x14ac:dyDescent="0.25">
      <c r="B5815" t="s">
        <v>1859</v>
      </c>
    </row>
    <row r="5816" spans="2:2" x14ac:dyDescent="0.25">
      <c r="B5816" t="s">
        <v>1859</v>
      </c>
    </row>
    <row r="5817" spans="2:2" x14ac:dyDescent="0.25">
      <c r="B5817" t="s">
        <v>1859</v>
      </c>
    </row>
    <row r="5818" spans="2:2" x14ac:dyDescent="0.25">
      <c r="B5818" t="s">
        <v>1859</v>
      </c>
    </row>
    <row r="5819" spans="2:2" x14ac:dyDescent="0.25">
      <c r="B5819" t="s">
        <v>1859</v>
      </c>
    </row>
    <row r="5820" spans="2:2" x14ac:dyDescent="0.25">
      <c r="B5820" t="s">
        <v>1859</v>
      </c>
    </row>
    <row r="5821" spans="2:2" x14ac:dyDescent="0.25">
      <c r="B5821" t="s">
        <v>1859</v>
      </c>
    </row>
    <row r="5822" spans="2:2" x14ac:dyDescent="0.25">
      <c r="B5822" t="s">
        <v>1859</v>
      </c>
    </row>
    <row r="5823" spans="2:2" x14ac:dyDescent="0.25">
      <c r="B5823" t="s">
        <v>1859</v>
      </c>
    </row>
    <row r="5824" spans="2:2" x14ac:dyDescent="0.25">
      <c r="B5824" t="s">
        <v>1859</v>
      </c>
    </row>
    <row r="5825" spans="2:2" x14ac:dyDescent="0.25">
      <c r="B5825" t="s">
        <v>1859</v>
      </c>
    </row>
    <row r="5826" spans="2:2" x14ac:dyDescent="0.25">
      <c r="B5826" t="s">
        <v>1859</v>
      </c>
    </row>
    <row r="5827" spans="2:2" x14ac:dyDescent="0.25">
      <c r="B5827" t="s">
        <v>1859</v>
      </c>
    </row>
    <row r="5828" spans="2:2" x14ac:dyDescent="0.25">
      <c r="B5828" t="s">
        <v>1859</v>
      </c>
    </row>
    <row r="5829" spans="2:2" x14ac:dyDescent="0.25">
      <c r="B5829" t="s">
        <v>1859</v>
      </c>
    </row>
    <row r="5830" spans="2:2" x14ac:dyDescent="0.25">
      <c r="B5830" t="s">
        <v>1859</v>
      </c>
    </row>
    <row r="5831" spans="2:2" x14ac:dyDescent="0.25">
      <c r="B5831" t="s">
        <v>1859</v>
      </c>
    </row>
    <row r="5832" spans="2:2" x14ac:dyDescent="0.25">
      <c r="B5832" t="s">
        <v>1859</v>
      </c>
    </row>
    <row r="5833" spans="2:2" x14ac:dyDescent="0.25">
      <c r="B5833" t="s">
        <v>1859</v>
      </c>
    </row>
    <row r="5834" spans="2:2" x14ac:dyDescent="0.25">
      <c r="B5834" t="s">
        <v>1859</v>
      </c>
    </row>
    <row r="5835" spans="2:2" x14ac:dyDescent="0.25">
      <c r="B5835" t="s">
        <v>1859</v>
      </c>
    </row>
    <row r="5836" spans="2:2" x14ac:dyDescent="0.25">
      <c r="B5836" t="s">
        <v>1859</v>
      </c>
    </row>
    <row r="5837" spans="2:2" x14ac:dyDescent="0.25">
      <c r="B5837" t="s">
        <v>1859</v>
      </c>
    </row>
    <row r="5838" spans="2:2" x14ac:dyDescent="0.25">
      <c r="B5838" t="s">
        <v>1859</v>
      </c>
    </row>
    <row r="5839" spans="2:2" x14ac:dyDescent="0.25">
      <c r="B5839" t="s">
        <v>1859</v>
      </c>
    </row>
    <row r="5840" spans="2:2" x14ac:dyDescent="0.25">
      <c r="B5840" t="s">
        <v>1859</v>
      </c>
    </row>
    <row r="5841" spans="2:2" x14ac:dyDescent="0.25">
      <c r="B5841" t="s">
        <v>1859</v>
      </c>
    </row>
    <row r="5842" spans="2:2" x14ac:dyDescent="0.25">
      <c r="B5842" t="s">
        <v>1859</v>
      </c>
    </row>
    <row r="5843" spans="2:2" x14ac:dyDescent="0.25">
      <c r="B5843" t="s">
        <v>1859</v>
      </c>
    </row>
    <row r="5844" spans="2:2" x14ac:dyDescent="0.25">
      <c r="B5844" t="s">
        <v>1859</v>
      </c>
    </row>
    <row r="5845" spans="2:2" x14ac:dyDescent="0.25">
      <c r="B5845" t="s">
        <v>1859</v>
      </c>
    </row>
    <row r="5846" spans="2:2" x14ac:dyDescent="0.25">
      <c r="B5846" t="s">
        <v>1859</v>
      </c>
    </row>
    <row r="5847" spans="2:2" x14ac:dyDescent="0.25">
      <c r="B5847" t="s">
        <v>1859</v>
      </c>
    </row>
    <row r="5848" spans="2:2" x14ac:dyDescent="0.25">
      <c r="B5848" t="s">
        <v>1859</v>
      </c>
    </row>
    <row r="5849" spans="2:2" x14ac:dyDescent="0.25">
      <c r="B5849" t="s">
        <v>1859</v>
      </c>
    </row>
    <row r="5850" spans="2:2" x14ac:dyDescent="0.25">
      <c r="B5850" t="s">
        <v>1859</v>
      </c>
    </row>
    <row r="5851" spans="2:2" x14ac:dyDescent="0.25">
      <c r="B5851" t="s">
        <v>1859</v>
      </c>
    </row>
    <row r="5852" spans="2:2" x14ac:dyDescent="0.25">
      <c r="B5852" t="s">
        <v>1859</v>
      </c>
    </row>
    <row r="5853" spans="2:2" x14ac:dyDescent="0.25">
      <c r="B5853" t="s">
        <v>1859</v>
      </c>
    </row>
    <row r="5854" spans="2:2" x14ac:dyDescent="0.25">
      <c r="B5854" t="s">
        <v>1859</v>
      </c>
    </row>
    <row r="5855" spans="2:2" x14ac:dyDescent="0.25">
      <c r="B5855" t="s">
        <v>1859</v>
      </c>
    </row>
    <row r="5856" spans="2:2" x14ac:dyDescent="0.25">
      <c r="B5856" t="s">
        <v>1859</v>
      </c>
    </row>
    <row r="5857" spans="2:2" x14ac:dyDescent="0.25">
      <c r="B5857" t="s">
        <v>1859</v>
      </c>
    </row>
    <row r="5858" spans="2:2" x14ac:dyDescent="0.25">
      <c r="B5858" t="s">
        <v>1859</v>
      </c>
    </row>
    <row r="5859" spans="2:2" x14ac:dyDescent="0.25">
      <c r="B5859" t="s">
        <v>1859</v>
      </c>
    </row>
    <row r="5860" spans="2:2" x14ac:dyDescent="0.25">
      <c r="B5860" t="s">
        <v>1859</v>
      </c>
    </row>
    <row r="5861" spans="2:2" x14ac:dyDescent="0.25">
      <c r="B5861" t="s">
        <v>1859</v>
      </c>
    </row>
    <row r="5862" spans="2:2" x14ac:dyDescent="0.25">
      <c r="B5862" t="s">
        <v>1859</v>
      </c>
    </row>
    <row r="5863" spans="2:2" x14ac:dyDescent="0.25">
      <c r="B5863" t="s">
        <v>1859</v>
      </c>
    </row>
    <row r="5864" spans="2:2" x14ac:dyDescent="0.25">
      <c r="B5864" t="s">
        <v>1859</v>
      </c>
    </row>
    <row r="5865" spans="2:2" x14ac:dyDescent="0.25">
      <c r="B5865" t="s">
        <v>1859</v>
      </c>
    </row>
    <row r="5866" spans="2:2" x14ac:dyDescent="0.25">
      <c r="B5866" t="s">
        <v>1859</v>
      </c>
    </row>
    <row r="5867" spans="2:2" x14ac:dyDescent="0.25">
      <c r="B5867" t="s">
        <v>1859</v>
      </c>
    </row>
    <row r="5868" spans="2:2" x14ac:dyDescent="0.25">
      <c r="B5868" t="s">
        <v>1859</v>
      </c>
    </row>
    <row r="5869" spans="2:2" x14ac:dyDescent="0.25">
      <c r="B5869" t="s">
        <v>1859</v>
      </c>
    </row>
    <row r="5870" spans="2:2" x14ac:dyDescent="0.25">
      <c r="B5870" t="s">
        <v>1859</v>
      </c>
    </row>
    <row r="5871" spans="2:2" x14ac:dyDescent="0.25">
      <c r="B5871" t="s">
        <v>1859</v>
      </c>
    </row>
    <row r="5872" spans="2:2" x14ac:dyDescent="0.25">
      <c r="B5872" t="s">
        <v>1859</v>
      </c>
    </row>
    <row r="5873" spans="2:2" x14ac:dyDescent="0.25">
      <c r="B5873" t="s">
        <v>1859</v>
      </c>
    </row>
    <row r="5874" spans="2:2" x14ac:dyDescent="0.25">
      <c r="B5874" t="s">
        <v>1859</v>
      </c>
    </row>
    <row r="5875" spans="2:2" x14ac:dyDescent="0.25">
      <c r="B5875" t="s">
        <v>1859</v>
      </c>
    </row>
    <row r="5876" spans="2:2" x14ac:dyDescent="0.25">
      <c r="B5876" t="s">
        <v>1859</v>
      </c>
    </row>
    <row r="5877" spans="2:2" x14ac:dyDescent="0.25">
      <c r="B5877" t="s">
        <v>1859</v>
      </c>
    </row>
    <row r="5878" spans="2:2" x14ac:dyDescent="0.25">
      <c r="B5878" t="s">
        <v>1859</v>
      </c>
    </row>
    <row r="5879" spans="2:2" x14ac:dyDescent="0.25">
      <c r="B5879" t="s">
        <v>1859</v>
      </c>
    </row>
    <row r="5880" spans="2:2" x14ac:dyDescent="0.25">
      <c r="B5880" t="s">
        <v>1859</v>
      </c>
    </row>
    <row r="5881" spans="2:2" x14ac:dyDescent="0.25">
      <c r="B5881" t="s">
        <v>1859</v>
      </c>
    </row>
    <row r="5882" spans="2:2" x14ac:dyDescent="0.25">
      <c r="B5882" t="s">
        <v>1859</v>
      </c>
    </row>
    <row r="5883" spans="2:2" x14ac:dyDescent="0.25">
      <c r="B5883" t="s">
        <v>1859</v>
      </c>
    </row>
    <row r="5884" spans="2:2" x14ac:dyDescent="0.25">
      <c r="B5884" t="s">
        <v>1859</v>
      </c>
    </row>
    <row r="5885" spans="2:2" x14ac:dyDescent="0.25">
      <c r="B5885" t="s">
        <v>1859</v>
      </c>
    </row>
    <row r="5886" spans="2:2" x14ac:dyDescent="0.25">
      <c r="B5886" t="s">
        <v>1859</v>
      </c>
    </row>
    <row r="5887" spans="2:2" x14ac:dyDescent="0.25">
      <c r="B5887" t="s">
        <v>1859</v>
      </c>
    </row>
    <row r="5888" spans="2:2" x14ac:dyDescent="0.25">
      <c r="B5888" t="s">
        <v>1859</v>
      </c>
    </row>
    <row r="5889" spans="2:2" x14ac:dyDescent="0.25">
      <c r="B5889" t="s">
        <v>1859</v>
      </c>
    </row>
    <row r="5890" spans="2:2" x14ac:dyDescent="0.25">
      <c r="B5890" t="s">
        <v>1859</v>
      </c>
    </row>
    <row r="5891" spans="2:2" x14ac:dyDescent="0.25">
      <c r="B5891" t="s">
        <v>1859</v>
      </c>
    </row>
    <row r="5892" spans="2:2" x14ac:dyDescent="0.25">
      <c r="B5892" t="s">
        <v>1859</v>
      </c>
    </row>
    <row r="5893" spans="2:2" x14ac:dyDescent="0.25">
      <c r="B5893" t="s">
        <v>1859</v>
      </c>
    </row>
    <row r="5894" spans="2:2" x14ac:dyDescent="0.25">
      <c r="B5894" t="s">
        <v>1859</v>
      </c>
    </row>
    <row r="5895" spans="2:2" x14ac:dyDescent="0.25">
      <c r="B5895" t="s">
        <v>1859</v>
      </c>
    </row>
    <row r="5896" spans="2:2" x14ac:dyDescent="0.25">
      <c r="B5896" t="s">
        <v>1859</v>
      </c>
    </row>
    <row r="5897" spans="2:2" x14ac:dyDescent="0.25">
      <c r="B5897" t="s">
        <v>1859</v>
      </c>
    </row>
    <row r="5898" spans="2:2" x14ac:dyDescent="0.25">
      <c r="B5898" t="s">
        <v>1859</v>
      </c>
    </row>
    <row r="5899" spans="2:2" x14ac:dyDescent="0.25">
      <c r="B5899" t="s">
        <v>1859</v>
      </c>
    </row>
    <row r="5900" spans="2:2" x14ac:dyDescent="0.25">
      <c r="B5900" t="s">
        <v>1859</v>
      </c>
    </row>
    <row r="5901" spans="2:2" x14ac:dyDescent="0.25">
      <c r="B5901" t="s">
        <v>1859</v>
      </c>
    </row>
    <row r="5902" spans="2:2" x14ac:dyDescent="0.25">
      <c r="B5902" t="s">
        <v>1859</v>
      </c>
    </row>
    <row r="5903" spans="2:2" x14ac:dyDescent="0.25">
      <c r="B5903" t="s">
        <v>1859</v>
      </c>
    </row>
    <row r="5904" spans="2:2" x14ac:dyDescent="0.25">
      <c r="B5904" t="s">
        <v>1859</v>
      </c>
    </row>
    <row r="5905" spans="2:2" x14ac:dyDescent="0.25">
      <c r="B5905" t="s">
        <v>1859</v>
      </c>
    </row>
    <row r="5906" spans="2:2" x14ac:dyDescent="0.25">
      <c r="B5906" t="s">
        <v>1859</v>
      </c>
    </row>
    <row r="5907" spans="2:2" x14ac:dyDescent="0.25">
      <c r="B5907" t="s">
        <v>1859</v>
      </c>
    </row>
    <row r="5908" spans="2:2" x14ac:dyDescent="0.25">
      <c r="B5908" t="s">
        <v>1859</v>
      </c>
    </row>
    <row r="5909" spans="2:2" x14ac:dyDescent="0.25">
      <c r="B5909" t="s">
        <v>1859</v>
      </c>
    </row>
    <row r="5910" spans="2:2" x14ac:dyDescent="0.25">
      <c r="B5910" t="s">
        <v>1859</v>
      </c>
    </row>
    <row r="5911" spans="2:2" x14ac:dyDescent="0.25">
      <c r="B5911" t="s">
        <v>1859</v>
      </c>
    </row>
    <row r="5912" spans="2:2" x14ac:dyDescent="0.25">
      <c r="B5912" t="s">
        <v>1859</v>
      </c>
    </row>
    <row r="5913" spans="2:2" x14ac:dyDescent="0.25">
      <c r="B5913" t="s">
        <v>1859</v>
      </c>
    </row>
    <row r="5914" spans="2:2" x14ac:dyDescent="0.25">
      <c r="B5914" t="s">
        <v>1859</v>
      </c>
    </row>
    <row r="5915" spans="2:2" x14ac:dyDescent="0.25">
      <c r="B5915" t="s">
        <v>1859</v>
      </c>
    </row>
    <row r="5916" spans="2:2" x14ac:dyDescent="0.25">
      <c r="B5916" t="s">
        <v>1859</v>
      </c>
    </row>
    <row r="5917" spans="2:2" x14ac:dyDescent="0.25">
      <c r="B5917" t="s">
        <v>1859</v>
      </c>
    </row>
    <row r="5918" spans="2:2" x14ac:dyDescent="0.25">
      <c r="B5918" t="s">
        <v>1859</v>
      </c>
    </row>
    <row r="5919" spans="2:2" x14ac:dyDescent="0.25">
      <c r="B5919" t="s">
        <v>1859</v>
      </c>
    </row>
    <row r="5920" spans="2:2" x14ac:dyDescent="0.25">
      <c r="B5920" t="s">
        <v>1859</v>
      </c>
    </row>
    <row r="5921" spans="2:2" x14ac:dyDescent="0.25">
      <c r="B5921" t="s">
        <v>1859</v>
      </c>
    </row>
    <row r="5922" spans="2:2" x14ac:dyDescent="0.25">
      <c r="B5922" t="s">
        <v>1859</v>
      </c>
    </row>
    <row r="5923" spans="2:2" x14ac:dyDescent="0.25">
      <c r="B5923" t="s">
        <v>1859</v>
      </c>
    </row>
    <row r="5924" spans="2:2" x14ac:dyDescent="0.25">
      <c r="B5924" t="s">
        <v>1859</v>
      </c>
    </row>
    <row r="5925" spans="2:2" x14ac:dyDescent="0.25">
      <c r="B5925" t="s">
        <v>1859</v>
      </c>
    </row>
    <row r="5926" spans="2:2" x14ac:dyDescent="0.25">
      <c r="B5926" t="s">
        <v>1859</v>
      </c>
    </row>
    <row r="5927" spans="2:2" x14ac:dyDescent="0.25">
      <c r="B5927" t="s">
        <v>1859</v>
      </c>
    </row>
    <row r="5928" spans="2:2" x14ac:dyDescent="0.25">
      <c r="B5928" t="s">
        <v>1859</v>
      </c>
    </row>
    <row r="5929" spans="2:2" x14ac:dyDescent="0.25">
      <c r="B5929" t="s">
        <v>1859</v>
      </c>
    </row>
    <row r="5930" spans="2:2" x14ac:dyDescent="0.25">
      <c r="B5930" t="s">
        <v>1859</v>
      </c>
    </row>
    <row r="5931" spans="2:2" x14ac:dyDescent="0.25">
      <c r="B5931" t="s">
        <v>1859</v>
      </c>
    </row>
    <row r="5932" spans="2:2" x14ac:dyDescent="0.25">
      <c r="B5932" t="s">
        <v>1859</v>
      </c>
    </row>
    <row r="5933" spans="2:2" x14ac:dyDescent="0.25">
      <c r="B5933" t="s">
        <v>1859</v>
      </c>
    </row>
    <row r="5934" spans="2:2" x14ac:dyDescent="0.25">
      <c r="B5934" t="s">
        <v>1859</v>
      </c>
    </row>
    <row r="5935" spans="2:2" x14ac:dyDescent="0.25">
      <c r="B5935" t="s">
        <v>1859</v>
      </c>
    </row>
    <row r="5936" spans="2:2" x14ac:dyDescent="0.25">
      <c r="B5936" t="s">
        <v>1859</v>
      </c>
    </row>
    <row r="5937" spans="2:2" x14ac:dyDescent="0.25">
      <c r="B5937" t="s">
        <v>1859</v>
      </c>
    </row>
    <row r="5938" spans="2:2" x14ac:dyDescent="0.25">
      <c r="B5938" t="s">
        <v>1859</v>
      </c>
    </row>
    <row r="5939" spans="2:2" x14ac:dyDescent="0.25">
      <c r="B5939" t="s">
        <v>1859</v>
      </c>
    </row>
    <row r="5940" spans="2:2" x14ac:dyDescent="0.25">
      <c r="B5940" t="s">
        <v>1859</v>
      </c>
    </row>
    <row r="5941" spans="2:2" x14ac:dyDescent="0.25">
      <c r="B5941" t="s">
        <v>1859</v>
      </c>
    </row>
    <row r="5942" spans="2:2" x14ac:dyDescent="0.25">
      <c r="B5942" t="s">
        <v>1859</v>
      </c>
    </row>
    <row r="5943" spans="2:2" x14ac:dyDescent="0.25">
      <c r="B5943" t="s">
        <v>1859</v>
      </c>
    </row>
    <row r="5944" spans="2:2" x14ac:dyDescent="0.25">
      <c r="B5944" t="s">
        <v>1859</v>
      </c>
    </row>
    <row r="5945" spans="2:2" x14ac:dyDescent="0.25">
      <c r="B5945" t="s">
        <v>1859</v>
      </c>
    </row>
    <row r="5946" spans="2:2" x14ac:dyDescent="0.25">
      <c r="B5946" t="s">
        <v>1859</v>
      </c>
    </row>
    <row r="5947" spans="2:2" x14ac:dyDescent="0.25">
      <c r="B5947" t="s">
        <v>1859</v>
      </c>
    </row>
    <row r="5948" spans="2:2" x14ac:dyDescent="0.25">
      <c r="B5948" t="s">
        <v>1859</v>
      </c>
    </row>
    <row r="5949" spans="2:2" x14ac:dyDescent="0.25">
      <c r="B5949" t="s">
        <v>1859</v>
      </c>
    </row>
    <row r="5950" spans="2:2" x14ac:dyDescent="0.25">
      <c r="B5950" t="s">
        <v>1859</v>
      </c>
    </row>
    <row r="5951" spans="2:2" x14ac:dyDescent="0.25">
      <c r="B5951" t="s">
        <v>1859</v>
      </c>
    </row>
    <row r="5952" spans="2:2" x14ac:dyDescent="0.25">
      <c r="B5952" t="s">
        <v>1859</v>
      </c>
    </row>
    <row r="5953" spans="2:2" x14ac:dyDescent="0.25">
      <c r="B5953" t="s">
        <v>1859</v>
      </c>
    </row>
    <row r="5954" spans="2:2" x14ac:dyDescent="0.25">
      <c r="B5954" t="s">
        <v>1859</v>
      </c>
    </row>
    <row r="5955" spans="2:2" x14ac:dyDescent="0.25">
      <c r="B5955" t="s">
        <v>1859</v>
      </c>
    </row>
    <row r="5956" spans="2:2" x14ac:dyDescent="0.25">
      <c r="B5956" t="s">
        <v>1859</v>
      </c>
    </row>
    <row r="5957" spans="2:2" x14ac:dyDescent="0.25">
      <c r="B5957" t="s">
        <v>1859</v>
      </c>
    </row>
    <row r="5958" spans="2:2" x14ac:dyDescent="0.25">
      <c r="B5958" t="s">
        <v>1859</v>
      </c>
    </row>
    <row r="5959" spans="2:2" x14ac:dyDescent="0.25">
      <c r="B5959" t="s">
        <v>1859</v>
      </c>
    </row>
    <row r="5960" spans="2:2" x14ac:dyDescent="0.25">
      <c r="B5960" t="s">
        <v>1859</v>
      </c>
    </row>
    <row r="5961" spans="2:2" x14ac:dyDescent="0.25">
      <c r="B5961" t="s">
        <v>1859</v>
      </c>
    </row>
    <row r="5962" spans="2:2" x14ac:dyDescent="0.25">
      <c r="B5962" t="s">
        <v>1859</v>
      </c>
    </row>
    <row r="5963" spans="2:2" x14ac:dyDescent="0.25">
      <c r="B5963" t="s">
        <v>1859</v>
      </c>
    </row>
    <row r="5964" spans="2:2" x14ac:dyDescent="0.25">
      <c r="B5964" t="s">
        <v>1859</v>
      </c>
    </row>
    <row r="5965" spans="2:2" x14ac:dyDescent="0.25">
      <c r="B5965" t="s">
        <v>1859</v>
      </c>
    </row>
    <row r="5966" spans="2:2" x14ac:dyDescent="0.25">
      <c r="B5966" t="s">
        <v>1859</v>
      </c>
    </row>
    <row r="5967" spans="2:2" x14ac:dyDescent="0.25">
      <c r="B5967" t="s">
        <v>1859</v>
      </c>
    </row>
    <row r="5968" spans="2:2" x14ac:dyDescent="0.25">
      <c r="B5968" t="s">
        <v>1859</v>
      </c>
    </row>
    <row r="5969" spans="2:2" x14ac:dyDescent="0.25">
      <c r="B5969" t="s">
        <v>1859</v>
      </c>
    </row>
    <row r="5970" spans="2:2" x14ac:dyDescent="0.25">
      <c r="B5970" t="s">
        <v>1859</v>
      </c>
    </row>
    <row r="5971" spans="2:2" x14ac:dyDescent="0.25">
      <c r="B5971" t="s">
        <v>1859</v>
      </c>
    </row>
    <row r="5972" spans="2:2" x14ac:dyDescent="0.25">
      <c r="B5972" t="s">
        <v>1859</v>
      </c>
    </row>
    <row r="5973" spans="2:2" x14ac:dyDescent="0.25">
      <c r="B5973" t="s">
        <v>1859</v>
      </c>
    </row>
    <row r="5974" spans="2:2" x14ac:dyDescent="0.25">
      <c r="B5974" t="s">
        <v>1859</v>
      </c>
    </row>
    <row r="5975" spans="2:2" x14ac:dyDescent="0.25">
      <c r="B5975" t="s">
        <v>1859</v>
      </c>
    </row>
    <row r="5976" spans="2:2" x14ac:dyDescent="0.25">
      <c r="B5976" t="s">
        <v>1859</v>
      </c>
    </row>
    <row r="5977" spans="2:2" x14ac:dyDescent="0.25">
      <c r="B5977" t="s">
        <v>1859</v>
      </c>
    </row>
    <row r="5978" spans="2:2" x14ac:dyDescent="0.25">
      <c r="B5978" t="s">
        <v>1859</v>
      </c>
    </row>
    <row r="5979" spans="2:2" x14ac:dyDescent="0.25">
      <c r="B5979" t="s">
        <v>1859</v>
      </c>
    </row>
    <row r="5980" spans="2:2" x14ac:dyDescent="0.25">
      <c r="B5980" t="s">
        <v>1859</v>
      </c>
    </row>
    <row r="5981" spans="2:2" x14ac:dyDescent="0.25">
      <c r="B5981" t="s">
        <v>1859</v>
      </c>
    </row>
    <row r="5982" spans="2:2" x14ac:dyDescent="0.25">
      <c r="B5982" t="s">
        <v>1859</v>
      </c>
    </row>
    <row r="5983" spans="2:2" x14ac:dyDescent="0.25">
      <c r="B5983" t="s">
        <v>1859</v>
      </c>
    </row>
    <row r="5984" spans="2:2" x14ac:dyDescent="0.25">
      <c r="B5984" t="s">
        <v>1859</v>
      </c>
    </row>
    <row r="5985" spans="2:2" x14ac:dyDescent="0.25">
      <c r="B5985" t="s">
        <v>1859</v>
      </c>
    </row>
    <row r="5986" spans="2:2" x14ac:dyDescent="0.25">
      <c r="B5986" t="s">
        <v>1859</v>
      </c>
    </row>
    <row r="5987" spans="2:2" x14ac:dyDescent="0.25">
      <c r="B5987" t="s">
        <v>1859</v>
      </c>
    </row>
    <row r="5988" spans="2:2" x14ac:dyDescent="0.25">
      <c r="B5988" t="s">
        <v>1859</v>
      </c>
    </row>
    <row r="5989" spans="2:2" x14ac:dyDescent="0.25">
      <c r="B5989" t="s">
        <v>1859</v>
      </c>
    </row>
    <row r="5990" spans="2:2" x14ac:dyDescent="0.25">
      <c r="B5990" t="s">
        <v>1859</v>
      </c>
    </row>
    <row r="5991" spans="2:2" x14ac:dyDescent="0.25">
      <c r="B5991" t="s">
        <v>1859</v>
      </c>
    </row>
    <row r="5992" spans="2:2" x14ac:dyDescent="0.25">
      <c r="B5992" t="s">
        <v>1859</v>
      </c>
    </row>
    <row r="5993" spans="2:2" x14ac:dyDescent="0.25">
      <c r="B5993" t="s">
        <v>1859</v>
      </c>
    </row>
    <row r="5994" spans="2:2" x14ac:dyDescent="0.25">
      <c r="B5994" t="s">
        <v>1859</v>
      </c>
    </row>
    <row r="5995" spans="2:2" x14ac:dyDescent="0.25">
      <c r="B5995" t="s">
        <v>1859</v>
      </c>
    </row>
    <row r="5996" spans="2:2" x14ac:dyDescent="0.25">
      <c r="B5996" t="s">
        <v>1859</v>
      </c>
    </row>
    <row r="5997" spans="2:2" x14ac:dyDescent="0.25">
      <c r="B5997" t="s">
        <v>1859</v>
      </c>
    </row>
    <row r="5998" spans="2:2" x14ac:dyDescent="0.25">
      <c r="B5998" t="s">
        <v>1859</v>
      </c>
    </row>
    <row r="5999" spans="2:2" x14ac:dyDescent="0.25">
      <c r="B5999" t="s">
        <v>1859</v>
      </c>
    </row>
    <row r="6000" spans="2:2" x14ac:dyDescent="0.25">
      <c r="B6000" t="s">
        <v>1859</v>
      </c>
    </row>
    <row r="6001" spans="2:2" x14ac:dyDescent="0.25">
      <c r="B6001" t="s">
        <v>1859</v>
      </c>
    </row>
    <row r="6002" spans="2:2" x14ac:dyDescent="0.25">
      <c r="B6002" t="s">
        <v>1859</v>
      </c>
    </row>
    <row r="6003" spans="2:2" x14ac:dyDescent="0.25">
      <c r="B6003" t="s">
        <v>1859</v>
      </c>
    </row>
  </sheetData>
  <mergeCells count="1">
    <mergeCell ref="A1:D1"/>
  </mergeCells>
  <conditionalFormatting sqref="F5:F2639">
    <cfRule type="containsText" dxfId="1" priority="1" operator="containsText" text="Falta">
      <formula>NOT(ISERROR(SEARCH("Falta",F5)))</formula>
    </cfRule>
  </conditionalFormatting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CATALOGO</vt:lpstr>
      <vt:lpstr>LINCE</vt:lpstr>
      <vt:lpstr>CATALOGO!Títulos_a_imprimir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Nancy</dc:creator>
  <cp:lastModifiedBy>EDGARD</cp:lastModifiedBy>
  <cp:lastPrinted>2020-10-22T16:18:21Z</cp:lastPrinted>
  <dcterms:created xsi:type="dcterms:W3CDTF">2020-06-16T23:19:04Z</dcterms:created>
  <dcterms:modified xsi:type="dcterms:W3CDTF">2020-10-22T16:28:06Z</dcterms:modified>
</cp:coreProperties>
</file>